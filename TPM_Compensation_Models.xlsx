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_rels/drawing1.xml.rels" ContentType="application/vnd.openxmlformats-package.relationships+xml"/>
  <Override PartName="/xl/drawings/vmlDrawing1.vml" ContentType="application/vnd.openxmlformats-officedocument.vmlDrawing"/>
  <Override PartName="/xl/drawings/vmlDrawing2.vml" ContentType="application/vnd.openxmlformats-officedocument.vmlDrawing"/>
  <Override PartName="/xl/drawings/drawing1.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ssumptions" sheetId="1" state="visible" r:id="rId3"/>
    <sheet name="Payout Comparison" sheetId="2" state="visible" r:id="rId4"/>
    <sheet name="Payout Chart" sheetId="3" state="visible" r:id="rId5"/>
    <sheet name="Sensitivity" sheetId="4" state="visible" r:id="rId6"/>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C10" authorId="0">
      <text>
        <r>
          <rPr>
            <sz val="10"/>
            <rFont val="Arial"/>
            <family val="2"/>
          </rPr>
          <t xml:space="preserve">Flat fee paid each time the TPM introduces a qualified prospect. Set to €10,000 per the user's brief — change freely.</t>
        </r>
      </text>
    </comment>
    <comment ref="C11" authorId="0">
      <text>
        <r>
          <rPr>
            <sz val="10"/>
            <rFont val="Arial"/>
            <family val="2"/>
          </rPr>
          <t xml:space="preserve">PLACEHOLDER - this is the single most important lever in the comparison and you should set it to your own expectation. It is the number of introductions the TPM is paid for over the same period in which the assets are raised. Not every introduction converts, so this is normally well above the number of prospects that actually invest. Default 10 is illustrative only: it places the breakeven at the midpoint of the table so the crossing is visible on the chart. At 1 introduction the breakeven falls to 5m, below the whole table, and Option 2 wins at every level shown.</t>
        </r>
      </text>
    </comment>
    <comment ref="C15" authorId="0">
      <text>
        <r>
          <rPr>
            <sz val="10"/>
            <rFont val="Arial"/>
            <family val="2"/>
          </rPr>
          <t xml:space="preserve">Annual management fee the fund charges on assets under management. Change to match the specific H2O share class being sold.</t>
        </r>
      </text>
    </comment>
    <comment ref="C16" authorId="0">
      <text>
        <r>
          <rPr>
            <sz val="10"/>
            <rFont val="Arial"/>
            <family val="2"/>
          </rPr>
          <t xml:space="preserve">Percentage of the fund's management fee that is passed to the TPM. This is the main negotiation lever.</t>
        </r>
      </text>
    </comment>
    <comment ref="C17" authorId="0">
      <text>
        <r>
          <rPr>
            <sz val="10"/>
            <rFont val="Arial"/>
            <family val="2"/>
          </rPr>
          <t xml:space="preserve">The brief specifies one year of fees settled upfront. Change if the commercial terms move to a multi-year upfront payment.</t>
        </r>
      </text>
    </comment>
  </commentList>
</comments>
</file>

<file path=xl/comments2.xml><?xml version="1.0" encoding="utf-8"?>
<comments xmlns="http://schemas.openxmlformats.org/spreadsheetml/2006/main" xmlns:xdr="http://schemas.openxmlformats.org/drawingml/2006/spreadsheetDrawing">
  <authors>
    <author>Unknown Author</author>
  </authors>
  <commentList>
    <comment ref="C27" authorId="0">
      <text>
        <r>
          <rPr>
            <sz val="10"/>
            <rFont val="Arial"/>
            <family val="2"/>
          </rPr>
          <t xml:space="preserve">Fixed fee × number of introductions.</t>
        </r>
      </text>
    </comment>
    <comment ref="C28" authorId="0">
      <text>
        <r>
          <rPr>
            <sz val="10"/>
            <rFont val="Arial"/>
            <family val="2"/>
          </rPr>
          <t xml:space="preserve">Management fee × TPM share × years upfront.</t>
        </r>
      </text>
    </comment>
    <comment ref="C29" authorId="0">
      <text>
        <r>
          <rPr>
            <sz val="10"/>
            <rFont val="Arial"/>
            <family val="2"/>
          </rPr>
          <t xml:space="preserve">Assets at which the two structures pay exactly the same: Option 1 total ÷ effective payout rate.</t>
        </r>
      </text>
    </comment>
    <comment ref="C30" authorId="0">
      <text>
        <r>
          <rPr>
            <sz val="10"/>
            <rFont val="Arial"/>
            <family val="2"/>
          </rPr>
          <t xml:space="preserve">Same figure expressed in millions.</t>
        </r>
      </text>
    </comment>
  </commentList>
</comments>
</file>

<file path=xl/sharedStrings.xml><?xml version="1.0" encoding="utf-8"?>
<sst xmlns="http://schemas.openxmlformats.org/spreadsheetml/2006/main" count="54" uniqueCount="53">
  <si>
    <t xml:space="preserve">TPM Compensation — Option 1 vs Option 2</t>
  </si>
  <si>
    <t xml:space="preserve">Comparing a fixed per-introduction fee against an upfront share of one year of management fees on assets raised into H2O funds.</t>
  </si>
  <si>
    <t xml:space="preserve">HOW TO USE</t>
  </si>
  <si>
    <t xml:space="preserve">Edit only the yellow cells with blue text (column C below). Every other number in this workbook is a formula and updates automatically.</t>
  </si>
  <si>
    <t xml:space="preserve">Colour key:   blue text = input you can change   ·   black text = formula   ·   green text = link to the Assumptions sheet.</t>
  </si>
  <si>
    <t xml:space="preserve">OPTION 1 — DEAL BY DEAL (fixed introduction fee)</t>
  </si>
  <si>
    <t xml:space="preserve">Fixed fee per introduction</t>
  </si>
  <si>
    <t xml:space="preserve">Number of introductions in scope</t>
  </si>
  <si>
    <t xml:space="preserve">Total Option 1 payout</t>
  </si>
  <si>
    <t xml:space="preserve">fee per introduction  ×  number of introductions</t>
  </si>
  <si>
    <t xml:space="preserve">OPTION 2 — SHARE OF MANAGEMENT FEES (paid upfront)</t>
  </si>
  <si>
    <t xml:space="preserve">Fund management fee (% of AUM p.a.)</t>
  </si>
  <si>
    <t xml:space="preserve">TPM share of the management fee</t>
  </si>
  <si>
    <t xml:space="preserve">Years of fees paid upfront</t>
  </si>
  <si>
    <t xml:space="preserve">Effective payout rate on assets raised</t>
  </si>
  <si>
    <t xml:space="preserve">management fee  ×  TPM share  ×  years paid upfront</t>
  </si>
  <si>
    <t xml:space="preserve">ASSUMPTIONS AND CONVENTIONS</t>
  </si>
  <si>
    <t xml:space="preserve">1.  All amounts are in euros. The model is currency-agnostic — relabel if the mandate is in another currency.</t>
  </si>
  <si>
    <t xml:space="preserve">2.  Option 2 is paid once, upfront, on the assets raised. No redemption, clawback or fee-decay assumption is applied.</t>
  </si>
  <si>
    <t xml:space="preserve">3.  Assets raised are treated as the amount actually invested into H2O funds by prospects the TPM introduced.</t>
  </si>
  <si>
    <t xml:space="preserve">4.  Option 1 is paid on introduction, regardless of whether the prospect ultimately invests.</t>
  </si>
  <si>
    <t xml:space="preserve">5.  No discounting is applied: both options are compared as nominal cash paid in year 1.</t>
  </si>
  <si>
    <t xml:space="preserve">6.  Source of the €10,000 fee, the 1.00% management fee and the 20% share: user-supplied placeholders, all editable above.</t>
  </si>
  <si>
    <t xml:space="preserve">Payout comparison by level of assets raised</t>
  </si>
  <si>
    <t xml:space="preserve">Assets raised from €10m to €100m in €5m steps. All figures update from the Assumptions sheet.</t>
  </si>
  <si>
    <t xml:space="preserve">Assets raised (€m)</t>
  </si>
  <si>
    <t xml:space="preserve">Assets raised (€)</t>
  </si>
  <si>
    <t xml:space="preserve">Option 1 — deal by deal</t>
  </si>
  <si>
    <t xml:space="preserve">Option 2 — fee share</t>
  </si>
  <si>
    <t xml:space="preserve">Difference (Opt 2 − Opt 1)</t>
  </si>
  <si>
    <t xml:space="preserve">Option 2 / Option 1</t>
  </si>
  <si>
    <t xml:space="preserve">Introductions Option 1 needs to match Option 2</t>
  </si>
  <si>
    <t xml:space="preserve">Better option for the TPM</t>
  </si>
  <si>
    <t xml:space="preserve">BREAKEVEN — where Option 2 overtakes Option 1</t>
  </si>
  <si>
    <t xml:space="preserve">Effective payout rate on assets (Option 2)</t>
  </si>
  <si>
    <t xml:space="preserve">Breakeven assets raised (€)</t>
  </si>
  <si>
    <t xml:space="preserve">Breakeven assets raised (€m)</t>
  </si>
  <si>
    <t xml:space="preserve">Read the table as: the TPM's whole book of introductions over a period (Option 1) versus the assets that book actually brings into H2O funds (Option 2). The 'Number of introductions' cell on the Assumptions sheet is the key lever - it sets how much Option 1 pays in total, and therefore where the breakeven sits.</t>
  </si>
  <si>
    <t xml:space="preserve">TPM payout by assets raised — Option 1 vs Option 2</t>
  </si>
  <si>
    <t xml:space="preserve">The crossing point is the breakeven level of assets raised. Both lines redraw when the Assumptions sheet changes.</t>
  </si>
  <si>
    <t xml:space="preserve">Reading the chart</t>
  </si>
  <si>
    <t xml:space="preserve">The flat red line is Option 1: it does not move with assets raised, because the fee is paid per introduction.</t>
  </si>
  <si>
    <t xml:space="preserve">The rising navy line is Option 2: it scales linearly with assets raised at the effective payout rate.</t>
  </si>
  <si>
    <t xml:space="preserve">Where the lines cross is the breakeven — computed exactly on the Payout Comparison sheet.</t>
  </si>
  <si>
    <t xml:space="preserve">Left of the crossing the TPM earns more deal by deal; right of it the fee share wins, and keeps widening.</t>
  </si>
  <si>
    <t xml:space="preserve">Sensitivity analysis</t>
  </si>
  <si>
    <t xml:space="preserve">Blue cells on the edges of each grid are inputs you can overwrite. Grid interiors are formulas.</t>
  </si>
  <si>
    <t xml:space="preserve">GRID 1 — Breakeven assets raised (€m), by management fee and TPM share</t>
  </si>
  <si>
    <t xml:space="preserve">Below the breakeven, Option 1 pays more. Above it, Option 2 pays more.</t>
  </si>
  <si>
    <t xml:space="preserve">Mgmt fee \ TPM share</t>
  </si>
  <si>
    <t xml:space="preserve">Values in €m of assets raised. Read: at a 1.00% management fee and a 20% share, Option 2 overtakes Option 1 at the figure in that cell.</t>
  </si>
  <si>
    <t xml:space="preserve">GRID 2 — Option 2 payout (€), by assets raised and TPM share, at the current management fee</t>
  </si>
  <si>
    <t xml:space="preserve">Assets raised (€m) \ TPM share</t>
  </si>
</sst>
</file>

<file path=xl/styles.xml><?xml version="1.0" encoding="utf-8"?>
<styleSheet xmlns="http://schemas.openxmlformats.org/spreadsheetml/2006/main">
  <numFmts count="9">
    <numFmt numFmtId="164" formatCode="General"/>
    <numFmt numFmtId="165" formatCode="\€#,##0;&quot;(€&quot;#,##0\);\-"/>
    <numFmt numFmtId="166" formatCode="#,##0"/>
    <numFmt numFmtId="167" formatCode="0.00%;\(0.00%\);\-"/>
    <numFmt numFmtId="168" formatCode="0.0%;\(0.0%\);\-"/>
    <numFmt numFmtId="169" formatCode="#,##0.0"/>
    <numFmt numFmtId="170" formatCode="0.00\x;\(0.00&quot;x)&quot;;\-"/>
    <numFmt numFmtId="171" formatCode="#,##0.0;\(#,##0.0\);\-"/>
    <numFmt numFmtId="172" formatCode="\€#,##0"/>
  </numFmts>
  <fonts count="17">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10"/>
      <color rgb="FF595959"/>
      <name val="Arial"/>
      <family val="0"/>
      <charset val="1"/>
    </font>
    <font>
      <b val="true"/>
      <sz val="10"/>
      <color rgb="FF000000"/>
      <name val="Arial"/>
      <family val="0"/>
      <charset val="1"/>
    </font>
    <font>
      <b val="true"/>
      <sz val="10"/>
      <color rgb="FFFFFFFF"/>
      <name val="Arial"/>
      <family val="0"/>
      <charset val="1"/>
    </font>
    <font>
      <sz val="10"/>
      <color rgb="FF000000"/>
      <name val="Arial"/>
      <family val="0"/>
      <charset val="1"/>
    </font>
    <font>
      <sz val="10"/>
      <color rgb="FF0000FF"/>
      <name val="Arial"/>
      <family val="0"/>
      <charset val="1"/>
    </font>
    <font>
      <sz val="10"/>
      <name val="Arial"/>
      <family val="2"/>
    </font>
    <font>
      <sz val="10"/>
      <color rgb="FF008000"/>
      <name val="Arial"/>
      <family val="0"/>
      <charset val="1"/>
    </font>
    <font>
      <b val="true"/>
      <sz val="10"/>
      <color rgb="FFC00000"/>
      <name val="Arial"/>
      <family val="0"/>
      <charset val="1"/>
    </font>
    <font>
      <b val="true"/>
      <sz val="18"/>
      <color rgb="FF000000"/>
      <name val="Calibri"/>
      <family val="2"/>
    </font>
    <font>
      <sz val="10"/>
      <color rgb="FF000000"/>
      <name val="Calibri"/>
      <family val="2"/>
    </font>
    <font>
      <b val="true"/>
      <sz val="10"/>
      <color rgb="FF000000"/>
      <name val="Calibri"/>
      <family val="2"/>
    </font>
    <font>
      <b val="true"/>
      <sz val="10"/>
      <color rgb="FF0000FF"/>
      <name val="Arial"/>
      <family val="0"/>
      <charset val="1"/>
    </font>
  </fonts>
  <fills count="6">
    <fill>
      <patternFill patternType="none"/>
    </fill>
    <fill>
      <patternFill patternType="gray125"/>
    </fill>
    <fill>
      <patternFill patternType="solid">
        <fgColor rgb="FF1F3864"/>
        <bgColor rgb="FF333333"/>
      </patternFill>
    </fill>
    <fill>
      <patternFill patternType="solid">
        <fgColor rgb="FFFFFF00"/>
        <bgColor rgb="FFFFFF00"/>
      </patternFill>
    </fill>
    <fill>
      <patternFill patternType="solid">
        <fgColor rgb="FFF2F2F2"/>
        <bgColor rgb="FFDDEBF7"/>
      </patternFill>
    </fill>
    <fill>
      <patternFill patternType="solid">
        <fgColor rgb="FFDDEBF7"/>
        <bgColor rgb="FFF2F2F2"/>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9" fillId="3" borderId="1" xfId="0" applyFont="true" applyBorder="true" applyAlignment="false" applyProtection="false">
      <alignment horizontal="general" vertical="bottom" textRotation="0" wrapText="false" indent="0" shrinkToFit="false"/>
      <protection locked="true" hidden="false"/>
    </xf>
    <xf numFmtId="166" fontId="9" fillId="3" borderId="1" xfId="0" applyFont="true" applyBorder="true" applyAlignment="false" applyProtection="false">
      <alignment horizontal="general" vertical="bottom" textRotation="0" wrapText="false" indent="0" shrinkToFit="false"/>
      <protection locked="true" hidden="false"/>
    </xf>
    <xf numFmtId="165" fontId="6" fillId="4" borderId="1" xfId="0" applyFont="true" applyBorder="true" applyAlignment="false" applyProtection="false">
      <alignment horizontal="general" vertical="bottom" textRotation="0" wrapText="false" indent="0" shrinkToFit="false"/>
      <protection locked="true" hidden="false"/>
    </xf>
    <xf numFmtId="167" fontId="9" fillId="3" borderId="1" xfId="0" applyFont="true" applyBorder="true" applyAlignment="false" applyProtection="false">
      <alignment horizontal="general" vertical="bottom" textRotation="0" wrapText="false" indent="0" shrinkToFit="false"/>
      <protection locked="true" hidden="false"/>
    </xf>
    <xf numFmtId="168" fontId="9" fillId="3" borderId="1" xfId="0" applyFont="true" applyBorder="true" applyAlignment="false" applyProtection="false">
      <alignment horizontal="general" vertical="bottom" textRotation="0" wrapText="false" indent="0" shrinkToFit="false"/>
      <protection locked="true" hidden="false"/>
    </xf>
    <xf numFmtId="169" fontId="9" fillId="3" borderId="1" xfId="0" applyFont="true" applyBorder="true" applyAlignment="false" applyProtection="false">
      <alignment horizontal="general" vertical="bottom" textRotation="0" wrapText="false" indent="0" shrinkToFit="false"/>
      <protection locked="true" hidden="false"/>
    </xf>
    <xf numFmtId="167" fontId="6" fillId="4" borderId="1" xfId="0" applyFont="true" applyBorder="tru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6" fontId="9" fillId="4" borderId="1" xfId="0" applyFont="true" applyBorder="true" applyAlignment="false" applyProtection="false">
      <alignment horizontal="general" vertical="bottom" textRotation="0" wrapText="false" indent="0" shrinkToFit="false"/>
      <protection locked="true" hidden="false"/>
    </xf>
    <xf numFmtId="165" fontId="8" fillId="4" borderId="1" xfId="0" applyFont="true" applyBorder="true" applyAlignment="false" applyProtection="false">
      <alignment horizontal="general" vertical="bottom" textRotation="0" wrapText="false" indent="0" shrinkToFit="false"/>
      <protection locked="true" hidden="false"/>
    </xf>
    <xf numFmtId="165" fontId="11" fillId="4" borderId="1" xfId="0" applyFont="true" applyBorder="true" applyAlignment="false" applyProtection="false">
      <alignment horizontal="general" vertical="bottom" textRotation="0" wrapText="false" indent="0" shrinkToFit="false"/>
      <protection locked="true" hidden="false"/>
    </xf>
    <xf numFmtId="170" fontId="8" fillId="4" borderId="1" xfId="0" applyFont="true" applyBorder="true" applyAlignment="false" applyProtection="false">
      <alignment horizontal="general" vertical="bottom" textRotation="0" wrapText="false" indent="0" shrinkToFit="false"/>
      <protection locked="true" hidden="false"/>
    </xf>
    <xf numFmtId="171" fontId="8" fillId="4" borderId="1" xfId="0" applyFont="true" applyBorder="true" applyAlignment="true" applyProtection="false">
      <alignment horizontal="center" vertical="bottom" textRotation="0" wrapText="false" indent="0" shrinkToFit="false"/>
      <protection locked="true" hidden="false"/>
    </xf>
    <xf numFmtId="164" fontId="8" fillId="4" borderId="1" xfId="0" applyFont="true" applyBorder="true" applyAlignment="true" applyProtection="false">
      <alignment horizontal="center" vertical="bottom" textRotation="0" wrapText="false" indent="0" shrinkToFit="false"/>
      <protection locked="true" hidden="false"/>
    </xf>
    <xf numFmtId="166" fontId="9"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5" fontId="11" fillId="0" borderId="1" xfId="0" applyFont="true" applyBorder="true" applyAlignment="false" applyProtection="false">
      <alignment horizontal="general" vertical="bottom" textRotation="0" wrapText="false" indent="0" shrinkToFit="false"/>
      <protection locked="true" hidden="false"/>
    </xf>
    <xf numFmtId="170" fontId="8" fillId="0" borderId="1" xfId="0" applyFont="true" applyBorder="true" applyAlignment="false" applyProtection="false">
      <alignment horizontal="general" vertical="bottom" textRotation="0" wrapText="false" indent="0" shrinkToFit="false"/>
      <protection locked="true" hidden="false"/>
    </xf>
    <xf numFmtId="171" fontId="8" fillId="0" borderId="1" xfId="0" applyFont="true" applyBorder="true" applyAlignment="true" applyProtection="false">
      <alignment horizontal="center" vertical="bottom" textRotation="0" wrapText="false" indent="0" shrinkToFit="false"/>
      <protection locked="true" hidden="false"/>
    </xf>
    <xf numFmtId="164" fontId="8" fillId="0" borderId="1" xfId="0" applyFont="true" applyBorder="true" applyAlignment="true" applyProtection="false">
      <alignment horizontal="center" vertical="bottom" textRotation="0" wrapText="false" indent="0" shrinkToFit="false"/>
      <protection locked="true" hidden="false"/>
    </xf>
    <xf numFmtId="165" fontId="11" fillId="5" borderId="1" xfId="0" applyFont="true" applyBorder="true" applyAlignment="false" applyProtection="false">
      <alignment horizontal="general" vertical="bottom" textRotation="0" wrapText="false" indent="0" shrinkToFit="false"/>
      <protection locked="true" hidden="false"/>
    </xf>
    <xf numFmtId="167" fontId="11" fillId="5" borderId="1" xfId="0" applyFont="true" applyBorder="true" applyAlignment="false" applyProtection="false">
      <alignment horizontal="general" vertical="bottom" textRotation="0" wrapText="false" indent="0" shrinkToFit="false"/>
      <protection locked="true" hidden="false"/>
    </xf>
    <xf numFmtId="165" fontId="6" fillId="5" borderId="1" xfId="0" applyFont="true" applyBorder="true" applyAlignment="false" applyProtection="false">
      <alignment horizontal="general" vertical="bottom" textRotation="0" wrapText="false" indent="0" shrinkToFit="false"/>
      <protection locked="true" hidden="false"/>
    </xf>
    <xf numFmtId="171" fontId="6" fillId="5" borderId="1"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bottom" textRotation="0" wrapText="true" indent="0" shrinkToFit="false"/>
      <protection locked="true" hidden="false"/>
    </xf>
    <xf numFmtId="168" fontId="16" fillId="5" borderId="1" xfId="0" applyFont="true" applyBorder="true" applyAlignment="true" applyProtection="false">
      <alignment horizontal="center" vertical="bottom" textRotation="0" wrapText="false" indent="0" shrinkToFit="false"/>
      <protection locked="true" hidden="false"/>
    </xf>
    <xf numFmtId="167" fontId="16" fillId="5" borderId="1" xfId="0" applyFont="true" applyBorder="true" applyAlignment="true" applyProtection="false">
      <alignment horizontal="center" vertical="bottom" textRotation="0" wrapText="false" indent="0" shrinkToFit="false"/>
      <protection locked="true" hidden="false"/>
    </xf>
    <xf numFmtId="166" fontId="16" fillId="5"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78787"/>
      <rgbColor rgb="FF9999FF"/>
      <rgbColor rgb="FF993366"/>
      <rgbColor rgb="FFF2F2F2"/>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TPM payout: fixed introduction fee vs share of management fees</a:t>
            </a:r>
          </a:p>
        </c:rich>
      </c:tx>
      <c:overlay val="0"/>
      <c:spPr>
        <a:noFill/>
        <a:ln w="0">
          <a:noFill/>
        </a:ln>
      </c:spPr>
    </c:title>
    <c:autoTitleDeleted val="0"/>
    <c:plotArea>
      <c:lineChart>
        <c:grouping val="standard"/>
        <c:varyColors val="0"/>
        <c:ser>
          <c:idx val="0"/>
          <c:order val="0"/>
          <c:tx>
            <c:strRef>
              <c:f>'Payout Comparison'!D5</c:f>
              <c:strCache>
                <c:ptCount val="1"/>
                <c:pt idx="0">
                  <c:v>Option 1 — deal by deal</c:v>
                </c:pt>
              </c:strCache>
            </c:strRef>
          </c:tx>
          <c:spPr>
            <a:solidFill>
              <a:srgbClr val="c00000"/>
            </a:solidFill>
            <a:ln w="28080">
              <a:solidFill>
                <a:srgbClr val="c0000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'Payout Comparison'!$B$6:$B$24</c:f>
              <c:strCache>
                <c:ptCount val="19"/>
                <c:pt idx="0">
                  <c:v>10</c:v>
                </c:pt>
                <c:pt idx="1">
                  <c:v>15</c:v>
                </c:pt>
                <c:pt idx="2">
                  <c:v>20</c:v>
                </c:pt>
                <c:pt idx="3">
                  <c:v>25</c:v>
                </c:pt>
                <c:pt idx="4">
                  <c:v>30</c:v>
                </c:pt>
                <c:pt idx="5">
                  <c:v>35</c:v>
                </c:pt>
                <c:pt idx="6">
                  <c:v>40</c:v>
                </c:pt>
                <c:pt idx="7">
                  <c:v>45</c:v>
                </c:pt>
                <c:pt idx="8">
                  <c:v>50</c:v>
                </c:pt>
                <c:pt idx="9">
                  <c:v>55</c:v>
                </c:pt>
                <c:pt idx="10">
                  <c:v>60</c:v>
                </c:pt>
                <c:pt idx="11">
                  <c:v>65</c:v>
                </c:pt>
                <c:pt idx="12">
                  <c:v>70</c:v>
                </c:pt>
                <c:pt idx="13">
                  <c:v>75</c:v>
                </c:pt>
                <c:pt idx="14">
                  <c:v>80</c:v>
                </c:pt>
                <c:pt idx="15">
                  <c:v>85</c:v>
                </c:pt>
                <c:pt idx="16">
                  <c:v>90</c:v>
                </c:pt>
                <c:pt idx="17">
                  <c:v>95</c:v>
                </c:pt>
                <c:pt idx="18">
                  <c:v>100</c:v>
                </c:pt>
              </c:strCache>
            </c:strRef>
          </c:cat>
          <c:val>
            <c:numRef>
              <c:f>'Payout Comparison'!$D$6:$D$24</c:f>
              <c:numCache>
                <c:formatCode>\€#,##0;"(€"#,##0\);\-</c:formatCode>
                <c:ptCount val="19"/>
                <c:pt idx="0">
                  <c:v>100000</c:v>
                </c:pt>
                <c:pt idx="1">
                  <c:v>100000</c:v>
                </c:pt>
                <c:pt idx="2">
                  <c:v>100000</c:v>
                </c:pt>
                <c:pt idx="3">
                  <c:v>100000</c:v>
                </c:pt>
                <c:pt idx="4">
                  <c:v>100000</c:v>
                </c:pt>
                <c:pt idx="5">
                  <c:v>100000</c:v>
                </c:pt>
                <c:pt idx="6">
                  <c:v>100000</c:v>
                </c:pt>
                <c:pt idx="7">
                  <c:v>100000</c:v>
                </c:pt>
                <c:pt idx="8">
                  <c:v>100000</c:v>
                </c:pt>
                <c:pt idx="9">
                  <c:v>100000</c:v>
                </c:pt>
                <c:pt idx="10">
                  <c:v>100000</c:v>
                </c:pt>
                <c:pt idx="11">
                  <c:v>100000</c:v>
                </c:pt>
                <c:pt idx="12">
                  <c:v>100000</c:v>
                </c:pt>
                <c:pt idx="13">
                  <c:v>100000</c:v>
                </c:pt>
                <c:pt idx="14">
                  <c:v>100000</c:v>
                </c:pt>
                <c:pt idx="15">
                  <c:v>100000</c:v>
                </c:pt>
                <c:pt idx="16">
                  <c:v>100000</c:v>
                </c:pt>
                <c:pt idx="17">
                  <c:v>100000</c:v>
                </c:pt>
                <c:pt idx="18">
                  <c:v>100000</c:v>
                </c:pt>
              </c:numCache>
            </c:numRef>
          </c:val>
          <c:smooth val="0"/>
        </c:ser>
        <c:ser>
          <c:idx val="1"/>
          <c:order val="1"/>
          <c:tx>
            <c:strRef>
              <c:f>'Payout Comparison'!E5</c:f>
              <c:strCache>
                <c:ptCount val="1"/>
                <c:pt idx="0">
                  <c:v>Option 2 — fee share</c:v>
                </c:pt>
              </c:strCache>
            </c:strRef>
          </c:tx>
          <c:spPr>
            <a:solidFill>
              <a:srgbClr val="1f3864"/>
            </a:solidFill>
            <a:ln w="28080">
              <a:solidFill>
                <a:srgbClr val="1f3864"/>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'Payout Comparison'!$B$6:$B$24</c:f>
              <c:strCache>
                <c:ptCount val="19"/>
                <c:pt idx="0">
                  <c:v>10</c:v>
                </c:pt>
                <c:pt idx="1">
                  <c:v>15</c:v>
                </c:pt>
                <c:pt idx="2">
                  <c:v>20</c:v>
                </c:pt>
                <c:pt idx="3">
                  <c:v>25</c:v>
                </c:pt>
                <c:pt idx="4">
                  <c:v>30</c:v>
                </c:pt>
                <c:pt idx="5">
                  <c:v>35</c:v>
                </c:pt>
                <c:pt idx="6">
                  <c:v>40</c:v>
                </c:pt>
                <c:pt idx="7">
                  <c:v>45</c:v>
                </c:pt>
                <c:pt idx="8">
                  <c:v>50</c:v>
                </c:pt>
                <c:pt idx="9">
                  <c:v>55</c:v>
                </c:pt>
                <c:pt idx="10">
                  <c:v>60</c:v>
                </c:pt>
                <c:pt idx="11">
                  <c:v>65</c:v>
                </c:pt>
                <c:pt idx="12">
                  <c:v>70</c:v>
                </c:pt>
                <c:pt idx="13">
                  <c:v>75</c:v>
                </c:pt>
                <c:pt idx="14">
                  <c:v>80</c:v>
                </c:pt>
                <c:pt idx="15">
                  <c:v>85</c:v>
                </c:pt>
                <c:pt idx="16">
                  <c:v>90</c:v>
                </c:pt>
                <c:pt idx="17">
                  <c:v>95</c:v>
                </c:pt>
                <c:pt idx="18">
                  <c:v>100</c:v>
                </c:pt>
              </c:strCache>
            </c:strRef>
          </c:cat>
          <c:val>
            <c:numRef>
              <c:f>'Payout Comparison'!$E$6:$E$24</c:f>
              <c:numCache>
                <c:formatCode>\€#,##0;"(€"#,##0\);\-</c:formatCode>
                <c:ptCount val="19"/>
                <c:pt idx="0">
                  <c:v>20000</c:v>
                </c:pt>
                <c:pt idx="1">
                  <c:v>30000</c:v>
                </c:pt>
                <c:pt idx="2">
                  <c:v>40000</c:v>
                </c:pt>
                <c:pt idx="3">
                  <c:v>50000</c:v>
                </c:pt>
                <c:pt idx="4">
                  <c:v>60000</c:v>
                </c:pt>
                <c:pt idx="5">
                  <c:v>70000</c:v>
                </c:pt>
                <c:pt idx="6">
                  <c:v>80000</c:v>
                </c:pt>
                <c:pt idx="7">
                  <c:v>90000</c:v>
                </c:pt>
                <c:pt idx="8">
                  <c:v>100000</c:v>
                </c:pt>
                <c:pt idx="9">
                  <c:v>110000</c:v>
                </c:pt>
                <c:pt idx="10">
                  <c:v>120000</c:v>
                </c:pt>
                <c:pt idx="11">
                  <c:v>130000</c:v>
                </c:pt>
                <c:pt idx="12">
                  <c:v>140000</c:v>
                </c:pt>
                <c:pt idx="13">
                  <c:v>150000</c:v>
                </c:pt>
                <c:pt idx="14">
                  <c:v>160000</c:v>
                </c:pt>
                <c:pt idx="15">
                  <c:v>170000</c:v>
                </c:pt>
                <c:pt idx="16">
                  <c:v>180000</c:v>
                </c:pt>
                <c:pt idx="17">
                  <c:v>190000</c:v>
                </c:pt>
                <c:pt idx="18">
                  <c:v>200000</c:v>
                </c:pt>
              </c:numCache>
            </c:numRef>
          </c:val>
          <c:smooth val="0"/>
        </c:ser>
        <c:hiLowLines>
          <c:spPr>
            <a:ln w="0">
              <a:noFill/>
            </a:ln>
          </c:spPr>
        </c:hiLowLines>
        <c:marker val="0"/>
        <c:axId val="370627"/>
        <c:axId val="78795791"/>
      </c:lineChart>
      <c:catAx>
        <c:axId val="370627"/>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Assets raised (€m)</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8795791"/>
        <c:crosses val="autoZero"/>
        <c:auto val="1"/>
        <c:lblAlgn val="ctr"/>
        <c:lblOffset val="100"/>
        <c:noMultiLvlLbl val="0"/>
      </c:catAx>
      <c:valAx>
        <c:axId val="78795791"/>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Payout to TPM (€)</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70627"/>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3</xdr:row>
      <xdr:rowOff>160920</xdr:rowOff>
    </xdr:from>
    <xdr:to>
      <xdr:col>1</xdr:col>
      <xdr:colOff>9359640</xdr:colOff>
      <xdr:row>26</xdr:row>
      <xdr:rowOff>99000</xdr:rowOff>
    </xdr:to>
    <xdr:graphicFrame>
      <xdr:nvGraphicFramePr>
        <xdr:cNvPr id="0" name="Chart 1"/>
        <xdr:cNvGraphicFramePr/>
      </xdr:nvGraphicFramePr>
      <xdr:xfrm>
        <a:off x="177840" y="762120"/>
        <a:ext cx="9359640" cy="43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D2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46"/>
    <col collapsed="false" customWidth="true" hidden="false" outlineLevel="0" max="3" min="3" style="0" width="16"/>
    <col collapsed="false" customWidth="true" hidden="false" outlineLevel="0" max="4" min="4" style="0" width="58"/>
  </cols>
  <sheetData>
    <row r="2" customFormat="false" ht="17.35" hidden="false" customHeight="false" outlineLevel="0" collapsed="false">
      <c r="B2" s="1" t="s">
        <v>0</v>
      </c>
    </row>
    <row r="3" customFormat="false" ht="15" hidden="false" customHeight="false" outlineLevel="0" collapsed="false">
      <c r="B3" s="2" t="s">
        <v>1</v>
      </c>
    </row>
    <row r="5" customFormat="false" ht="15" hidden="false" customHeight="false" outlineLevel="0" collapsed="false">
      <c r="B5" s="3" t="s">
        <v>2</v>
      </c>
    </row>
    <row r="6" customFormat="false" ht="15" hidden="false" customHeight="false" outlineLevel="0" collapsed="false">
      <c r="B6" s="2" t="s">
        <v>3</v>
      </c>
    </row>
    <row r="7" customFormat="false" ht="15" hidden="false" customHeight="false" outlineLevel="0" collapsed="false">
      <c r="B7" s="2" t="s">
        <v>4</v>
      </c>
    </row>
    <row r="9" customFormat="false" ht="15" hidden="false" customHeight="false" outlineLevel="0" collapsed="false">
      <c r="B9" s="4" t="s">
        <v>5</v>
      </c>
      <c r="C9" s="5"/>
      <c r="D9" s="5"/>
    </row>
    <row r="10" customFormat="false" ht="15" hidden="false" customHeight="false" outlineLevel="0" collapsed="false">
      <c r="B10" s="6" t="s">
        <v>6</v>
      </c>
      <c r="C10" s="7" t="n">
        <v>10000</v>
      </c>
    </row>
    <row r="11" customFormat="false" ht="15" hidden="false" customHeight="false" outlineLevel="0" collapsed="false">
      <c r="B11" s="6" t="s">
        <v>7</v>
      </c>
      <c r="C11" s="8" t="n">
        <v>10</v>
      </c>
    </row>
    <row r="12" customFormat="false" ht="15" hidden="false" customHeight="false" outlineLevel="0" collapsed="false">
      <c r="B12" s="3" t="s">
        <v>8</v>
      </c>
      <c r="C12" s="9" t="n">
        <f aca="false">C10*C11</f>
        <v>100000</v>
      </c>
      <c r="D12" s="2" t="s">
        <v>9</v>
      </c>
    </row>
    <row r="14" customFormat="false" ht="15" hidden="false" customHeight="false" outlineLevel="0" collapsed="false">
      <c r="B14" s="4" t="s">
        <v>10</v>
      </c>
      <c r="C14" s="5"/>
      <c r="D14" s="5"/>
    </row>
    <row r="15" customFormat="false" ht="15" hidden="false" customHeight="false" outlineLevel="0" collapsed="false">
      <c r="B15" s="6" t="s">
        <v>11</v>
      </c>
      <c r="C15" s="10" t="n">
        <v>0.01</v>
      </c>
    </row>
    <row r="16" customFormat="false" ht="15" hidden="false" customHeight="false" outlineLevel="0" collapsed="false">
      <c r="B16" s="6" t="s">
        <v>12</v>
      </c>
      <c r="C16" s="11" t="n">
        <v>0.2</v>
      </c>
    </row>
    <row r="17" customFormat="false" ht="15" hidden="false" customHeight="false" outlineLevel="0" collapsed="false">
      <c r="B17" s="6" t="s">
        <v>13</v>
      </c>
      <c r="C17" s="12" t="n">
        <v>1</v>
      </c>
    </row>
    <row r="18" customFormat="false" ht="15" hidden="false" customHeight="false" outlineLevel="0" collapsed="false">
      <c r="B18" s="3" t="s">
        <v>14</v>
      </c>
      <c r="C18" s="13" t="n">
        <f aca="false">C15*C16*C17</f>
        <v>0.002</v>
      </c>
      <c r="D18" s="2" t="s">
        <v>15</v>
      </c>
    </row>
    <row r="20" customFormat="false" ht="15" hidden="false" customHeight="false" outlineLevel="0" collapsed="false">
      <c r="B20" s="3" t="s">
        <v>16</v>
      </c>
    </row>
    <row r="21" customFormat="false" ht="15" hidden="false" customHeight="false" outlineLevel="0" collapsed="false">
      <c r="B21" s="2" t="s">
        <v>17</v>
      </c>
    </row>
    <row r="22" customFormat="false" ht="15" hidden="false" customHeight="false" outlineLevel="0" collapsed="false">
      <c r="B22" s="2" t="s">
        <v>18</v>
      </c>
    </row>
    <row r="23" customFormat="false" ht="15" hidden="false" customHeight="false" outlineLevel="0" collapsed="false">
      <c r="B23" s="2" t="s">
        <v>19</v>
      </c>
    </row>
    <row r="24" customFormat="false" ht="15" hidden="false" customHeight="false" outlineLevel="0" collapsed="false">
      <c r="B24" s="2" t="s">
        <v>20</v>
      </c>
    </row>
    <row r="25" customFormat="false" ht="15" hidden="false" customHeight="false" outlineLevel="0" collapsed="false">
      <c r="B25" s="2" t="s">
        <v>21</v>
      </c>
    </row>
    <row r="26" customFormat="false" ht="15" hidden="false" customHeight="false" outlineLevel="0" collapsed="false">
      <c r="B26" s="2" t="s">
        <v>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I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3" min="2" style="0" width="17"/>
    <col collapsed="false" customWidth="true" hidden="false" outlineLevel="0" max="4" min="4" style="0" width="20"/>
    <col collapsed="false" customWidth="true" hidden="false" outlineLevel="0" max="5" min="5" style="0" width="18"/>
    <col collapsed="false" customWidth="true" hidden="false" outlineLevel="0" max="6" min="6" style="0" width="20"/>
    <col collapsed="false" customWidth="true" hidden="false" outlineLevel="0" max="7" min="7" style="0" width="16"/>
    <col collapsed="false" customWidth="true" hidden="false" outlineLevel="0" max="8" min="8" style="0" width="24"/>
    <col collapsed="false" customWidth="true" hidden="false" outlineLevel="0" max="9" min="9" style="0" width="22"/>
  </cols>
  <sheetData>
    <row r="2" customFormat="false" ht="17.35" hidden="false" customHeight="false" outlineLevel="0" collapsed="false">
      <c r="B2" s="1" t="s">
        <v>23</v>
      </c>
    </row>
    <row r="3" customFormat="false" ht="15" hidden="false" customHeight="false" outlineLevel="0" collapsed="false">
      <c r="B3" s="2" t="s">
        <v>24</v>
      </c>
    </row>
    <row r="5" customFormat="false" ht="31.5" hidden="false" customHeight="true" outlineLevel="0" collapsed="false">
      <c r="B5" s="14" t="s">
        <v>25</v>
      </c>
      <c r="C5" s="14" t="s">
        <v>26</v>
      </c>
      <c r="D5" s="14" t="s">
        <v>27</v>
      </c>
      <c r="E5" s="14" t="s">
        <v>28</v>
      </c>
      <c r="F5" s="14" t="s">
        <v>29</v>
      </c>
      <c r="G5" s="14" t="s">
        <v>30</v>
      </c>
      <c r="H5" s="14" t="s">
        <v>31</v>
      </c>
      <c r="I5" s="14" t="s">
        <v>32</v>
      </c>
    </row>
    <row r="6" customFormat="false" ht="15" hidden="false" customHeight="false" outlineLevel="0" collapsed="false">
      <c r="B6" s="15" t="n">
        <v>10</v>
      </c>
      <c r="C6" s="16" t="n">
        <f aca="false">B6*1000000</f>
        <v>10000000</v>
      </c>
      <c r="D6" s="17" t="n">
        <f aca="false">Assumptions!$C$12</f>
        <v>100000</v>
      </c>
      <c r="E6" s="16" t="n">
        <f aca="false">C6*Assumptions!$C$18</f>
        <v>20000</v>
      </c>
      <c r="F6" s="16" t="n">
        <f aca="false">E6-D6</f>
        <v>-80000</v>
      </c>
      <c r="G6" s="18" t="n">
        <f aca="false">IF(D6=0,"n/a",E6/D6)</f>
        <v>0.2</v>
      </c>
      <c r="H6" s="19" t="n">
        <f aca="false">IF(Assumptions!$C$10&lt;=0,"n/a",E6/Assumptions!$C$10)</f>
        <v>2</v>
      </c>
      <c r="I6" s="20" t="str">
        <f aca="false">IF(E6&gt;D6,"Option 2",IF(E6=D6,"Identical","Option 1"))</f>
        <v>Option 1</v>
      </c>
    </row>
    <row r="7" customFormat="false" ht="15" hidden="false" customHeight="false" outlineLevel="0" collapsed="false">
      <c r="B7" s="21" t="n">
        <v>15</v>
      </c>
      <c r="C7" s="22" t="n">
        <f aca="false">B7*1000000</f>
        <v>15000000</v>
      </c>
      <c r="D7" s="23" t="n">
        <f aca="false">Assumptions!$C$12</f>
        <v>100000</v>
      </c>
      <c r="E7" s="22" t="n">
        <f aca="false">C7*Assumptions!$C$18</f>
        <v>30000</v>
      </c>
      <c r="F7" s="22" t="n">
        <f aca="false">E7-D7</f>
        <v>-70000</v>
      </c>
      <c r="G7" s="24" t="n">
        <f aca="false">IF(D7=0,"n/a",E7/D7)</f>
        <v>0.3</v>
      </c>
      <c r="H7" s="25" t="n">
        <f aca="false">IF(Assumptions!$C$10&lt;=0,"n/a",E7/Assumptions!$C$10)</f>
        <v>3</v>
      </c>
      <c r="I7" s="26" t="str">
        <f aca="false">IF(E7&gt;D7,"Option 2",IF(E7=D7,"Identical","Option 1"))</f>
        <v>Option 1</v>
      </c>
    </row>
    <row r="8" customFormat="false" ht="15" hidden="false" customHeight="false" outlineLevel="0" collapsed="false">
      <c r="B8" s="15" t="n">
        <v>20</v>
      </c>
      <c r="C8" s="16" t="n">
        <f aca="false">B8*1000000</f>
        <v>20000000</v>
      </c>
      <c r="D8" s="17" t="n">
        <f aca="false">Assumptions!$C$12</f>
        <v>100000</v>
      </c>
      <c r="E8" s="16" t="n">
        <f aca="false">C8*Assumptions!$C$18</f>
        <v>40000</v>
      </c>
      <c r="F8" s="16" t="n">
        <f aca="false">E8-D8</f>
        <v>-60000</v>
      </c>
      <c r="G8" s="18" t="n">
        <f aca="false">IF(D8=0,"n/a",E8/D8)</f>
        <v>0.4</v>
      </c>
      <c r="H8" s="19" t="n">
        <f aca="false">IF(Assumptions!$C$10&lt;=0,"n/a",E8/Assumptions!$C$10)</f>
        <v>4</v>
      </c>
      <c r="I8" s="20" t="str">
        <f aca="false">IF(E8&gt;D8,"Option 2",IF(E8=D8,"Identical","Option 1"))</f>
        <v>Option 1</v>
      </c>
    </row>
    <row r="9" customFormat="false" ht="15" hidden="false" customHeight="false" outlineLevel="0" collapsed="false">
      <c r="B9" s="21" t="n">
        <v>25</v>
      </c>
      <c r="C9" s="22" t="n">
        <f aca="false">B9*1000000</f>
        <v>25000000</v>
      </c>
      <c r="D9" s="23" t="n">
        <f aca="false">Assumptions!$C$12</f>
        <v>100000</v>
      </c>
      <c r="E9" s="22" t="n">
        <f aca="false">C9*Assumptions!$C$18</f>
        <v>50000</v>
      </c>
      <c r="F9" s="22" t="n">
        <f aca="false">E9-D9</f>
        <v>-50000</v>
      </c>
      <c r="G9" s="24" t="n">
        <f aca="false">IF(D9=0,"n/a",E9/D9)</f>
        <v>0.5</v>
      </c>
      <c r="H9" s="25" t="n">
        <f aca="false">IF(Assumptions!$C$10&lt;=0,"n/a",E9/Assumptions!$C$10)</f>
        <v>5</v>
      </c>
      <c r="I9" s="26" t="str">
        <f aca="false">IF(E9&gt;D9,"Option 2",IF(E9=D9,"Identical","Option 1"))</f>
        <v>Option 1</v>
      </c>
    </row>
    <row r="10" customFormat="false" ht="15" hidden="false" customHeight="false" outlineLevel="0" collapsed="false">
      <c r="B10" s="15" t="n">
        <v>30</v>
      </c>
      <c r="C10" s="16" t="n">
        <f aca="false">B10*1000000</f>
        <v>30000000</v>
      </c>
      <c r="D10" s="17" t="n">
        <f aca="false">Assumptions!$C$12</f>
        <v>100000</v>
      </c>
      <c r="E10" s="16" t="n">
        <f aca="false">C10*Assumptions!$C$18</f>
        <v>60000</v>
      </c>
      <c r="F10" s="16" t="n">
        <f aca="false">E10-D10</f>
        <v>-40000</v>
      </c>
      <c r="G10" s="18" t="n">
        <f aca="false">IF(D10=0,"n/a",E10/D10)</f>
        <v>0.6</v>
      </c>
      <c r="H10" s="19" t="n">
        <f aca="false">IF(Assumptions!$C$10&lt;=0,"n/a",E10/Assumptions!$C$10)</f>
        <v>6</v>
      </c>
      <c r="I10" s="20" t="str">
        <f aca="false">IF(E10&gt;D10,"Option 2",IF(E10=D10,"Identical","Option 1"))</f>
        <v>Option 1</v>
      </c>
    </row>
    <row r="11" customFormat="false" ht="15" hidden="false" customHeight="false" outlineLevel="0" collapsed="false">
      <c r="B11" s="21" t="n">
        <v>35</v>
      </c>
      <c r="C11" s="22" t="n">
        <f aca="false">B11*1000000</f>
        <v>35000000</v>
      </c>
      <c r="D11" s="23" t="n">
        <f aca="false">Assumptions!$C$12</f>
        <v>100000</v>
      </c>
      <c r="E11" s="22" t="n">
        <f aca="false">C11*Assumptions!$C$18</f>
        <v>70000</v>
      </c>
      <c r="F11" s="22" t="n">
        <f aca="false">E11-D11</f>
        <v>-30000</v>
      </c>
      <c r="G11" s="24" t="n">
        <f aca="false">IF(D11=0,"n/a",E11/D11)</f>
        <v>0.7</v>
      </c>
      <c r="H11" s="25" t="n">
        <f aca="false">IF(Assumptions!$C$10&lt;=0,"n/a",E11/Assumptions!$C$10)</f>
        <v>7</v>
      </c>
      <c r="I11" s="26" t="str">
        <f aca="false">IF(E11&gt;D11,"Option 2",IF(E11=D11,"Identical","Option 1"))</f>
        <v>Option 1</v>
      </c>
    </row>
    <row r="12" customFormat="false" ht="15" hidden="false" customHeight="false" outlineLevel="0" collapsed="false">
      <c r="B12" s="15" t="n">
        <v>40</v>
      </c>
      <c r="C12" s="16" t="n">
        <f aca="false">B12*1000000</f>
        <v>40000000</v>
      </c>
      <c r="D12" s="17" t="n">
        <f aca="false">Assumptions!$C$12</f>
        <v>100000</v>
      </c>
      <c r="E12" s="16" t="n">
        <f aca="false">C12*Assumptions!$C$18</f>
        <v>80000</v>
      </c>
      <c r="F12" s="16" t="n">
        <f aca="false">E12-D12</f>
        <v>-20000</v>
      </c>
      <c r="G12" s="18" t="n">
        <f aca="false">IF(D12=0,"n/a",E12/D12)</f>
        <v>0.8</v>
      </c>
      <c r="H12" s="19" t="n">
        <f aca="false">IF(Assumptions!$C$10&lt;=0,"n/a",E12/Assumptions!$C$10)</f>
        <v>8</v>
      </c>
      <c r="I12" s="20" t="str">
        <f aca="false">IF(E12&gt;D12,"Option 2",IF(E12=D12,"Identical","Option 1"))</f>
        <v>Option 1</v>
      </c>
    </row>
    <row r="13" customFormat="false" ht="15" hidden="false" customHeight="false" outlineLevel="0" collapsed="false">
      <c r="B13" s="21" t="n">
        <v>45</v>
      </c>
      <c r="C13" s="22" t="n">
        <f aca="false">B13*1000000</f>
        <v>45000000</v>
      </c>
      <c r="D13" s="23" t="n">
        <f aca="false">Assumptions!$C$12</f>
        <v>100000</v>
      </c>
      <c r="E13" s="22" t="n">
        <f aca="false">C13*Assumptions!$C$18</f>
        <v>90000</v>
      </c>
      <c r="F13" s="22" t="n">
        <f aca="false">E13-D13</f>
        <v>-10000</v>
      </c>
      <c r="G13" s="24" t="n">
        <f aca="false">IF(D13=0,"n/a",E13/D13)</f>
        <v>0.9</v>
      </c>
      <c r="H13" s="25" t="n">
        <f aca="false">IF(Assumptions!$C$10&lt;=0,"n/a",E13/Assumptions!$C$10)</f>
        <v>9</v>
      </c>
      <c r="I13" s="26" t="str">
        <f aca="false">IF(E13&gt;D13,"Option 2",IF(E13=D13,"Identical","Option 1"))</f>
        <v>Option 1</v>
      </c>
    </row>
    <row r="14" customFormat="false" ht="15" hidden="false" customHeight="false" outlineLevel="0" collapsed="false">
      <c r="B14" s="15" t="n">
        <v>50</v>
      </c>
      <c r="C14" s="16" t="n">
        <f aca="false">B14*1000000</f>
        <v>50000000</v>
      </c>
      <c r="D14" s="17" t="n">
        <f aca="false">Assumptions!$C$12</f>
        <v>100000</v>
      </c>
      <c r="E14" s="16" t="n">
        <f aca="false">C14*Assumptions!$C$18</f>
        <v>100000</v>
      </c>
      <c r="F14" s="16" t="n">
        <f aca="false">E14-D14</f>
        <v>0</v>
      </c>
      <c r="G14" s="18" t="n">
        <f aca="false">IF(D14=0,"n/a",E14/D14)</f>
        <v>1</v>
      </c>
      <c r="H14" s="19" t="n">
        <f aca="false">IF(Assumptions!$C$10&lt;=0,"n/a",E14/Assumptions!$C$10)</f>
        <v>10</v>
      </c>
      <c r="I14" s="20" t="str">
        <f aca="false">IF(E14&gt;D14,"Option 2",IF(E14=D14,"Identical","Option 1"))</f>
        <v>Identical</v>
      </c>
    </row>
    <row r="15" customFormat="false" ht="15" hidden="false" customHeight="false" outlineLevel="0" collapsed="false">
      <c r="B15" s="21" t="n">
        <v>55</v>
      </c>
      <c r="C15" s="22" t="n">
        <f aca="false">B15*1000000</f>
        <v>55000000</v>
      </c>
      <c r="D15" s="23" t="n">
        <f aca="false">Assumptions!$C$12</f>
        <v>100000</v>
      </c>
      <c r="E15" s="22" t="n">
        <f aca="false">C15*Assumptions!$C$18</f>
        <v>110000</v>
      </c>
      <c r="F15" s="22" t="n">
        <f aca="false">E15-D15</f>
        <v>10000</v>
      </c>
      <c r="G15" s="24" t="n">
        <f aca="false">IF(D15=0,"n/a",E15/D15)</f>
        <v>1.1</v>
      </c>
      <c r="H15" s="25" t="n">
        <f aca="false">IF(Assumptions!$C$10&lt;=0,"n/a",E15/Assumptions!$C$10)</f>
        <v>11</v>
      </c>
      <c r="I15" s="26" t="str">
        <f aca="false">IF(E15&gt;D15,"Option 2",IF(E15=D15,"Identical","Option 1"))</f>
        <v>Option 2</v>
      </c>
    </row>
    <row r="16" customFormat="false" ht="15" hidden="false" customHeight="false" outlineLevel="0" collapsed="false">
      <c r="B16" s="15" t="n">
        <v>60</v>
      </c>
      <c r="C16" s="16" t="n">
        <f aca="false">B16*1000000</f>
        <v>60000000</v>
      </c>
      <c r="D16" s="17" t="n">
        <f aca="false">Assumptions!$C$12</f>
        <v>100000</v>
      </c>
      <c r="E16" s="16" t="n">
        <f aca="false">C16*Assumptions!$C$18</f>
        <v>120000</v>
      </c>
      <c r="F16" s="16" t="n">
        <f aca="false">E16-D16</f>
        <v>20000</v>
      </c>
      <c r="G16" s="18" t="n">
        <f aca="false">IF(D16=0,"n/a",E16/D16)</f>
        <v>1.2</v>
      </c>
      <c r="H16" s="19" t="n">
        <f aca="false">IF(Assumptions!$C$10&lt;=0,"n/a",E16/Assumptions!$C$10)</f>
        <v>12</v>
      </c>
      <c r="I16" s="20" t="str">
        <f aca="false">IF(E16&gt;D16,"Option 2",IF(E16=D16,"Identical","Option 1"))</f>
        <v>Option 2</v>
      </c>
    </row>
    <row r="17" customFormat="false" ht="15" hidden="false" customHeight="false" outlineLevel="0" collapsed="false">
      <c r="B17" s="21" t="n">
        <v>65</v>
      </c>
      <c r="C17" s="22" t="n">
        <f aca="false">B17*1000000</f>
        <v>65000000</v>
      </c>
      <c r="D17" s="23" t="n">
        <f aca="false">Assumptions!$C$12</f>
        <v>100000</v>
      </c>
      <c r="E17" s="22" t="n">
        <f aca="false">C17*Assumptions!$C$18</f>
        <v>130000</v>
      </c>
      <c r="F17" s="22" t="n">
        <f aca="false">E17-D17</f>
        <v>30000</v>
      </c>
      <c r="G17" s="24" t="n">
        <f aca="false">IF(D17=0,"n/a",E17/D17)</f>
        <v>1.3</v>
      </c>
      <c r="H17" s="25" t="n">
        <f aca="false">IF(Assumptions!$C$10&lt;=0,"n/a",E17/Assumptions!$C$10)</f>
        <v>13</v>
      </c>
      <c r="I17" s="26" t="str">
        <f aca="false">IF(E17&gt;D17,"Option 2",IF(E17=D17,"Identical","Option 1"))</f>
        <v>Option 2</v>
      </c>
    </row>
    <row r="18" customFormat="false" ht="15" hidden="false" customHeight="false" outlineLevel="0" collapsed="false">
      <c r="B18" s="15" t="n">
        <v>70</v>
      </c>
      <c r="C18" s="16" t="n">
        <f aca="false">B18*1000000</f>
        <v>70000000</v>
      </c>
      <c r="D18" s="17" t="n">
        <f aca="false">Assumptions!$C$12</f>
        <v>100000</v>
      </c>
      <c r="E18" s="16" t="n">
        <f aca="false">C18*Assumptions!$C$18</f>
        <v>140000</v>
      </c>
      <c r="F18" s="16" t="n">
        <f aca="false">E18-D18</f>
        <v>40000</v>
      </c>
      <c r="G18" s="18" t="n">
        <f aca="false">IF(D18=0,"n/a",E18/D18)</f>
        <v>1.4</v>
      </c>
      <c r="H18" s="19" t="n">
        <f aca="false">IF(Assumptions!$C$10&lt;=0,"n/a",E18/Assumptions!$C$10)</f>
        <v>14</v>
      </c>
      <c r="I18" s="20" t="str">
        <f aca="false">IF(E18&gt;D18,"Option 2",IF(E18=D18,"Identical","Option 1"))</f>
        <v>Option 2</v>
      </c>
    </row>
    <row r="19" customFormat="false" ht="15" hidden="false" customHeight="false" outlineLevel="0" collapsed="false">
      <c r="B19" s="21" t="n">
        <v>75</v>
      </c>
      <c r="C19" s="22" t="n">
        <f aca="false">B19*1000000</f>
        <v>75000000</v>
      </c>
      <c r="D19" s="23" t="n">
        <f aca="false">Assumptions!$C$12</f>
        <v>100000</v>
      </c>
      <c r="E19" s="22" t="n">
        <f aca="false">C19*Assumptions!$C$18</f>
        <v>150000</v>
      </c>
      <c r="F19" s="22" t="n">
        <f aca="false">E19-D19</f>
        <v>50000</v>
      </c>
      <c r="G19" s="24" t="n">
        <f aca="false">IF(D19=0,"n/a",E19/D19)</f>
        <v>1.5</v>
      </c>
      <c r="H19" s="25" t="n">
        <f aca="false">IF(Assumptions!$C$10&lt;=0,"n/a",E19/Assumptions!$C$10)</f>
        <v>15</v>
      </c>
      <c r="I19" s="26" t="str">
        <f aca="false">IF(E19&gt;D19,"Option 2",IF(E19=D19,"Identical","Option 1"))</f>
        <v>Option 2</v>
      </c>
    </row>
    <row r="20" customFormat="false" ht="15" hidden="false" customHeight="false" outlineLevel="0" collapsed="false">
      <c r="B20" s="15" t="n">
        <v>80</v>
      </c>
      <c r="C20" s="16" t="n">
        <f aca="false">B20*1000000</f>
        <v>80000000</v>
      </c>
      <c r="D20" s="17" t="n">
        <f aca="false">Assumptions!$C$12</f>
        <v>100000</v>
      </c>
      <c r="E20" s="16" t="n">
        <f aca="false">C20*Assumptions!$C$18</f>
        <v>160000</v>
      </c>
      <c r="F20" s="16" t="n">
        <f aca="false">E20-D20</f>
        <v>60000</v>
      </c>
      <c r="G20" s="18" t="n">
        <f aca="false">IF(D20=0,"n/a",E20/D20)</f>
        <v>1.6</v>
      </c>
      <c r="H20" s="19" t="n">
        <f aca="false">IF(Assumptions!$C$10&lt;=0,"n/a",E20/Assumptions!$C$10)</f>
        <v>16</v>
      </c>
      <c r="I20" s="20" t="str">
        <f aca="false">IF(E20&gt;D20,"Option 2",IF(E20=D20,"Identical","Option 1"))</f>
        <v>Option 2</v>
      </c>
    </row>
    <row r="21" customFormat="false" ht="15" hidden="false" customHeight="false" outlineLevel="0" collapsed="false">
      <c r="B21" s="21" t="n">
        <v>85</v>
      </c>
      <c r="C21" s="22" t="n">
        <f aca="false">B21*1000000</f>
        <v>85000000</v>
      </c>
      <c r="D21" s="23" t="n">
        <f aca="false">Assumptions!$C$12</f>
        <v>100000</v>
      </c>
      <c r="E21" s="22" t="n">
        <f aca="false">C21*Assumptions!$C$18</f>
        <v>170000</v>
      </c>
      <c r="F21" s="22" t="n">
        <f aca="false">E21-D21</f>
        <v>70000</v>
      </c>
      <c r="G21" s="24" t="n">
        <f aca="false">IF(D21=0,"n/a",E21/D21)</f>
        <v>1.7</v>
      </c>
      <c r="H21" s="25" t="n">
        <f aca="false">IF(Assumptions!$C$10&lt;=0,"n/a",E21/Assumptions!$C$10)</f>
        <v>17</v>
      </c>
      <c r="I21" s="26" t="str">
        <f aca="false">IF(E21&gt;D21,"Option 2",IF(E21=D21,"Identical","Option 1"))</f>
        <v>Option 2</v>
      </c>
    </row>
    <row r="22" customFormat="false" ht="15" hidden="false" customHeight="false" outlineLevel="0" collapsed="false">
      <c r="B22" s="15" t="n">
        <v>90</v>
      </c>
      <c r="C22" s="16" t="n">
        <f aca="false">B22*1000000</f>
        <v>90000000</v>
      </c>
      <c r="D22" s="17" t="n">
        <f aca="false">Assumptions!$C$12</f>
        <v>100000</v>
      </c>
      <c r="E22" s="16" t="n">
        <f aca="false">C22*Assumptions!$C$18</f>
        <v>180000</v>
      </c>
      <c r="F22" s="16" t="n">
        <f aca="false">E22-D22</f>
        <v>80000</v>
      </c>
      <c r="G22" s="18" t="n">
        <f aca="false">IF(D22=0,"n/a",E22/D22)</f>
        <v>1.8</v>
      </c>
      <c r="H22" s="19" t="n">
        <f aca="false">IF(Assumptions!$C$10&lt;=0,"n/a",E22/Assumptions!$C$10)</f>
        <v>18</v>
      </c>
      <c r="I22" s="20" t="str">
        <f aca="false">IF(E22&gt;D22,"Option 2",IF(E22=D22,"Identical","Option 1"))</f>
        <v>Option 2</v>
      </c>
    </row>
    <row r="23" customFormat="false" ht="15" hidden="false" customHeight="false" outlineLevel="0" collapsed="false">
      <c r="B23" s="21" t="n">
        <v>95</v>
      </c>
      <c r="C23" s="22" t="n">
        <f aca="false">B23*1000000</f>
        <v>95000000</v>
      </c>
      <c r="D23" s="23" t="n">
        <f aca="false">Assumptions!$C$12</f>
        <v>100000</v>
      </c>
      <c r="E23" s="22" t="n">
        <f aca="false">C23*Assumptions!$C$18</f>
        <v>190000</v>
      </c>
      <c r="F23" s="22" t="n">
        <f aca="false">E23-D23</f>
        <v>90000</v>
      </c>
      <c r="G23" s="24" t="n">
        <f aca="false">IF(D23=0,"n/a",E23/D23)</f>
        <v>1.9</v>
      </c>
      <c r="H23" s="25" t="n">
        <f aca="false">IF(Assumptions!$C$10&lt;=0,"n/a",E23/Assumptions!$C$10)</f>
        <v>19</v>
      </c>
      <c r="I23" s="26" t="str">
        <f aca="false">IF(E23&gt;D23,"Option 2",IF(E23=D23,"Identical","Option 1"))</f>
        <v>Option 2</v>
      </c>
    </row>
    <row r="24" customFormat="false" ht="15" hidden="false" customHeight="false" outlineLevel="0" collapsed="false">
      <c r="B24" s="15" t="n">
        <v>100</v>
      </c>
      <c r="C24" s="16" t="n">
        <f aca="false">B24*1000000</f>
        <v>100000000</v>
      </c>
      <c r="D24" s="17" t="n">
        <f aca="false">Assumptions!$C$12</f>
        <v>100000</v>
      </c>
      <c r="E24" s="16" t="n">
        <f aca="false">C24*Assumptions!$C$18</f>
        <v>200000</v>
      </c>
      <c r="F24" s="16" t="n">
        <f aca="false">E24-D24</f>
        <v>100000</v>
      </c>
      <c r="G24" s="18" t="n">
        <f aca="false">IF(D24=0,"n/a",E24/D24)</f>
        <v>2</v>
      </c>
      <c r="H24" s="19" t="n">
        <f aca="false">IF(Assumptions!$C$10&lt;=0,"n/a",E24/Assumptions!$C$10)</f>
        <v>20</v>
      </c>
      <c r="I24" s="20" t="str">
        <f aca="false">IF(E24&gt;D24,"Option 2",IF(E24=D24,"Identical","Option 1"))</f>
        <v>Option 2</v>
      </c>
    </row>
    <row r="26" customFormat="false" ht="15" hidden="false" customHeight="false" outlineLevel="0" collapsed="false">
      <c r="B26" s="4" t="s">
        <v>33</v>
      </c>
      <c r="C26" s="5"/>
      <c r="D26" s="5"/>
      <c r="E26" s="5"/>
      <c r="F26" s="5"/>
      <c r="G26" s="5"/>
      <c r="H26" s="5"/>
      <c r="I26" s="5"/>
    </row>
    <row r="27" customFormat="false" ht="15" hidden="false" customHeight="false" outlineLevel="0" collapsed="false">
      <c r="B27" s="6" t="s">
        <v>8</v>
      </c>
      <c r="C27" s="27" t="n">
        <f aca="false">Assumptions!$C$12</f>
        <v>100000</v>
      </c>
    </row>
    <row r="28" customFormat="false" ht="15" hidden="false" customHeight="false" outlineLevel="0" collapsed="false">
      <c r="B28" s="6" t="s">
        <v>34</v>
      </c>
      <c r="C28" s="28" t="n">
        <f aca="false">Assumptions!$C$18</f>
        <v>0.002</v>
      </c>
    </row>
    <row r="29" customFormat="false" ht="15" hidden="false" customHeight="false" outlineLevel="0" collapsed="false">
      <c r="B29" s="6" t="s">
        <v>35</v>
      </c>
      <c r="C29" s="29" t="n">
        <f aca="false">IF(C28&lt;=0,"n/a",C27/C28)</f>
        <v>50000000</v>
      </c>
    </row>
    <row r="30" customFormat="false" ht="15" hidden="false" customHeight="false" outlineLevel="0" collapsed="false">
      <c r="B30" s="6" t="s">
        <v>36</v>
      </c>
      <c r="C30" s="30" t="n">
        <f aca="false">IF(ISNUMBER(C29),C29/1000000,"n/a")</f>
        <v>50</v>
      </c>
    </row>
    <row r="31" customFormat="false" ht="15" hidden="false" customHeight="false" outlineLevel="0" collapsed="false">
      <c r="B31" s="31" t="str">
        <f aca="false">IF(NOT(ISNUMBER(C30)),"Set a management fee, a TPM share and a period above to compute a breakeven.","Option 2 pays the TPM more than Option 1 once assets raised exceed €"&amp;TEXT(C30,"#,##0.0")&amp;"m. Below that level the deal-by-deal fee is worth more.")</f>
        <v>Option 2 pays the TPM more than Option 1 once assets raised exceed €50.0m. Below that level the deal-by-deal fee is worth more.</v>
      </c>
    </row>
    <row r="32" customFormat="false" ht="15" hidden="false" customHeight="false" outlineLevel="0" collapsed="false">
      <c r="B32" s="2" t="str">
        <f aca="false">IF(NOT(ISNUMBER(C30)),"",IF(AND(C30&gt;=10,C30&lt;=100),"The breakeven falls inside the range shown in the table above - the crossing point is visible on the Payout Chart.","Note: the breakeven falls OUTSIDE the 10m-100m range shown above, so one option dominates at every level in the table. Adjust the number of introductions or the fee terms on the Assumptions sheet to bring the crossing into range."))</f>
        <v>The breakeven falls inside the range shown in the table above - the crossing point is visible on the Payout Chart.</v>
      </c>
    </row>
    <row r="34" customFormat="false" ht="15" hidden="false" customHeight="false" outlineLevel="0" collapsed="false">
      <c r="B34" s="2" t="s">
        <v>37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110"/>
  </cols>
  <sheetData>
    <row r="2" customFormat="false" ht="17.35" hidden="false" customHeight="false" outlineLevel="0" collapsed="false">
      <c r="B2" s="1" t="s">
        <v>38</v>
      </c>
    </row>
    <row r="3" customFormat="false" ht="15" hidden="false" customHeight="false" outlineLevel="0" collapsed="false">
      <c r="B3" s="2" t="s">
        <v>39</v>
      </c>
    </row>
    <row r="32" customFormat="false" ht="15" hidden="false" customHeight="false" outlineLevel="0" collapsed="false">
      <c r="B32" s="3" t="s">
        <v>40</v>
      </c>
    </row>
    <row r="33" customFormat="false" ht="15" hidden="false" customHeight="false" outlineLevel="0" collapsed="false">
      <c r="B33" s="2" t="s">
        <v>41</v>
      </c>
    </row>
    <row r="34" customFormat="false" ht="15" hidden="false" customHeight="false" outlineLevel="0" collapsed="false">
      <c r="B34" s="2" t="s">
        <v>42</v>
      </c>
    </row>
    <row r="35" customFormat="false" ht="15" hidden="false" customHeight="false" outlineLevel="0" collapsed="false">
      <c r="B35" s="2" t="s">
        <v>43</v>
      </c>
    </row>
    <row r="36" customFormat="false" ht="15" hidden="false" customHeight="false" outlineLevel="0" collapsed="false">
      <c r="B36" s="2" t="s">
        <v>44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I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30"/>
    <col collapsed="false" customWidth="true" hidden="false" outlineLevel="0" max="9" min="3" style="0" width="15"/>
  </cols>
  <sheetData>
    <row r="2" customFormat="false" ht="17.35" hidden="false" customHeight="false" outlineLevel="0" collapsed="false">
      <c r="B2" s="1" t="s">
        <v>45</v>
      </c>
    </row>
    <row r="3" customFormat="false" ht="15" hidden="false" customHeight="false" outlineLevel="0" collapsed="false">
      <c r="B3" s="2" t="s">
        <v>46</v>
      </c>
    </row>
    <row r="5" customFormat="false" ht="15" hidden="false" customHeight="false" outlineLevel="0" collapsed="false">
      <c r="B5" s="4" t="s">
        <v>47</v>
      </c>
      <c r="C5" s="5"/>
      <c r="D5" s="5"/>
      <c r="E5" s="5"/>
      <c r="F5" s="5"/>
      <c r="G5" s="5"/>
      <c r="H5" s="5"/>
      <c r="I5" s="5"/>
    </row>
    <row r="6" customFormat="false" ht="15" hidden="false" customHeight="false" outlineLevel="0" collapsed="false">
      <c r="B6" s="2" t="s">
        <v>48</v>
      </c>
    </row>
    <row r="8" customFormat="false" ht="15" hidden="false" customHeight="false" outlineLevel="0" collapsed="false">
      <c r="B8" s="32" t="s">
        <v>49</v>
      </c>
      <c r="C8" s="33" t="n">
        <v>0.1</v>
      </c>
      <c r="D8" s="33" t="n">
        <v>0.15</v>
      </c>
      <c r="E8" s="33" t="n">
        <v>0.2</v>
      </c>
      <c r="F8" s="33" t="n">
        <v>0.25</v>
      </c>
      <c r="G8" s="33" t="n">
        <v>0.3</v>
      </c>
      <c r="H8" s="33" t="n">
        <v>0.4</v>
      </c>
      <c r="I8" s="33" t="n">
        <v>0.5</v>
      </c>
    </row>
    <row r="9" customFormat="false" ht="15" hidden="false" customHeight="false" outlineLevel="0" collapsed="false">
      <c r="B9" s="34" t="n">
        <v>0.005</v>
      </c>
      <c r="C9" s="25" t="n">
        <f aca="false">IF($B9*C$8*Assumptions!$C$17&lt;=0,"n/a",Assumptions!$C$12/($B9*C$8*Assumptions!$C$17)/1000000)</f>
        <v>200</v>
      </c>
      <c r="D9" s="25" t="n">
        <f aca="false">IF($B9*D$8*Assumptions!$C$17&lt;=0,"n/a",Assumptions!$C$12/($B9*D$8*Assumptions!$C$17)/1000000)</f>
        <v>133.333333333333</v>
      </c>
      <c r="E9" s="25" t="n">
        <f aca="false">IF($B9*E$8*Assumptions!$C$17&lt;=0,"n/a",Assumptions!$C$12/($B9*E$8*Assumptions!$C$17)/1000000)</f>
        <v>100</v>
      </c>
      <c r="F9" s="25" t="n">
        <f aca="false">IF($B9*F$8*Assumptions!$C$17&lt;=0,"n/a",Assumptions!$C$12/($B9*F$8*Assumptions!$C$17)/1000000)</f>
        <v>80</v>
      </c>
      <c r="G9" s="25" t="n">
        <f aca="false">IF($B9*G$8*Assumptions!$C$17&lt;=0,"n/a",Assumptions!$C$12/($B9*G$8*Assumptions!$C$17)/1000000)</f>
        <v>66.6666666666667</v>
      </c>
      <c r="H9" s="25" t="n">
        <f aca="false">IF($B9*H$8*Assumptions!$C$17&lt;=0,"n/a",Assumptions!$C$12/($B9*H$8*Assumptions!$C$17)/1000000)</f>
        <v>50</v>
      </c>
      <c r="I9" s="25" t="n">
        <f aca="false">IF($B9*I$8*Assumptions!$C$17&lt;=0,"n/a",Assumptions!$C$12/($B9*I$8*Assumptions!$C$17)/1000000)</f>
        <v>40</v>
      </c>
    </row>
    <row r="10" customFormat="false" ht="15" hidden="false" customHeight="false" outlineLevel="0" collapsed="false">
      <c r="B10" s="34" t="n">
        <v>0.0075</v>
      </c>
      <c r="C10" s="25" t="n">
        <f aca="false">IF($B10*C$8*Assumptions!$C$17&lt;=0,"n/a",Assumptions!$C$12/($B10*C$8*Assumptions!$C$17)/1000000)</f>
        <v>133.333333333333</v>
      </c>
      <c r="D10" s="25" t="n">
        <f aca="false">IF($B10*D$8*Assumptions!$C$17&lt;=0,"n/a",Assumptions!$C$12/($B10*D$8*Assumptions!$C$17)/1000000)</f>
        <v>88.8888888888889</v>
      </c>
      <c r="E10" s="25" t="n">
        <f aca="false">IF($B10*E$8*Assumptions!$C$17&lt;=0,"n/a",Assumptions!$C$12/($B10*E$8*Assumptions!$C$17)/1000000)</f>
        <v>66.6666666666667</v>
      </c>
      <c r="F10" s="25" t="n">
        <f aca="false">IF($B10*F$8*Assumptions!$C$17&lt;=0,"n/a",Assumptions!$C$12/($B10*F$8*Assumptions!$C$17)/1000000)</f>
        <v>53.3333333333333</v>
      </c>
      <c r="G10" s="25" t="n">
        <f aca="false">IF($B10*G$8*Assumptions!$C$17&lt;=0,"n/a",Assumptions!$C$12/($B10*G$8*Assumptions!$C$17)/1000000)</f>
        <v>44.4444444444445</v>
      </c>
      <c r="H10" s="25" t="n">
        <f aca="false">IF($B10*H$8*Assumptions!$C$17&lt;=0,"n/a",Assumptions!$C$12/($B10*H$8*Assumptions!$C$17)/1000000)</f>
        <v>33.3333333333333</v>
      </c>
      <c r="I10" s="25" t="n">
        <f aca="false">IF($B10*I$8*Assumptions!$C$17&lt;=0,"n/a",Assumptions!$C$12/($B10*I$8*Assumptions!$C$17)/1000000)</f>
        <v>26.6666666666667</v>
      </c>
    </row>
    <row r="11" customFormat="false" ht="15" hidden="false" customHeight="false" outlineLevel="0" collapsed="false">
      <c r="B11" s="34" t="n">
        <v>0.01</v>
      </c>
      <c r="C11" s="25" t="n">
        <f aca="false">IF($B11*C$8*Assumptions!$C$17&lt;=0,"n/a",Assumptions!$C$12/($B11*C$8*Assumptions!$C$17)/1000000)</f>
        <v>100</v>
      </c>
      <c r="D11" s="25" t="n">
        <f aca="false">IF($B11*D$8*Assumptions!$C$17&lt;=0,"n/a",Assumptions!$C$12/($B11*D$8*Assumptions!$C$17)/1000000)</f>
        <v>66.6666666666667</v>
      </c>
      <c r="E11" s="25" t="n">
        <f aca="false">IF($B11*E$8*Assumptions!$C$17&lt;=0,"n/a",Assumptions!$C$12/($B11*E$8*Assumptions!$C$17)/1000000)</f>
        <v>50</v>
      </c>
      <c r="F11" s="25" t="n">
        <f aca="false">IF($B11*F$8*Assumptions!$C$17&lt;=0,"n/a",Assumptions!$C$12/($B11*F$8*Assumptions!$C$17)/1000000)</f>
        <v>40</v>
      </c>
      <c r="G11" s="25" t="n">
        <f aca="false">IF($B11*G$8*Assumptions!$C$17&lt;=0,"n/a",Assumptions!$C$12/($B11*G$8*Assumptions!$C$17)/1000000)</f>
        <v>33.3333333333333</v>
      </c>
      <c r="H11" s="25" t="n">
        <f aca="false">IF($B11*H$8*Assumptions!$C$17&lt;=0,"n/a",Assumptions!$C$12/($B11*H$8*Assumptions!$C$17)/1000000)</f>
        <v>25</v>
      </c>
      <c r="I11" s="25" t="n">
        <f aca="false">IF($B11*I$8*Assumptions!$C$17&lt;=0,"n/a",Assumptions!$C$12/($B11*I$8*Assumptions!$C$17)/1000000)</f>
        <v>20</v>
      </c>
    </row>
    <row r="12" customFormat="false" ht="15" hidden="false" customHeight="false" outlineLevel="0" collapsed="false">
      <c r="B12" s="34" t="n">
        <v>0.0125</v>
      </c>
      <c r="C12" s="25" t="n">
        <f aca="false">IF($B12*C$8*Assumptions!$C$17&lt;=0,"n/a",Assumptions!$C$12/($B12*C$8*Assumptions!$C$17)/1000000)</f>
        <v>80</v>
      </c>
      <c r="D12" s="25" t="n">
        <f aca="false">IF($B12*D$8*Assumptions!$C$17&lt;=0,"n/a",Assumptions!$C$12/($B12*D$8*Assumptions!$C$17)/1000000)</f>
        <v>53.3333333333333</v>
      </c>
      <c r="E12" s="25" t="n">
        <f aca="false">IF($B12*E$8*Assumptions!$C$17&lt;=0,"n/a",Assumptions!$C$12/($B12*E$8*Assumptions!$C$17)/1000000)</f>
        <v>40</v>
      </c>
      <c r="F12" s="25" t="n">
        <f aca="false">IF($B12*F$8*Assumptions!$C$17&lt;=0,"n/a",Assumptions!$C$12/($B12*F$8*Assumptions!$C$17)/1000000)</f>
        <v>32</v>
      </c>
      <c r="G12" s="25" t="n">
        <f aca="false">IF($B12*G$8*Assumptions!$C$17&lt;=0,"n/a",Assumptions!$C$12/($B12*G$8*Assumptions!$C$17)/1000000)</f>
        <v>26.6666666666667</v>
      </c>
      <c r="H12" s="25" t="n">
        <f aca="false">IF($B12*H$8*Assumptions!$C$17&lt;=0,"n/a",Assumptions!$C$12/($B12*H$8*Assumptions!$C$17)/1000000)</f>
        <v>20</v>
      </c>
      <c r="I12" s="25" t="n">
        <f aca="false">IF($B12*I$8*Assumptions!$C$17&lt;=0,"n/a",Assumptions!$C$12/($B12*I$8*Assumptions!$C$17)/1000000)</f>
        <v>16</v>
      </c>
    </row>
    <row r="13" customFormat="false" ht="15" hidden="false" customHeight="false" outlineLevel="0" collapsed="false">
      <c r="B13" s="34" t="n">
        <v>0.015</v>
      </c>
      <c r="C13" s="25" t="n">
        <f aca="false">IF($B13*C$8*Assumptions!$C$17&lt;=0,"n/a",Assumptions!$C$12/($B13*C$8*Assumptions!$C$17)/1000000)</f>
        <v>66.6666666666667</v>
      </c>
      <c r="D13" s="25" t="n">
        <f aca="false">IF($B13*D$8*Assumptions!$C$17&lt;=0,"n/a",Assumptions!$C$12/($B13*D$8*Assumptions!$C$17)/1000000)</f>
        <v>44.4444444444445</v>
      </c>
      <c r="E13" s="25" t="n">
        <f aca="false">IF($B13*E$8*Assumptions!$C$17&lt;=0,"n/a",Assumptions!$C$12/($B13*E$8*Assumptions!$C$17)/1000000)</f>
        <v>33.3333333333333</v>
      </c>
      <c r="F13" s="25" t="n">
        <f aca="false">IF($B13*F$8*Assumptions!$C$17&lt;=0,"n/a",Assumptions!$C$12/($B13*F$8*Assumptions!$C$17)/1000000)</f>
        <v>26.6666666666667</v>
      </c>
      <c r="G13" s="25" t="n">
        <f aca="false">IF($B13*G$8*Assumptions!$C$17&lt;=0,"n/a",Assumptions!$C$12/($B13*G$8*Assumptions!$C$17)/1000000)</f>
        <v>22.2222222222222</v>
      </c>
      <c r="H13" s="25" t="n">
        <f aca="false">IF($B13*H$8*Assumptions!$C$17&lt;=0,"n/a",Assumptions!$C$12/($B13*H$8*Assumptions!$C$17)/1000000)</f>
        <v>16.6666666666667</v>
      </c>
      <c r="I13" s="25" t="n">
        <f aca="false">IF($B13*I$8*Assumptions!$C$17&lt;=0,"n/a",Assumptions!$C$12/($B13*I$8*Assumptions!$C$17)/1000000)</f>
        <v>13.3333333333333</v>
      </c>
    </row>
    <row r="15" customFormat="false" ht="15" hidden="false" customHeight="false" outlineLevel="0" collapsed="false">
      <c r="B15" s="2" t="s">
        <v>50</v>
      </c>
    </row>
    <row r="18" customFormat="false" ht="15" hidden="false" customHeight="false" outlineLevel="0" collapsed="false">
      <c r="B18" s="4" t="s">
        <v>51</v>
      </c>
      <c r="C18" s="5"/>
      <c r="D18" s="5"/>
      <c r="E18" s="5"/>
      <c r="F18" s="5"/>
      <c r="G18" s="5"/>
      <c r="H18" s="5"/>
      <c r="I18" s="5"/>
    </row>
    <row r="19" customFormat="false" ht="15" hidden="false" customHeight="false" outlineLevel="0" collapsed="false">
      <c r="B19" s="2" t="str">
        <f aca="false">"Management fee held at "&amp;TEXT(Assumptions!$C$15,"0.00%")&amp;" and "&amp;TEXT(Assumptions!$C$17,"0.0")&amp;" year(s) paid upfront. Compare against the Option 1 total of €"&amp;TEXT(Assumptions!$C$12,"#,##0")&amp;"."</f>
        <v>Management fee held at 1.00% and 1.0 year(s) paid upfront. Compare against the Option 1 total of €100,000.</v>
      </c>
    </row>
    <row r="21" customFormat="false" ht="15" hidden="false" customHeight="false" outlineLevel="0" collapsed="false">
      <c r="B21" s="32" t="s">
        <v>52</v>
      </c>
      <c r="C21" s="33" t="n">
        <v>0.1</v>
      </c>
      <c r="D21" s="33" t="n">
        <v>0.15</v>
      </c>
      <c r="E21" s="33" t="n">
        <v>0.2</v>
      </c>
      <c r="F21" s="33" t="n">
        <v>0.25</v>
      </c>
      <c r="G21" s="33" t="n">
        <v>0.3</v>
      </c>
      <c r="H21" s="33" t="n">
        <v>0.4</v>
      </c>
      <c r="I21" s="33" t="n">
        <v>0.5</v>
      </c>
    </row>
    <row r="22" customFormat="false" ht="15" hidden="false" customHeight="false" outlineLevel="0" collapsed="false">
      <c r="B22" s="35" t="n">
        <v>10</v>
      </c>
      <c r="C22" s="16" t="n">
        <f aca="false">$B22*1000000*Assumptions!$C$15*C$21*Assumptions!$C$17</f>
        <v>10000</v>
      </c>
      <c r="D22" s="16" t="n">
        <f aca="false">$B22*1000000*Assumptions!$C$15*D$21*Assumptions!$C$17</f>
        <v>15000</v>
      </c>
      <c r="E22" s="16" t="n">
        <f aca="false">$B22*1000000*Assumptions!$C$15*E$21*Assumptions!$C$17</f>
        <v>20000</v>
      </c>
      <c r="F22" s="16" t="n">
        <f aca="false">$B22*1000000*Assumptions!$C$15*F$21*Assumptions!$C$17</f>
        <v>25000</v>
      </c>
      <c r="G22" s="16" t="n">
        <f aca="false">$B22*1000000*Assumptions!$C$15*G$21*Assumptions!$C$17</f>
        <v>30000</v>
      </c>
      <c r="H22" s="16" t="n">
        <f aca="false">$B22*1000000*Assumptions!$C$15*H$21*Assumptions!$C$17</f>
        <v>40000</v>
      </c>
      <c r="I22" s="16" t="n">
        <f aca="false">$B22*1000000*Assumptions!$C$15*I$21*Assumptions!$C$17</f>
        <v>50000</v>
      </c>
    </row>
    <row r="23" customFormat="false" ht="15" hidden="false" customHeight="false" outlineLevel="0" collapsed="false">
      <c r="B23" s="35" t="n">
        <v>20</v>
      </c>
      <c r="C23" s="22" t="n">
        <f aca="false">$B23*1000000*Assumptions!$C$15*C$21*Assumptions!$C$17</f>
        <v>20000</v>
      </c>
      <c r="D23" s="22" t="n">
        <f aca="false">$B23*1000000*Assumptions!$C$15*D$21*Assumptions!$C$17</f>
        <v>30000</v>
      </c>
      <c r="E23" s="22" t="n">
        <f aca="false">$B23*1000000*Assumptions!$C$15*E$21*Assumptions!$C$17</f>
        <v>40000</v>
      </c>
      <c r="F23" s="22" t="n">
        <f aca="false">$B23*1000000*Assumptions!$C$15*F$21*Assumptions!$C$17</f>
        <v>50000</v>
      </c>
      <c r="G23" s="22" t="n">
        <f aca="false">$B23*1000000*Assumptions!$C$15*G$21*Assumptions!$C$17</f>
        <v>60000</v>
      </c>
      <c r="H23" s="22" t="n">
        <f aca="false">$B23*1000000*Assumptions!$C$15*H$21*Assumptions!$C$17</f>
        <v>80000</v>
      </c>
      <c r="I23" s="22" t="n">
        <f aca="false">$B23*1000000*Assumptions!$C$15*I$21*Assumptions!$C$17</f>
        <v>100000</v>
      </c>
    </row>
    <row r="24" customFormat="false" ht="15" hidden="false" customHeight="false" outlineLevel="0" collapsed="false">
      <c r="B24" s="35" t="n">
        <v>30</v>
      </c>
      <c r="C24" s="16" t="n">
        <f aca="false">$B24*1000000*Assumptions!$C$15*C$21*Assumptions!$C$17</f>
        <v>30000</v>
      </c>
      <c r="D24" s="16" t="n">
        <f aca="false">$B24*1000000*Assumptions!$C$15*D$21*Assumptions!$C$17</f>
        <v>45000</v>
      </c>
      <c r="E24" s="16" t="n">
        <f aca="false">$B24*1000000*Assumptions!$C$15*E$21*Assumptions!$C$17</f>
        <v>60000</v>
      </c>
      <c r="F24" s="16" t="n">
        <f aca="false">$B24*1000000*Assumptions!$C$15*F$21*Assumptions!$C$17</f>
        <v>75000</v>
      </c>
      <c r="G24" s="16" t="n">
        <f aca="false">$B24*1000000*Assumptions!$C$15*G$21*Assumptions!$C$17</f>
        <v>90000</v>
      </c>
      <c r="H24" s="16" t="n">
        <f aca="false">$B24*1000000*Assumptions!$C$15*H$21*Assumptions!$C$17</f>
        <v>120000</v>
      </c>
      <c r="I24" s="16" t="n">
        <f aca="false">$B24*1000000*Assumptions!$C$15*I$21*Assumptions!$C$17</f>
        <v>150000</v>
      </c>
    </row>
    <row r="25" customFormat="false" ht="15" hidden="false" customHeight="false" outlineLevel="0" collapsed="false">
      <c r="B25" s="35" t="n">
        <v>40</v>
      </c>
      <c r="C25" s="22" t="n">
        <f aca="false">$B25*1000000*Assumptions!$C$15*C$21*Assumptions!$C$17</f>
        <v>40000</v>
      </c>
      <c r="D25" s="22" t="n">
        <f aca="false">$B25*1000000*Assumptions!$C$15*D$21*Assumptions!$C$17</f>
        <v>60000</v>
      </c>
      <c r="E25" s="22" t="n">
        <f aca="false">$B25*1000000*Assumptions!$C$15*E$21*Assumptions!$C$17</f>
        <v>80000</v>
      </c>
      <c r="F25" s="22" t="n">
        <f aca="false">$B25*1000000*Assumptions!$C$15*F$21*Assumptions!$C$17</f>
        <v>100000</v>
      </c>
      <c r="G25" s="22" t="n">
        <f aca="false">$B25*1000000*Assumptions!$C$15*G$21*Assumptions!$C$17</f>
        <v>120000</v>
      </c>
      <c r="H25" s="22" t="n">
        <f aca="false">$B25*1000000*Assumptions!$C$15*H$21*Assumptions!$C$17</f>
        <v>160000</v>
      </c>
      <c r="I25" s="22" t="n">
        <f aca="false">$B25*1000000*Assumptions!$C$15*I$21*Assumptions!$C$17</f>
        <v>200000</v>
      </c>
    </row>
    <row r="26" customFormat="false" ht="15" hidden="false" customHeight="false" outlineLevel="0" collapsed="false">
      <c r="B26" s="35" t="n">
        <v>50</v>
      </c>
      <c r="C26" s="16" t="n">
        <f aca="false">$B26*1000000*Assumptions!$C$15*C$21*Assumptions!$C$17</f>
        <v>50000</v>
      </c>
      <c r="D26" s="16" t="n">
        <f aca="false">$B26*1000000*Assumptions!$C$15*D$21*Assumptions!$C$17</f>
        <v>75000</v>
      </c>
      <c r="E26" s="16" t="n">
        <f aca="false">$B26*1000000*Assumptions!$C$15*E$21*Assumptions!$C$17</f>
        <v>100000</v>
      </c>
      <c r="F26" s="16" t="n">
        <f aca="false">$B26*1000000*Assumptions!$C$15*F$21*Assumptions!$C$17</f>
        <v>125000</v>
      </c>
      <c r="G26" s="16" t="n">
        <f aca="false">$B26*1000000*Assumptions!$C$15*G$21*Assumptions!$C$17</f>
        <v>150000</v>
      </c>
      <c r="H26" s="16" t="n">
        <f aca="false">$B26*1000000*Assumptions!$C$15*H$21*Assumptions!$C$17</f>
        <v>200000</v>
      </c>
      <c r="I26" s="16" t="n">
        <f aca="false">$B26*1000000*Assumptions!$C$15*I$21*Assumptions!$C$17</f>
        <v>250000</v>
      </c>
    </row>
    <row r="27" customFormat="false" ht="15" hidden="false" customHeight="false" outlineLevel="0" collapsed="false">
      <c r="B27" s="35" t="n">
        <v>60</v>
      </c>
      <c r="C27" s="22" t="n">
        <f aca="false">$B27*1000000*Assumptions!$C$15*C$21*Assumptions!$C$17</f>
        <v>60000</v>
      </c>
      <c r="D27" s="22" t="n">
        <f aca="false">$B27*1000000*Assumptions!$C$15*D$21*Assumptions!$C$17</f>
        <v>90000</v>
      </c>
      <c r="E27" s="22" t="n">
        <f aca="false">$B27*1000000*Assumptions!$C$15*E$21*Assumptions!$C$17</f>
        <v>120000</v>
      </c>
      <c r="F27" s="22" t="n">
        <f aca="false">$B27*1000000*Assumptions!$C$15*F$21*Assumptions!$C$17</f>
        <v>150000</v>
      </c>
      <c r="G27" s="22" t="n">
        <f aca="false">$B27*1000000*Assumptions!$C$15*G$21*Assumptions!$C$17</f>
        <v>180000</v>
      </c>
      <c r="H27" s="22" t="n">
        <f aca="false">$B27*1000000*Assumptions!$C$15*H$21*Assumptions!$C$17</f>
        <v>240000</v>
      </c>
      <c r="I27" s="22" t="n">
        <f aca="false">$B27*1000000*Assumptions!$C$15*I$21*Assumptions!$C$17</f>
        <v>300000</v>
      </c>
    </row>
    <row r="28" customFormat="false" ht="15" hidden="false" customHeight="false" outlineLevel="0" collapsed="false">
      <c r="B28" s="35" t="n">
        <v>70</v>
      </c>
      <c r="C28" s="16" t="n">
        <f aca="false">$B28*1000000*Assumptions!$C$15*C$21*Assumptions!$C$17</f>
        <v>70000</v>
      </c>
      <c r="D28" s="16" t="n">
        <f aca="false">$B28*1000000*Assumptions!$C$15*D$21*Assumptions!$C$17</f>
        <v>105000</v>
      </c>
      <c r="E28" s="16" t="n">
        <f aca="false">$B28*1000000*Assumptions!$C$15*E$21*Assumptions!$C$17</f>
        <v>140000</v>
      </c>
      <c r="F28" s="16" t="n">
        <f aca="false">$B28*1000000*Assumptions!$C$15*F$21*Assumptions!$C$17</f>
        <v>175000</v>
      </c>
      <c r="G28" s="16" t="n">
        <f aca="false">$B28*1000000*Assumptions!$C$15*G$21*Assumptions!$C$17</f>
        <v>210000</v>
      </c>
      <c r="H28" s="16" t="n">
        <f aca="false">$B28*1000000*Assumptions!$C$15*H$21*Assumptions!$C$17</f>
        <v>280000</v>
      </c>
      <c r="I28" s="16" t="n">
        <f aca="false">$B28*1000000*Assumptions!$C$15*I$21*Assumptions!$C$17</f>
        <v>350000</v>
      </c>
    </row>
    <row r="29" customFormat="false" ht="15" hidden="false" customHeight="false" outlineLevel="0" collapsed="false">
      <c r="B29" s="35" t="n">
        <v>80</v>
      </c>
      <c r="C29" s="22" t="n">
        <f aca="false">$B29*1000000*Assumptions!$C$15*C$21*Assumptions!$C$17</f>
        <v>80000</v>
      </c>
      <c r="D29" s="22" t="n">
        <f aca="false">$B29*1000000*Assumptions!$C$15*D$21*Assumptions!$C$17</f>
        <v>120000</v>
      </c>
      <c r="E29" s="22" t="n">
        <f aca="false">$B29*1000000*Assumptions!$C$15*E$21*Assumptions!$C$17</f>
        <v>160000</v>
      </c>
      <c r="F29" s="22" t="n">
        <f aca="false">$B29*1000000*Assumptions!$C$15*F$21*Assumptions!$C$17</f>
        <v>200000</v>
      </c>
      <c r="G29" s="22" t="n">
        <f aca="false">$B29*1000000*Assumptions!$C$15*G$21*Assumptions!$C$17</f>
        <v>240000</v>
      </c>
      <c r="H29" s="22" t="n">
        <f aca="false">$B29*1000000*Assumptions!$C$15*H$21*Assumptions!$C$17</f>
        <v>320000</v>
      </c>
      <c r="I29" s="22" t="n">
        <f aca="false">$B29*1000000*Assumptions!$C$15*I$21*Assumptions!$C$17</f>
        <v>400000</v>
      </c>
    </row>
    <row r="30" customFormat="false" ht="15" hidden="false" customHeight="false" outlineLevel="0" collapsed="false">
      <c r="B30" s="35" t="n">
        <v>90</v>
      </c>
      <c r="C30" s="16" t="n">
        <f aca="false">$B30*1000000*Assumptions!$C$15*C$21*Assumptions!$C$17</f>
        <v>90000</v>
      </c>
      <c r="D30" s="16" t="n">
        <f aca="false">$B30*1000000*Assumptions!$C$15*D$21*Assumptions!$C$17</f>
        <v>135000</v>
      </c>
      <c r="E30" s="16" t="n">
        <f aca="false">$B30*1000000*Assumptions!$C$15*E$21*Assumptions!$C$17</f>
        <v>180000</v>
      </c>
      <c r="F30" s="16" t="n">
        <f aca="false">$B30*1000000*Assumptions!$C$15*F$21*Assumptions!$C$17</f>
        <v>225000</v>
      </c>
      <c r="G30" s="16" t="n">
        <f aca="false">$B30*1000000*Assumptions!$C$15*G$21*Assumptions!$C$17</f>
        <v>270000</v>
      </c>
      <c r="H30" s="16" t="n">
        <f aca="false">$B30*1000000*Assumptions!$C$15*H$21*Assumptions!$C$17</f>
        <v>360000</v>
      </c>
      <c r="I30" s="16" t="n">
        <f aca="false">$B30*1000000*Assumptions!$C$15*I$21*Assumptions!$C$17</f>
        <v>450000</v>
      </c>
    </row>
    <row r="31" customFormat="false" ht="15" hidden="false" customHeight="false" outlineLevel="0" collapsed="false">
      <c r="B31" s="35" t="n">
        <v>100</v>
      </c>
      <c r="C31" s="22" t="n">
        <f aca="false">$B31*1000000*Assumptions!$C$15*C$21*Assumptions!$C$17</f>
        <v>100000</v>
      </c>
      <c r="D31" s="22" t="n">
        <f aca="false">$B31*1000000*Assumptions!$C$15*D$21*Assumptions!$C$17</f>
        <v>150000</v>
      </c>
      <c r="E31" s="22" t="n">
        <f aca="false">$B31*1000000*Assumptions!$C$15*E$21*Assumptions!$C$17</f>
        <v>200000</v>
      </c>
      <c r="F31" s="22" t="n">
        <f aca="false">$B31*1000000*Assumptions!$C$15*F$21*Assumptions!$C$17</f>
        <v>250000</v>
      </c>
      <c r="G31" s="22" t="n">
        <f aca="false">$B31*1000000*Assumptions!$C$15*G$21*Assumptions!$C$17</f>
        <v>300000</v>
      </c>
      <c r="H31" s="22" t="n">
        <f aca="false">$B31*1000000*Assumptions!$C$15*H$21*Assumptions!$C$17</f>
        <v>400000</v>
      </c>
      <c r="I31" s="22" t="n">
        <f aca="false">$B31*1000000*Assumptions!$C$15*I$21*Assumptions!$C$17</f>
        <v>500000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2026-08-20T10:00:39Z</dcterms:created>
  <dc:creator>openpyxl</dc:creator>
  <dc:description/>
  <dc:language>en-US</dc:language>
  <cp:lastModifiedBy/>
  <dcterms:modified xsi:type="dcterms:W3CDTF">2026-08-20T10:00:41Z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