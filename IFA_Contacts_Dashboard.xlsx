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Meeting Stats" sheetId="2" state="visible" r:id="rId4"/>
    <sheet name="Contacts" sheetId="3" state="visible" r:id="rId5"/>
    <sheet name="RawData" sheetId="4" state="visible" r:id="rId6"/>
    <sheet name="Setup" sheetId="5" state="visible" r:id="rId7"/>
    <sheet name="Src – Meeting List" sheetId="6" state="visible" r:id="rId8"/>
    <sheet name="Src – Attendance" sheetId="7" state="visible" r:id="rId9"/>
    <sheet name="Src – Branch Directors" sheetId="8" state="visible" r:id="rId10"/>
    <sheet name="Src – Mass Email PIAS" sheetId="9" state="visible" r:id="rId11"/>
    <sheet name="Src – ILP Data" sheetId="10" state="visible" r:id="rId12"/>
    <sheet name="Src – Goodies" sheetId="11" state="visible" r:id="rId13"/>
  </sheets>
  <definedNames>
    <definedName function="false" hidden="false" localSheetId="2" name="_xlnm.Print_Area" vbProcedure="false">Contacts!$A$1:$N$86</definedName>
    <definedName function="false" hidden="false" localSheetId="2" name="_xlnm.Print_Titles" vbProcedure="false">Contacts!$5:$5</definedName>
    <definedName function="false" hidden="true" localSheetId="2" name="_xlnm._FilterDatabase" vbProcedure="false">Contacts!$B$5:$N$605</definedName>
    <definedName function="false" hidden="false" localSheetId="0" name="_xlnm.Print_Area" vbProcedure="false">Dashboard!$A$1:$K$57</definedName>
    <definedName function="false" hidden="false" localSheetId="1" name="_xlnm.Print_Area" vbProcedure="false">'Meeting Stats'!$A$1:$I$73</definedName>
    <definedName function="false" hidden="true" localSheetId="3" name="_xlnm._FilterDatabase" vbProcedure="false">RawData!$A$1:$X$600</definedName>
    <definedName function="false" hidden="false" localSheetId="4" name="_xlnm.Print_Area" vbProcedure="false">Setup!$A$1:$K$45</definedName>
    <definedName function="false" hidden="false" name="c_AUM" vbProcedure="false">RawData!$K$2:$K$600</definedName>
    <definedName function="false" hidden="false" name="c_Date" vbProcedure="false">RawData!$H$2:$H$600</definedName>
    <definedName function="false" hidden="false" name="c_Days" vbProcedure="false">RawData!$W$2:$W$600</definedName>
    <definedName function="false" hidden="false" name="c_E1" vbProcedure="false">RawData!$N$2:$N$600</definedName>
    <definedName function="false" hidden="false" name="c_E2" vbProcedure="false">RawData!$O$2:$O$600</definedName>
    <definedName function="false" hidden="false" name="c_E3" vbProcedure="false">RawData!$P$2:$P$600</definedName>
    <definedName function="false" hidden="false" name="c_E4" vbProcedure="false">RawData!$Q$2:$Q$600</definedName>
    <definedName function="false" hidden="false" name="c_E5" vbProcedure="false">RawData!$R$2:$R$600</definedName>
    <definedName function="false" hidden="false" name="c_Email" vbProcedure="false">RawData!$C$2:$C$600</definedName>
    <definedName function="false" hidden="false" name="c_Engage" vbProcedure="false">RawData!$X$2:$X$600</definedName>
    <definedName function="false" hidden="false" name="c_EvtAtt" vbProcedure="false">RawData!$U$2:$U$600</definedName>
    <definedName function="false" hidden="false" name="c_EvtInv" vbProcedure="false">RawData!$T$2:$T$600</definedName>
    <definedName function="false" hidden="false" name="c_EvtNames" vbProcedure="false">RawData!$V$2:$V$600</definedName>
    <definedName function="false" hidden="false" name="c_Firm" vbProcedure="false">RawData!$D$2:$D$600</definedName>
    <definedName function="false" hidden="false" name="c_FUp" vbProcedure="false">RawData!$AB$2:$AB$600</definedName>
    <definedName function="false" hidden="false" name="c_Invested" vbProcedure="false">RawData!$J$2:$J$600</definedName>
    <definedName function="false" hidden="false" name="c_LinkedIn" vbProcedure="false">RawData!$M$2:$M$600</definedName>
    <definedName function="false" hidden="false" name="c_Mail" vbProcedure="false">RawData!$L$2:$L$600</definedName>
    <definedName function="false" hidden="false" name="c_Met" vbProcedure="false">RawData!$G$2:$G$600</definedName>
    <definedName function="false" hidden="false" name="c_Mtgs" vbProcedure="false">RawData!$I$2:$I$600</definedName>
    <definedName function="false" hidden="false" name="c_Name" vbProcedure="false">RawData!$B$2:$B$600</definedName>
    <definedName function="false" hidden="false" name="c_Notes" vbProcedure="false">RawData!$S$2:$S$600</definedName>
    <definedName function="false" hidden="false" name="c_Pass" vbProcedure="false">RawData!$Z$2:$Z$600</definedName>
    <definedName function="false" hidden="false" name="c_Seq" vbProcedure="false">RawData!$AA$2:$AA$600</definedName>
    <definedName function="false" hidden="false" name="c_Sort" vbProcedure="false">RawData!$Y$2:$Y$600</definedName>
    <definedName function="false" hidden="false" name="c_Source" vbProcedure="false">RawData!$F$2:$F$600</definedName>
    <definedName function="false" hidden="false" name="c_Type" vbProcedure="false">RawData!$E$2:$E$600</definedName>
    <definedName function="false" hidden="false" name="f_Engage" vbProcedure="false">Setup!$AJ$14:$AJ$21</definedName>
    <definedName function="false" hidden="false" name="f_Event" vbProcedure="false">Setup!$AH$14:$AH$21</definedName>
    <definedName function="false" hidden="false" name="f_Firm" vbProcedure="false">Setup!$AD$14:$AD$75</definedName>
    <definedName function="false" hidden="false" name="f_Met" vbProcedure="false">Setup!$AF$14:$AF$21</definedName>
    <definedName function="false" hidden="false" name="lst_Engage" vbProcedure="false">Setup!$AA$14:$AA$21</definedName>
    <definedName function="false" hidden="false" name="lst_Firms" vbProcedure="false">Setup!$M$14:$M$73</definedName>
    <definedName function="false" hidden="false" name="lst_LinkedIn" vbProcedure="false">Setup!$Y$14:$Y$21</definedName>
    <definedName function="false" hidden="false" name="lst_Met" vbProcedure="false">Setup!$S$14:$S$21</definedName>
    <definedName function="false" hidden="false" name="lst_Source" vbProcedure="false">Setup!$Q$14:$Q$27</definedName>
    <definedName function="false" hidden="false" name="lst_Status" vbProcedure="false">Setup!$U$14:$U$25</definedName>
    <definedName function="false" hidden="false" name="lst_Type" vbProcedure="false">Setup!$O$14:$O$23</definedName>
    <definedName function="false" hidden="false" name="lst_YN" vbProcedure="false">Setup!$W$14:$W$21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<sst xmlns="http://schemas.openxmlformats.org/spreadsheetml/2006/main" count="7325" uniqueCount="1293">
  <si>
    <t xml:space="preserve">IFA CONTACT DASHBOARD</t>
  </si>
  <si>
    <t xml:space="preserve">Live overview of every contact in the database. Add or edit a contact on the RawData tab and every number here moves with it.</t>
  </si>
  <si>
    <t xml:space="preserve">TOTAL CONTACTS</t>
  </si>
  <si>
    <t xml:space="preserve">FIRMS COVERED</t>
  </si>
  <si>
    <t xml:space="preserve">CONTACTS MET</t>
  </si>
  <si>
    <t xml:space="preserve">MEETING COVERAGE</t>
  </si>
  <si>
    <t xml:space="preserve">TOTAL MEETINGS</t>
  </si>
  <si>
    <t xml:space="preserve">INVITED TO AN EVENT</t>
  </si>
  <si>
    <t xml:space="preserve">ATTENDED AN EVENT</t>
  </si>
  <si>
    <t xml:space="preserve">EVENT ATTENDANCE RATE</t>
  </si>
  <si>
    <t xml:space="preserve">MET IN LAST 90 DAYS</t>
  </si>
  <si>
    <t xml:space="preserve">NEVER CONTACTED</t>
  </si>
  <si>
    <t xml:space="preserve">INVESTORS</t>
  </si>
  <si>
    <t xml:space="preserve">ILP AUM TRACKED (S$M)</t>
  </si>
  <si>
    <t xml:space="preserve">WHERE THEY COME FROM  —  CONTACTS BY FIRM</t>
  </si>
  <si>
    <t xml:space="preserve">sorted by size; % Met = share of that firm you have already met</t>
  </si>
  <si>
    <t xml:space="preserve">Firm</t>
  </si>
  <si>
    <t xml:space="preserve">Contacts</t>
  </si>
  <si>
    <t xml:space="preserve">% of DB</t>
  </si>
  <si>
    <t xml:space="preserve">Met</t>
  </si>
  <si>
    <t xml:space="preserve">% Met</t>
  </si>
  <si>
    <t xml:space="preserve">Meetings</t>
  </si>
  <si>
    <t xml:space="preserve">Invited to events</t>
  </si>
  <si>
    <t xml:space="preserve">Attended events</t>
  </si>
  <si>
    <t xml:space="preserve">Investors</t>
  </si>
  <si>
    <t xml:space="preserve">ILP AUM (S$m)</t>
  </si>
  <si>
    <t xml:space="preserve">PIAS</t>
  </si>
  <si>
    <t xml:space="preserve">Finexis Advisory</t>
  </si>
  <si>
    <t xml:space="preserve">Manulife FA</t>
  </si>
  <si>
    <t xml:space="preserve">Synergy</t>
  </si>
  <si>
    <t xml:space="preserve">iFast</t>
  </si>
  <si>
    <t xml:space="preserve">Financial Alliance</t>
  </si>
  <si>
    <t xml:space="preserve">Phillip Capital</t>
  </si>
  <si>
    <t xml:space="preserve">Singlife</t>
  </si>
  <si>
    <t xml:space="preserve">Infinity FA</t>
  </si>
  <si>
    <t xml:space="preserve">Income Advisory</t>
  </si>
  <si>
    <t xml:space="preserve">PromiseLand</t>
  </si>
  <si>
    <t xml:space="preserve">Alpha Wealth</t>
  </si>
  <si>
    <t xml:space="preserve">GYC Financial Advisory</t>
  </si>
  <si>
    <t xml:space="preserve">Franklin Templeton</t>
  </si>
  <si>
    <t xml:space="preserve">Great Eastern Life</t>
  </si>
  <si>
    <t xml:space="preserve">H2O AM (internal)</t>
  </si>
  <si>
    <t xml:space="preserve">HSBC Life</t>
  </si>
  <si>
    <t xml:space="preserve">IPP FA</t>
  </si>
  <si>
    <t xml:space="preserve">Maybank</t>
  </si>
  <si>
    <t xml:space="preserve">NEBA Private</t>
  </si>
  <si>
    <t xml:space="preserve">Other / Client</t>
  </si>
  <si>
    <t xml:space="preserve">SG Alliance</t>
  </si>
  <si>
    <t xml:space="preserve">TOTAL</t>
  </si>
  <si>
    <t xml:space="preserve">Contacts whose firm is missing from the Setup list (should be 0):</t>
  </si>
  <si>
    <t xml:space="preserve">WHICH EVENT THEY CAME TO</t>
  </si>
  <si>
    <t xml:space="preserve">status per contact lives in RawData columns N–R</t>
  </si>
  <si>
    <t xml:space="preserve">Event</t>
  </si>
  <si>
    <t xml:space="preserve">Date</t>
  </si>
  <si>
    <t xml:space="preserve">Invited</t>
  </si>
  <si>
    <t xml:space="preserve">Attended</t>
  </si>
  <si>
    <t xml:space="preserve">No show</t>
  </si>
  <si>
    <t xml:space="preserve">Declined</t>
  </si>
  <si>
    <t xml:space="preserve">No reply</t>
  </si>
  <si>
    <t xml:space="preserve">Pending</t>
  </si>
  <si>
    <t xml:space="preserve">Attendance rate</t>
  </si>
  <si>
    <t xml:space="preserve">HOW WARM THEY ARE</t>
  </si>
  <si>
    <t xml:space="preserve">WHICH LIST THEY CAME FROM</t>
  </si>
  <si>
    <t xml:space="preserve">Stage</t>
  </si>
  <si>
    <t xml:space="preserve">Source list</t>
  </si>
  <si>
    <t xml:space="preserve">Event attendee</t>
  </si>
  <si>
    <t xml:space="preserve">Meeting List</t>
  </si>
  <si>
    <t xml:space="preserve">Met (no event)</t>
  </si>
  <si>
    <t xml:space="preserve">Branch Directors</t>
  </si>
  <si>
    <t xml:space="preserve">Invited only</t>
  </si>
  <si>
    <t xml:space="preserve">Mass Email PIAS</t>
  </si>
  <si>
    <t xml:space="preserve">Contacted only</t>
  </si>
  <si>
    <t xml:space="preserve">ILP Data</t>
  </si>
  <si>
    <t xml:space="preserve">Not yet contacted</t>
  </si>
  <si>
    <t xml:space="preserve">A contact can sit on more than one list, so these add up to more than the total.</t>
  </si>
  <si>
    <t xml:space="preserve">MEETING STATISTICS</t>
  </si>
  <si>
    <t xml:space="preserve">Built from the Met? / Last Meeting / # Meetings columns of RawData. The source file records one LAST MEETING date per contact, so the monthly split below shows each contact once, in the month you last saw them.</t>
  </si>
  <si>
    <t xml:space="preserve">DATABASE MET</t>
  </si>
  <si>
    <t xml:space="preserve">MEETINGS PER CONTACT</t>
  </si>
  <si>
    <t xml:space="preserve">FIRST MEETING</t>
  </si>
  <si>
    <t xml:space="preserve">MOST RECENT MEETING</t>
  </si>
  <si>
    <t xml:space="preserve">MET IN LAST 30 DAYS</t>
  </si>
  <si>
    <t xml:space="preserve">OVERDUE (&gt;120 DAYS)</t>
  </si>
  <si>
    <t xml:space="preserve">MEETING ACTIVITY BY MONTH</t>
  </si>
  <si>
    <t xml:space="preserve">rolling 18 months</t>
  </si>
  <si>
    <t xml:space="preserve">Month</t>
  </si>
  <si>
    <t xml:space="preserve">Contacts met</t>
  </si>
  <si>
    <t xml:space="preserve">Cumulative (window)</t>
  </si>
  <si>
    <t xml:space="preserve">MEETING COVERAGE BY FIRM</t>
  </si>
  <si>
    <t xml:space="preserve">which firms you have actually worked</t>
  </si>
  <si>
    <t xml:space="preserve">Coverage</t>
  </si>
  <si>
    <t xml:space="preserve">Last meeting</t>
  </si>
  <si>
    <t xml:space="preserve">Days since</t>
  </si>
  <si>
    <t xml:space="preserve">Attended an event</t>
  </si>
  <si>
    <t xml:space="preserve">OLDEST RELATIONSHIPS  —  FOLLOW UP FIRST</t>
  </si>
  <si>
    <t xml:space="preserve">the contacts you have met whose last meeting is furthest in the past</t>
  </si>
  <si>
    <t xml:space="preserve">Name</t>
  </si>
  <si>
    <t xml:space="preserve">Events attended</t>
  </si>
  <si>
    <t xml:space="preserve">Invested?</t>
  </si>
  <si>
    <t xml:space="preserve">Email</t>
  </si>
  <si>
    <t xml:space="preserve">CONTACT DIRECTORY</t>
  </si>
  <si>
    <t xml:space="preserve">Every contact, sorted by firm then name. Change any of the yellow filter boxes below and the list rebuilds instantly.</t>
  </si>
  <si>
    <t xml:space="preserve">Firm:</t>
  </si>
  <si>
    <t xml:space="preserve">(All)</t>
  </si>
  <si>
    <t xml:space="preserve">Met?:</t>
  </si>
  <si>
    <t xml:space="preserve">Attended:</t>
  </si>
  <si>
    <t xml:space="preserve">Warmth:</t>
  </si>
  <si>
    <t xml:space="preserve">Search:</t>
  </si>
  <si>
    <t xml:space="preserve">Type</t>
  </si>
  <si>
    <t xml:space="preserve">Met?</t>
  </si>
  <si>
    <t xml:space="preserve"># Mtgs</t>
  </si>
  <si>
    <t xml:space="preserve">AUM (S$)</t>
  </si>
  <si>
    <t xml:space="preserve">Source</t>
  </si>
  <si>
    <t xml:space="preserve">Notes</t>
  </si>
  <si>
    <t xml:space="preserve">ID</t>
  </si>
  <si>
    <t xml:space="preserve">Contact Type</t>
  </si>
  <si>
    <t xml:space="preserve">Last Meeting</t>
  </si>
  <si>
    <t xml:space="preserve"># Meetings</t>
  </si>
  <si>
    <t xml:space="preserve">Email Sent</t>
  </si>
  <si>
    <t xml:space="preserve">LinkedIn Contacted</t>
  </si>
  <si>
    <t xml:space="preserve"># Events Invited</t>
  </si>
  <si>
    <t xml:space="preserve"># Events Attended</t>
  </si>
  <si>
    <t xml:space="preserve">Events Attended</t>
  </si>
  <si>
    <t xml:space="preserve">Days Since Meeting</t>
  </si>
  <si>
    <t xml:space="preserve">Engagement</t>
  </si>
  <si>
    <t xml:space="preserve">_sort</t>
  </si>
  <si>
    <t xml:space="preserve">_pass</t>
  </si>
  <si>
    <t xml:space="preserve">_seq</t>
  </si>
  <si>
    <t xml:space="preserve">_followup</t>
  </si>
  <si>
    <t xml:space="preserve">Ang hui</t>
  </si>
  <si>
    <t xml:space="preserve">anghuichin@awfa.com.sg</t>
  </si>
  <si>
    <t xml:space="preserve">Adviser</t>
  </si>
  <si>
    <t xml:space="preserve">No</t>
  </si>
  <si>
    <t xml:space="preserve">Not Invited</t>
  </si>
  <si>
    <t xml:space="preserve">No Show</t>
  </si>
  <si>
    <t xml:space="preserve">Jason Yin</t>
  </si>
  <si>
    <t xml:space="preserve">jasonyin@awfa.com.sg</t>
  </si>
  <si>
    <t xml:space="preserve">Lee Jia Hao</t>
  </si>
  <si>
    <t xml:space="preserve">leejiahao@awfa.com.sg</t>
  </si>
  <si>
    <t xml:space="preserve">Alvin Low</t>
  </si>
  <si>
    <t xml:space="preserve">alvinlow@fapl.sg</t>
  </si>
  <si>
    <t xml:space="preserve">Meeting List + ILP Data</t>
  </si>
  <si>
    <t xml:space="preserve">Yes</t>
  </si>
  <si>
    <t xml:space="preserve">No Reply</t>
  </si>
  <si>
    <t xml:space="preserve">Chenise Lim</t>
  </si>
  <si>
    <t xml:space="preserve">cheniselim@fapl.sg</t>
  </si>
  <si>
    <t xml:space="preserve">May-26: not available</t>
  </si>
  <si>
    <t xml:space="preserve">Edmond Goh</t>
  </si>
  <si>
    <t xml:space="preserve">edmondgoh@fapl.sg</t>
  </si>
  <si>
    <t xml:space="preserve">Edwin Tan</t>
  </si>
  <si>
    <t xml:space="preserve">edwintan@fapl.sg</t>
  </si>
  <si>
    <t xml:space="preserve">Francis Hoan</t>
  </si>
  <si>
    <t xml:space="preserve">francishoan@fapl.sg</t>
  </si>
  <si>
    <t xml:space="preserve">Gary Lim</t>
  </si>
  <si>
    <t xml:space="preserve">garylim@fapl.sg</t>
  </si>
  <si>
    <t xml:space="preserve">Guek Choo</t>
  </si>
  <si>
    <t xml:space="preserve">guekchoo@fapl.sg</t>
  </si>
  <si>
    <t xml:space="preserve">Hadi Wijaya</t>
  </si>
  <si>
    <t xml:space="preserve">hadiwijaya@fapl.sg</t>
  </si>
  <si>
    <t xml:space="preserve">Isaac Tang</t>
  </si>
  <si>
    <t xml:space="preserve">isaactang@fa.sg</t>
  </si>
  <si>
    <t xml:space="preserve">Kelvin  Teng</t>
  </si>
  <si>
    <t xml:space="preserve">kelvinteng@fapl.sg</t>
  </si>
  <si>
    <t xml:space="preserve">Khairuddin Sukor</t>
  </si>
  <si>
    <t xml:space="preserve">khairuddin@fapl.sg</t>
  </si>
  <si>
    <t xml:space="preserve">Mithun Malani</t>
  </si>
  <si>
    <t xml:space="preserve">mithunmalani@fapl.sg</t>
  </si>
  <si>
    <t xml:space="preserve">Nicholas Low</t>
  </si>
  <si>
    <t xml:space="preserve">lownicholas@fa.sg</t>
  </si>
  <si>
    <t xml:space="preserve">May-26: email bounced back; ILP: Investment</t>
  </si>
  <si>
    <t xml:space="preserve">Norman Ngai</t>
  </si>
  <si>
    <t xml:space="preserve">normanngai@fapl.sg</t>
  </si>
  <si>
    <t xml:space="preserve">Paul Chiam</t>
  </si>
  <si>
    <t xml:space="preserve">paulchiam@fapl.sg</t>
  </si>
  <si>
    <t xml:space="preserve">Raymund Ng</t>
  </si>
  <si>
    <t xml:space="preserve">raymundng@fapl.sg</t>
  </si>
  <si>
    <t xml:space="preserve">Riyaz Tadjoudine</t>
  </si>
  <si>
    <t xml:space="preserve">riyazahmad@fa.sg</t>
  </si>
  <si>
    <t xml:space="preserve">ILP: Investment</t>
  </si>
  <si>
    <t xml:space="preserve">Sani Amid</t>
  </si>
  <si>
    <t xml:space="preserve">sanihamid@fa.sg</t>
  </si>
  <si>
    <t xml:space="preserve">May-26: not available; ILP: Investment</t>
  </si>
  <si>
    <t xml:space="preserve">Sofan Tan</t>
  </si>
  <si>
    <t xml:space="preserve">sofantan@fapl.sg</t>
  </si>
  <si>
    <t xml:space="preserve">Susan Au Yeong</t>
  </si>
  <si>
    <t xml:space="preserve">susanauyeong@fapl.sg</t>
  </si>
  <si>
    <t xml:space="preserve">Thomas Ong Cheow Siang</t>
  </si>
  <si>
    <t xml:space="preserve">thomasong@fapl.sg</t>
  </si>
  <si>
    <t xml:space="preserve">Toh Hung Jui</t>
  </si>
  <si>
    <t xml:space="preserve">tohhungjui@fapl.sg</t>
  </si>
  <si>
    <t xml:space="preserve">Winston Tyo</t>
  </si>
  <si>
    <t xml:space="preserve">winstontyo@fapl.sg</t>
  </si>
  <si>
    <t xml:space="preserve">Ada Huang</t>
  </si>
  <si>
    <t xml:space="preserve">Branch Director</t>
  </si>
  <si>
    <t xml:space="preserve">https://www.linkedin.com/in/tvivianhuang/</t>
  </si>
  <si>
    <t xml:space="preserve">Amanda Tan</t>
  </si>
  <si>
    <t xml:space="preserve">https://www.linkedin.com/in/amanda-tan-36799498/</t>
  </si>
  <si>
    <t xml:space="preserve">Amanda Yeo</t>
  </si>
  <si>
    <t xml:space="preserve">amanda.yeo@finexis.com.sg</t>
  </si>
  <si>
    <t xml:space="preserve">Anton Chua</t>
  </si>
  <si>
    <t xml:space="preserve">Branch: Acorn Wealth</t>
  </si>
  <si>
    <t xml:space="preserve">Ben Pua</t>
  </si>
  <si>
    <t xml:space="preserve">ben.pua@finexis.com.sg</t>
  </si>
  <si>
    <t xml:space="preserve">Benedict Chua</t>
  </si>
  <si>
    <t xml:space="preserve">benedict.chua@finexis.com.sg</t>
  </si>
  <si>
    <t xml:space="preserve">Beverly Poon</t>
  </si>
  <si>
    <t xml:space="preserve">beverly.poon@finexis.com.sg</t>
  </si>
  <si>
    <t xml:space="preserve">Meeting List + ILP Data + Branch Directors</t>
  </si>
  <si>
    <t xml:space="preserve">Bo Han Ng</t>
  </si>
  <si>
    <t xml:space="preserve">Branch: Azure Dragon Partners | https://www.linkedin.com/in/bohan-ng/</t>
  </si>
  <si>
    <t xml:space="preserve">Caden Chia</t>
  </si>
  <si>
    <t xml:space="preserve">Chee Koon Seah</t>
  </si>
  <si>
    <t xml:space="preserve">https://www.linkedin.com/in/ck-seah/</t>
  </si>
  <si>
    <t xml:space="preserve">ChinSiong Yee</t>
  </si>
  <si>
    <t xml:space="preserve">https://www.linkedin.com/in/chinsiong-y-4149405b/</t>
  </si>
  <si>
    <t xml:space="preserve">Danny Neo</t>
  </si>
  <si>
    <t xml:space="preserve">https://www.linkedin.com/in/danny-neo-16497a85/</t>
  </si>
  <si>
    <t xml:space="preserve">Darryl Low</t>
  </si>
  <si>
    <t xml:space="preserve">https://www.linkedin.com/in/darryllowkh/</t>
  </si>
  <si>
    <t xml:space="preserve">Daryl Peck</t>
  </si>
  <si>
    <t xml:space="preserve">Desmund Chin</t>
  </si>
  <si>
    <t xml:space="preserve">https://www.linkedin.com/in/desmund-chin-aa81436/</t>
  </si>
  <si>
    <t xml:space="preserve">En Hao Hee</t>
  </si>
  <si>
    <t xml:space="preserve">https://www.linkedin.com/in/enhaohee/</t>
  </si>
  <si>
    <t xml:space="preserve">Eric Lau</t>
  </si>
  <si>
    <t xml:space="preserve">Felicia Pan</t>
  </si>
  <si>
    <t xml:space="preserve">https://www.linkedin.com/in/felicia-pan-88a19781/</t>
  </si>
  <si>
    <t xml:space="preserve">Foong Kin Peng</t>
  </si>
  <si>
    <t xml:space="preserve">https://www.linkedin.com/in/foongkinpeng/</t>
  </si>
  <si>
    <t xml:space="preserve">Garry Goh</t>
  </si>
  <si>
    <t xml:space="preserve">Branch: Team GGO | https://www.linkedin.com/in/garry-goh-82b41740/</t>
  </si>
  <si>
    <t xml:space="preserve">Gary Yong</t>
  </si>
  <si>
    <t xml:space="preserve">https://www.linkedin.com/in/garyyongwk/</t>
  </si>
  <si>
    <t xml:space="preserve">Gregory Ong</t>
  </si>
  <si>
    <t xml:space="preserve">https://www.linkedin.com/in/gregory-ong-7009679a/</t>
  </si>
  <si>
    <t xml:space="preserve">Ivan Teo</t>
  </si>
  <si>
    <t xml:space="preserve">Branch: Impact Wealth Advisory</t>
  </si>
  <si>
    <t xml:space="preserve">Jason Ang</t>
  </si>
  <si>
    <t xml:space="preserve">Jason.ang@finexis.com.sg</t>
  </si>
  <si>
    <t xml:space="preserve">Jessica Peh</t>
  </si>
  <si>
    <t xml:space="preserve">jessica.peh@finexis.com.sg</t>
  </si>
  <si>
    <t xml:space="preserve">Jiateng Lin</t>
  </si>
  <si>
    <t xml:space="preserve">lin.jiateng@finexis.com.sg</t>
  </si>
  <si>
    <t xml:space="preserve">Joel Chia</t>
  </si>
  <si>
    <t xml:space="preserve">https://www.linkedin.com/in/joel-chia-b84a8039/</t>
  </si>
  <si>
    <t xml:space="preserve">Johnny Nimrod Chan</t>
  </si>
  <si>
    <t xml:space="preserve">Branch: Faith Advisory</t>
  </si>
  <si>
    <t xml:space="preserve">Julian Tan</t>
  </si>
  <si>
    <t xml:space="preserve">Branch: Omega Financial Advisory Group | https://www.linkedin.com/in/juliantan-finexis/</t>
  </si>
  <si>
    <t xml:space="preserve">Keziah Choy Yau Wong</t>
  </si>
  <si>
    <t xml:space="preserve">Branch: Keziah &amp; Associates Wealth Arkiteks | Already in CRM</t>
  </si>
  <si>
    <t xml:space="preserve">Kiat Hwee Sim</t>
  </si>
  <si>
    <t xml:space="preserve">https://www.linkedin.com/in/kiat-hwee-sim-429b05bb/</t>
  </si>
  <si>
    <t xml:space="preserve">Li Qingning Ruby</t>
  </si>
  <si>
    <t xml:space="preserve">https://www.linkedin.com/in/li-qingning-ruby-25616a37a/</t>
  </si>
  <si>
    <t xml:space="preserve">Lim Jason</t>
  </si>
  <si>
    <t xml:space="preserve">Already in CRM | https://www.linkedin.com/in/lim-jason-3ba424181/</t>
  </si>
  <si>
    <t xml:space="preserve">Lionel Ling</t>
  </si>
  <si>
    <t xml:space="preserve">lionel.ling@finexis.com.sg</t>
  </si>
  <si>
    <t xml:space="preserve">Lomency Ng</t>
  </si>
  <si>
    <t xml:space="preserve">lomency.ng@finexis.com.sg</t>
  </si>
  <si>
    <t xml:space="preserve">Branch: faVe Advisory Practice</t>
  </si>
  <si>
    <t xml:space="preserve">Mingshan Goh</t>
  </si>
  <si>
    <t xml:space="preserve">https://www.linkedin.com/in/mingshangoh/</t>
  </si>
  <si>
    <t xml:space="preserve">Neo Poh Lin Ben</t>
  </si>
  <si>
    <t xml:space="preserve">Branch: NPLO Advisory Group | https://www.linkedin.com/in/neo-poh-lin-ben-69801b37/</t>
  </si>
  <si>
    <t xml:space="preserve">Nur Fitria Rozlan</t>
  </si>
  <si>
    <t xml:space="preserve">https://www.linkedin.com/in/nurfitriarozlan/</t>
  </si>
  <si>
    <t xml:space="preserve">Oliver Mak</t>
  </si>
  <si>
    <t xml:space="preserve">Already in CRM | https://www.linkedin.com/in/oliver-mak-2b935524/</t>
  </si>
  <si>
    <t xml:space="preserve">Perry Lau Wei Han</t>
  </si>
  <si>
    <t xml:space="preserve">https://www.linkedin.com/in/perry-lau-wei-han-976901186/</t>
  </si>
  <si>
    <t xml:space="preserve">Philip Tan</t>
  </si>
  <si>
    <t xml:space="preserve">philip.tan@finexis.com.sg</t>
  </si>
  <si>
    <t xml:space="preserve">Shimin Chong</t>
  </si>
  <si>
    <t xml:space="preserve">https://www.linkedin.com/in/chongshimin/</t>
  </si>
  <si>
    <t xml:space="preserve">Shinni Hong</t>
  </si>
  <si>
    <t xml:space="preserve">https://www.linkedin.com/in/shinni-hong-a9b0b2166/</t>
  </si>
  <si>
    <t xml:space="preserve">Siew Yin Tan</t>
  </si>
  <si>
    <t xml:space="preserve">https://www.linkedin.com/in/siew-yin-tan-aepp%C2%AE-cfp%C2%AE-tot-18859373/</t>
  </si>
  <si>
    <t xml:space="preserve">Stacey Lwin</t>
  </si>
  <si>
    <t xml:space="preserve">https://www.linkedin.com/in/staceylwin/</t>
  </si>
  <si>
    <t xml:space="preserve">Tan Kwang Sheng</t>
  </si>
  <si>
    <t xml:space="preserve">https://www.linkedin.com/in/tan-kwang-sheng-4a8923172/</t>
  </si>
  <si>
    <t xml:space="preserve">Tang Charles</t>
  </si>
  <si>
    <t xml:space="preserve">https://www.linkedin.com/in/tang-charles-2b311651/</t>
  </si>
  <si>
    <t xml:space="preserve">Theresa Groyon</t>
  </si>
  <si>
    <t xml:space="preserve">Yeo Chinwei</t>
  </si>
  <si>
    <t xml:space="preserve">yeo.chinwei@finexis.com.sg</t>
  </si>
  <si>
    <t xml:space="preserve">Meeting List + Branch Directors</t>
  </si>
  <si>
    <t xml:space="preserve">Zach Zhang</t>
  </si>
  <si>
    <t xml:space="preserve">https://www.linkedin.com/in/zach-zhang-a313b0139/</t>
  </si>
  <si>
    <t xml:space="preserve">Martha Yu</t>
  </si>
  <si>
    <t xml:space="preserve">ILP: Unrelated</t>
  </si>
  <si>
    <t xml:space="preserve">Daniel Sng Boon</t>
  </si>
  <si>
    <t xml:space="preserve">danielsngbt@greateasternlife.com</t>
  </si>
  <si>
    <t xml:space="preserve">May-26: not available; ILP: Product</t>
  </si>
  <si>
    <t xml:space="preserve">Bruce Tan</t>
  </si>
  <si>
    <t xml:space="preserve">brucetan@gyc.com.sg</t>
  </si>
  <si>
    <t xml:space="preserve">TBC</t>
  </si>
  <si>
    <t xml:space="preserve">Carl Chay</t>
  </si>
  <si>
    <t xml:space="preserve">carlchay@gyc.com.sg</t>
  </si>
  <si>
    <t xml:space="preserve">Poh Choon</t>
  </si>
  <si>
    <t xml:space="preserve">pohchoon.lye@h2o-am.com</t>
  </si>
  <si>
    <t xml:space="preserve">Preston Hong</t>
  </si>
  <si>
    <t xml:space="preserve">preston.hong@hsbc.com.sg</t>
  </si>
  <si>
    <t xml:space="preserve">Aimee Tan</t>
  </si>
  <si>
    <t xml:space="preserve">aimee.tan@ifastgm.com</t>
  </si>
  <si>
    <t xml:space="preserve">Amir Hamzah</t>
  </si>
  <si>
    <t xml:space="preserve">Bernard Chan</t>
  </si>
  <si>
    <t xml:space="preserve">Brenda Lee Sheue Yee</t>
  </si>
  <si>
    <t xml:space="preserve">Consultant</t>
  </si>
  <si>
    <t xml:space="preserve">Reports to Bernard Chan</t>
  </si>
  <si>
    <t xml:space="preserve">Brian Koo Chew Sze</t>
  </si>
  <si>
    <t xml:space="preserve">Derek Ho Wee Teck</t>
  </si>
  <si>
    <t xml:space="preserve">Diana Tan</t>
  </si>
  <si>
    <t xml:space="preserve">diana.tan@ifastgm.com</t>
  </si>
  <si>
    <t xml:space="preserve">Elise Tan Ee Fei</t>
  </si>
  <si>
    <t xml:space="preserve">Francis Khew Guan Jie</t>
  </si>
  <si>
    <t xml:space="preserve">Giau Kim Low</t>
  </si>
  <si>
    <t xml:space="preserve">giaukim.low@ifastgm.com</t>
  </si>
  <si>
    <t xml:space="preserve">Joe Lin Xiaohan</t>
  </si>
  <si>
    <t xml:space="preserve">Joel Yong Sheng Jun</t>
  </si>
  <si>
    <t xml:space="preserve">Jon Lim Wei Jie</t>
  </si>
  <si>
    <t xml:space="preserve">Jonathan Chua Chong Kheng</t>
  </si>
  <si>
    <t xml:space="preserve">Jonathan Gui Poh Jin</t>
  </si>
  <si>
    <t xml:space="preserve">Kenrick Mak Yao Zhang</t>
  </si>
  <si>
    <t xml:space="preserve">Kerk Xiao Jing</t>
  </si>
  <si>
    <t xml:space="preserve">Ko Yang Zhi</t>
  </si>
  <si>
    <t xml:space="preserve">Lucy Cher</t>
  </si>
  <si>
    <t xml:space="preserve">lucy.cher@ifastgm.com</t>
  </si>
  <si>
    <t xml:space="preserve">Ou Da Wei</t>
  </si>
  <si>
    <t xml:space="preserve">Seng Bingyang</t>
  </si>
  <si>
    <t xml:space="preserve">Shiyao Ng</t>
  </si>
  <si>
    <t xml:space="preserve">Stanley ong</t>
  </si>
  <si>
    <t xml:space="preserve">stanley.ong@ifastgm.com</t>
  </si>
  <si>
    <t xml:space="preserve">Tan Yong Guan</t>
  </si>
  <si>
    <t xml:space="preserve">tan.yongguan@ifastgm.com</t>
  </si>
  <si>
    <t xml:space="preserve">Wendy Yeo</t>
  </si>
  <si>
    <t xml:space="preserve">wendy.yeo@ifastfinancial.com</t>
  </si>
  <si>
    <t xml:space="preserve">Young Soon Jey</t>
  </si>
  <si>
    <t xml:space="preserve">Zann Sim Lee Peng</t>
  </si>
  <si>
    <t xml:space="preserve">Benedict Lim</t>
  </si>
  <si>
    <t xml:space="preserve">Branch: Vertex</t>
  </si>
  <si>
    <t xml:space="preserve">Carlos Lee</t>
  </si>
  <si>
    <t xml:space="preserve">Branch: Ascendia Advisory</t>
  </si>
  <si>
    <t xml:space="preserve">Charles Tiong</t>
  </si>
  <si>
    <t xml:space="preserve">Branch: Financial Dynamics</t>
  </si>
  <si>
    <t xml:space="preserve">Dr U-Jin Chow</t>
  </si>
  <si>
    <t xml:space="preserve">Branch: FinHealth</t>
  </si>
  <si>
    <t xml:space="preserve">Dylan Wong</t>
  </si>
  <si>
    <t xml:space="preserve">Branch: Elios Wealth Management</t>
  </si>
  <si>
    <t xml:space="preserve">Jasmine Sng</t>
  </si>
  <si>
    <t xml:space="preserve">Branch: Treasures Advisory Group</t>
  </si>
  <si>
    <t xml:space="preserve">Jenniffer Lim</t>
  </si>
  <si>
    <t xml:space="preserve">Branch: Aurelis Wealth</t>
  </si>
  <si>
    <t xml:space="preserve">Lim Kwok Ing Jessica</t>
  </si>
  <si>
    <t xml:space="preserve">Branch: Apricus Alliance</t>
  </si>
  <si>
    <t xml:space="preserve">Lo Kiang Sheng</t>
  </si>
  <si>
    <t xml:space="preserve">Branch: I Insurance</t>
  </si>
  <si>
    <t xml:space="preserve">Nethan Chew</t>
  </si>
  <si>
    <t xml:space="preserve">Branch: XChange</t>
  </si>
  <si>
    <t xml:space="preserve">Willie Tan</t>
  </si>
  <si>
    <t xml:space="preserve">Branch: Harmony Group</t>
  </si>
  <si>
    <t xml:space="preserve">Anand Francis</t>
  </si>
  <si>
    <t xml:space="preserve">anand.francis@infinityfa.com.sg</t>
  </si>
  <si>
    <t xml:space="preserve">Andy Ng</t>
  </si>
  <si>
    <t xml:space="preserve">andy.ng@infinityfa.com.sg</t>
  </si>
  <si>
    <t xml:space="preserve">Clarence Wong</t>
  </si>
  <si>
    <t xml:space="preserve">clarence.cheong@infinityfa.com.sg</t>
  </si>
  <si>
    <t xml:space="preserve">Faith Wong</t>
  </si>
  <si>
    <t xml:space="preserve">faith.wong@infinityfa.com.sg</t>
  </si>
  <si>
    <t xml:space="preserve">Ian Foong</t>
  </si>
  <si>
    <t xml:space="preserve">ian.foong@infinityfa.com.sg</t>
  </si>
  <si>
    <t xml:space="preserve">Jeffrey Lim</t>
  </si>
  <si>
    <t xml:space="preserve">Jeffrey.lim@infinityfa.com.sg</t>
  </si>
  <si>
    <t xml:space="preserve">Jeshua Lim</t>
  </si>
  <si>
    <t xml:space="preserve">jeshua.lim@infinityfa.com.sg</t>
  </si>
  <si>
    <t xml:space="preserve">Khim Lim</t>
  </si>
  <si>
    <t xml:space="preserve">khim.lim@infinityfa.com.sg</t>
  </si>
  <si>
    <t xml:space="preserve">Shaun Boon</t>
  </si>
  <si>
    <t xml:space="preserve">shaun.boon@infinityfa.com.sg</t>
  </si>
  <si>
    <t xml:space="preserve">Tan Yong Kang</t>
  </si>
  <si>
    <t xml:space="preserve">yongkang.tan@infinityfa.com.sg</t>
  </si>
  <si>
    <t xml:space="preserve">Zest Chia</t>
  </si>
  <si>
    <t xml:space="preserve">zest.chia@infinityfa.com.sg</t>
  </si>
  <si>
    <t xml:space="preserve">Zhuming Tham</t>
  </si>
  <si>
    <t xml:space="preserve">Zhuming.tham@infinityfa.com.sg</t>
  </si>
  <si>
    <t xml:space="preserve">Vee Kiat Lim</t>
  </si>
  <si>
    <t xml:space="preserve">vklim@ippfa.com</t>
  </si>
  <si>
    <t xml:space="preserve">Adrian Lee</t>
  </si>
  <si>
    <t xml:space="preserve">adrian.lee@manulifefa.com.sg</t>
  </si>
  <si>
    <t xml:space="preserve">Branch: ADR Group</t>
  </si>
  <si>
    <t xml:space="preserve">Alvin Cher</t>
  </si>
  <si>
    <t xml:space="preserve">alvin.cher@manulifefa.com.sg</t>
  </si>
  <si>
    <t xml:space="preserve">Branch: Summit Planners Titans</t>
  </si>
  <si>
    <t xml:space="preserve">Andy Chen</t>
  </si>
  <si>
    <t xml:space="preserve">andy.chen@manulifefa.com.sg</t>
  </si>
  <si>
    <t xml:space="preserve">Branch: Aspire Alliance</t>
  </si>
  <si>
    <t xml:space="preserve">Andy Ong</t>
  </si>
  <si>
    <t xml:space="preserve">andy.ong@manulifefa.com.sg</t>
  </si>
  <si>
    <t xml:space="preserve">Branch: Forte Group</t>
  </si>
  <si>
    <t xml:space="preserve">Bentley Cheng</t>
  </si>
  <si>
    <t xml:space="preserve">bentley.cheng@manulifefa.com.sg</t>
  </si>
  <si>
    <t xml:space="preserve">Branch: VA Legacy</t>
  </si>
  <si>
    <t xml:space="preserve">Chew Shao Liang</t>
  </si>
  <si>
    <t xml:space="preserve">Branch: Summit Planner Exchange</t>
  </si>
  <si>
    <t xml:space="preserve">Christopher Lim</t>
  </si>
  <si>
    <t xml:space="preserve">christopher.lim@manulifefa.com.sg</t>
  </si>
  <si>
    <t xml:space="preserve">Branch: Summit Planners ACE</t>
  </si>
  <si>
    <t xml:space="preserve">Daryl Lau</t>
  </si>
  <si>
    <t xml:space="preserve">daryl.lau@manulifefa.com.sg</t>
  </si>
  <si>
    <t xml:space="preserve">Branch: Summit Planners Pinnacle</t>
  </si>
  <si>
    <t xml:space="preserve">Desmond Teo</t>
  </si>
  <si>
    <t xml:space="preserve">desmond.teo@manulifefa.com.sg</t>
  </si>
  <si>
    <t xml:space="preserve">Branch: Prestige Dynamic</t>
  </si>
  <si>
    <t xml:space="preserve">Dobby Ng</t>
  </si>
  <si>
    <t xml:space="preserve">dobby.ng@manulifefa.com.sg</t>
  </si>
  <si>
    <t xml:space="preserve">Branch: Summit Planners Crusaders</t>
  </si>
  <si>
    <t xml:space="preserve">Edmund Ang</t>
  </si>
  <si>
    <t xml:space="preserve">edmund.ang@manulifefa.com.sg</t>
  </si>
  <si>
    <t xml:space="preserve">Branch: Summit Planners Invictus</t>
  </si>
  <si>
    <t xml:space="preserve">Ethan Chen</t>
  </si>
  <si>
    <t xml:space="preserve">ethan.chen@manulifefa.com.sg</t>
  </si>
  <si>
    <t xml:space="preserve">Branch: Summit Planners APX Financial</t>
  </si>
  <si>
    <t xml:space="preserve">Evan ong</t>
  </si>
  <si>
    <t xml:space="preserve">evan.ong@manulifefa.com.sg</t>
  </si>
  <si>
    <t xml:space="preserve">Branch: Summit Planner Exodus Capital</t>
  </si>
  <si>
    <t xml:space="preserve">Garry Lim</t>
  </si>
  <si>
    <t xml:space="preserve">garry.lim@manulifefa.com.sg</t>
  </si>
  <si>
    <t xml:space="preserve">Branch: Trillion Financial Planners</t>
  </si>
  <si>
    <t xml:space="preserve">Iris Peh</t>
  </si>
  <si>
    <t xml:space="preserve">iris.peh@manulifefa.com.sg</t>
  </si>
  <si>
    <t xml:space="preserve">Branch: IPA Advisory</t>
  </si>
  <si>
    <t xml:space="preserve">Jared Lim</t>
  </si>
  <si>
    <t xml:space="preserve">jared.lim@manulifefa.com.sg</t>
  </si>
  <si>
    <t xml:space="preserve">Branch: Acquity Planners</t>
  </si>
  <si>
    <t xml:space="preserve">Jason lim</t>
  </si>
  <si>
    <t xml:space="preserve">jason.lim@manulifefa.com.sg</t>
  </si>
  <si>
    <t xml:space="preserve">Branch: Summit Planner Maximus</t>
  </si>
  <si>
    <t xml:space="preserve">Jex Hok</t>
  </si>
  <si>
    <t xml:space="preserve">jex.hok@manulifefa.com.sg</t>
  </si>
  <si>
    <t xml:space="preserve">Branch: Prestige Elites</t>
  </si>
  <si>
    <t xml:space="preserve">Jym Ng</t>
  </si>
  <si>
    <t xml:space="preserve">jimmy.ng@manulifefa.com.sg</t>
  </si>
  <si>
    <t xml:space="preserve">Branch: VA Distinct</t>
  </si>
  <si>
    <t xml:space="preserve">Kelvin Chua</t>
  </si>
  <si>
    <t xml:space="preserve">kelvin.chua@manulifefa.com.sg</t>
  </si>
  <si>
    <t xml:space="preserve">Branch: VA Cornerstone</t>
  </si>
  <si>
    <t xml:space="preserve">Leslie Sim</t>
  </si>
  <si>
    <t xml:space="preserve">leslie.sim@manulifefa.com.sg</t>
  </si>
  <si>
    <t xml:space="preserve">Loy Yi Zhuo</t>
  </si>
  <si>
    <t xml:space="preserve">loy@manulifefa.com.sg</t>
  </si>
  <si>
    <t xml:space="preserve">Branch: ChamberWealth Financial</t>
  </si>
  <si>
    <t xml:space="preserve">Marcus Goh</t>
  </si>
  <si>
    <t xml:space="preserve">marcus.goh@manulifefa.com.sg</t>
  </si>
  <si>
    <t xml:space="preserve">Branch: Summit Planners Fortis</t>
  </si>
  <si>
    <t xml:space="preserve">Marcus Khoo</t>
  </si>
  <si>
    <t xml:space="preserve">marcus.khoo@manulifefa.com.sg</t>
  </si>
  <si>
    <t xml:space="preserve">Branch: VA One</t>
  </si>
  <si>
    <t xml:space="preserve">Michael Tan</t>
  </si>
  <si>
    <t xml:space="preserve">michael.tan@manulifefa.com.sg</t>
  </si>
  <si>
    <t xml:space="preserve">Branch: VA Elite</t>
  </si>
  <si>
    <t xml:space="preserve">Michelle Jia</t>
  </si>
  <si>
    <t xml:space="preserve">michelle.jia@manulifefa.com.sg</t>
  </si>
  <si>
    <t xml:space="preserve">Branch: Summit Planners Tenet</t>
  </si>
  <si>
    <t xml:space="preserve">Mike Tang</t>
  </si>
  <si>
    <t xml:space="preserve">mike.tang@manulifefa.com.sg</t>
  </si>
  <si>
    <t xml:space="preserve">Nai Yan Liang</t>
  </si>
  <si>
    <t xml:space="preserve">Branch: Beyond Consultancy Altitude</t>
  </si>
  <si>
    <t xml:space="preserve">Ong Pin Pin</t>
  </si>
  <si>
    <t xml:space="preserve">joleen_ong_pp@manulifefa.com.sg</t>
  </si>
  <si>
    <t xml:space="preserve">Branch: VA Planners</t>
  </si>
  <si>
    <t xml:space="preserve">Quek Chung Tze</t>
  </si>
  <si>
    <t xml:space="preserve">chungtze.quek@manulifefa.com.sg</t>
  </si>
  <si>
    <t xml:space="preserve">Branch: Prestige Raffles</t>
  </si>
  <si>
    <t xml:space="preserve">Rachel Toh</t>
  </si>
  <si>
    <t xml:space="preserve">rachel.toh@manulifefa.com.sg</t>
  </si>
  <si>
    <t xml:space="preserve">Branch: Archel Advisory</t>
  </si>
  <si>
    <t xml:space="preserve">Roy Tan</t>
  </si>
  <si>
    <t xml:space="preserve">roy.tan@manulifefa.com.sg</t>
  </si>
  <si>
    <t xml:space="preserve">Branch: Beyond Consultancy</t>
  </si>
  <si>
    <t xml:space="preserve">Samuel Seah</t>
  </si>
  <si>
    <t xml:space="preserve">samuel.seah@manulifefa.com.sg</t>
  </si>
  <si>
    <t xml:space="preserve">Branch: SKYS</t>
  </si>
  <si>
    <t xml:space="preserve">Steven Tan</t>
  </si>
  <si>
    <t xml:space="preserve">steven.tan@manulifefa.com.sg</t>
  </si>
  <si>
    <t xml:space="preserve">Branch: Beyond Consultancy 2</t>
  </si>
  <si>
    <t xml:space="preserve">Susan Ong</t>
  </si>
  <si>
    <t xml:space="preserve">susandunn@manulifefa.com.sg</t>
  </si>
  <si>
    <t xml:space="preserve">Branch: Summit Planners Dunn &amp; Partners</t>
  </si>
  <si>
    <t xml:space="preserve">Thomas Ang</t>
  </si>
  <si>
    <t xml:space="preserve">thomas.ang@manulifefa.com.sg</t>
  </si>
  <si>
    <t xml:space="preserve">Branch: Aspire Alliance - Thomas Ang</t>
  </si>
  <si>
    <t xml:space="preserve">Winny Kang</t>
  </si>
  <si>
    <t xml:space="preserve">winny.kang@manulifefa.com.sg</t>
  </si>
  <si>
    <t xml:space="preserve">Yuen Kai Fai</t>
  </si>
  <si>
    <t xml:space="preserve">kahfai.yuen@manulifefa.com.sg</t>
  </si>
  <si>
    <t xml:space="preserve">Branch: Thinker Alliance</t>
  </si>
  <si>
    <t xml:space="preserve">Marsha Wijaya</t>
  </si>
  <si>
    <t xml:space="preserve">Marc Maguire</t>
  </si>
  <si>
    <t xml:space="preserve">marc.maguire@nebaprivateclients.com</t>
  </si>
  <si>
    <t xml:space="preserve">ILP: TBC</t>
  </si>
  <si>
    <t xml:space="preserve">Mostafa Tajamolian</t>
  </si>
  <si>
    <t xml:space="preserve">mos.fx20@gmail.com</t>
  </si>
  <si>
    <t xml:space="preserve">Aaron Yap</t>
  </si>
  <si>
    <t xml:space="preserve">aaronyap@phillip.com.sg</t>
  </si>
  <si>
    <t xml:space="preserve">Alex Teo</t>
  </si>
  <si>
    <t xml:space="preserve">alexteoeh@phillip.com.sg</t>
  </si>
  <si>
    <t xml:space="preserve">Alvin Tan</t>
  </si>
  <si>
    <t xml:space="preserve">alvintanlp@phillip.com.sg</t>
  </si>
  <si>
    <t xml:space="preserve">Branch: Tai Seng | https://www.linkedin.com/in/alvintan-tap/</t>
  </si>
  <si>
    <t xml:space="preserve">Brian See Toh</t>
  </si>
  <si>
    <t xml:space="preserve">brianst@phillip.com.sg</t>
  </si>
  <si>
    <t xml:space="preserve">Bryan Ng</t>
  </si>
  <si>
    <t xml:space="preserve">northpoint@phillip.com.sg</t>
  </si>
  <si>
    <t xml:space="preserve">Branch: Boon Keng | https://www.linkedin.com/in/bryan-ng-wei-ming-46352a20b/; Branch: Northpoint City; Branch: Toa Payoh</t>
  </si>
  <si>
    <t xml:space="preserve">Cheock Hon</t>
  </si>
  <si>
    <t xml:space="preserve">cheokhon@phillip.com.sg</t>
  </si>
  <si>
    <t xml:space="preserve">Crystal Tai Sye Chin</t>
  </si>
  <si>
    <t xml:space="preserve">crystalchints@phillip.com.sg</t>
  </si>
  <si>
    <t xml:space="preserve">Daniel Ong</t>
  </si>
  <si>
    <t xml:space="preserve">danielongsq@phillip.com.sg</t>
  </si>
  <si>
    <t xml:space="preserve">Branch: Ang Mo Kio | Already in CRM | https://www.linkedin.com/in/danielong6598575445/; Branch: Marine Parade; Branch: Raffles Place</t>
  </si>
  <si>
    <t xml:space="preserve">Darius Lee</t>
  </si>
  <si>
    <t xml:space="preserve">dariusleecx@phillip.com.sg</t>
  </si>
  <si>
    <t xml:space="preserve">ILP: Product</t>
  </si>
  <si>
    <t xml:space="preserve">Daryl</t>
  </si>
  <si>
    <t xml:space="preserve">Daryl Liew</t>
  </si>
  <si>
    <t xml:space="preserve">darylliewh@phillip.com.sg</t>
  </si>
  <si>
    <t xml:space="preserve">Daryl Yeo</t>
  </si>
  <si>
    <t xml:space="preserve">darylyeozj@phillip.com.sg</t>
  </si>
  <si>
    <t xml:space="preserve">Elvis Yeap</t>
  </si>
  <si>
    <t xml:space="preserve">elvisyeapkl@phillip.com.sg</t>
  </si>
  <si>
    <t xml:space="preserve">Gareth Sim See Hai</t>
  </si>
  <si>
    <t xml:space="preserve">garethsim@phillip.com.sg</t>
  </si>
  <si>
    <t xml:space="preserve">Isabelle Tee Ying Zi</t>
  </si>
  <si>
    <t xml:space="preserve">isabelleteeyz@phillip.com.sg</t>
  </si>
  <si>
    <t xml:space="preserve">Jackson Chua</t>
  </si>
  <si>
    <t xml:space="preserve">jacksonchuacc@phillip.com.sg</t>
  </si>
  <si>
    <t xml:space="preserve">Branch: Rafﬂes City Tower | Already in CRM | https://www.linkedin.com/in/jackson-chua-0397504a/; Branch: Bukit Batok; Branch: Holland Drive</t>
  </si>
  <si>
    <t xml:space="preserve">James Chow</t>
  </si>
  <si>
    <t xml:space="preserve">jameschow@phillip.com.sg</t>
  </si>
  <si>
    <t xml:space="preserve">Joseph Han</t>
  </si>
  <si>
    <t xml:space="preserve">josephhanpc@phillip.com.sg</t>
  </si>
  <si>
    <t xml:space="preserve">Kelvin Wang</t>
  </si>
  <si>
    <t xml:space="preserve">Kieren Pereira</t>
  </si>
  <si>
    <t xml:space="preserve">kierendp@phillip.com.sg</t>
  </si>
  <si>
    <t xml:space="preserve">Branch: Bukit Timah | Already in CRM | https://www.linkedin.com/in/kieren-pereira-267b2469/</t>
  </si>
  <si>
    <t xml:space="preserve">Nicholas Keek</t>
  </si>
  <si>
    <t xml:space="preserve">nicholaskeekw@phillip.com.sg</t>
  </si>
  <si>
    <t xml:space="preserve">May-26: not available; Overseas; ILP: Investment</t>
  </si>
  <si>
    <t xml:space="preserve">Sophia tan</t>
  </si>
  <si>
    <t xml:space="preserve">sophiatan@phillip.com.sg</t>
  </si>
  <si>
    <t xml:space="preserve">Tan Tian Siang</t>
  </si>
  <si>
    <t xml:space="preserve">Aaron Tan</t>
  </si>
  <si>
    <t xml:space="preserve">Branch: APEX Elevation Partners | 7th July Presentation</t>
  </si>
  <si>
    <t xml:space="preserve">Alan Ang</t>
  </si>
  <si>
    <t xml:space="preserve">alan.ang@proinvest.com.sg</t>
  </si>
  <si>
    <t xml:space="preserve">Alvin Soong</t>
  </si>
  <si>
    <t xml:space="preserve">alvin.soong@proinvest.com.sg</t>
  </si>
  <si>
    <t xml:space="preserve">Andre Chew</t>
  </si>
  <si>
    <t xml:space="preserve">andre.chew@proinvest.com.sg</t>
  </si>
  <si>
    <t xml:space="preserve">Annabel Tan Yan Yin</t>
  </si>
  <si>
    <t xml:space="preserve">Branch: APEX Altimate Partners | https://www.linkedin.com/in/annabel-tyy/</t>
  </si>
  <si>
    <t xml:space="preserve">Anthony Chang Chia Joo</t>
  </si>
  <si>
    <t xml:space="preserve">Branch: APEX Altius Advisory | https://www.linkedin.com/in/anthonychangchiajoo/</t>
  </si>
  <si>
    <t xml:space="preserve">Apelles Poh HongPang</t>
  </si>
  <si>
    <t xml:space="preserve">Branch: Eagle's Wing Associates | https://www.linkedin.com/in/apelles-poh-651a92a0/</t>
  </si>
  <si>
    <t xml:space="preserve">Benny Lim</t>
  </si>
  <si>
    <t xml:space="preserve">benny.lim@proinvest.com.sg</t>
  </si>
  <si>
    <t xml:space="preserve">Benson Lim</t>
  </si>
  <si>
    <t xml:space="preserve">benson.lim@proinvest.com.sg</t>
  </si>
  <si>
    <t xml:space="preserve">Mass Email PIAS + Branch Directors</t>
  </si>
  <si>
    <t xml:space="preserve">Branch: Polaris Compass Advisory</t>
  </si>
  <si>
    <t xml:space="preserve">Brenda Yuan</t>
  </si>
  <si>
    <t xml:space="preserve">brenda.yuan@proinvest.com.sg</t>
  </si>
  <si>
    <t xml:space="preserve">Caimy Lee</t>
  </si>
  <si>
    <t xml:space="preserve">caimy.lee@proinvest.com.sg</t>
  </si>
  <si>
    <t xml:space="preserve">Carrin Ng</t>
  </si>
  <si>
    <t xml:space="preserve">Branch: Affinity Kaizen Alliance | https://www.linkedin.com/in/carrin-ng-3a36a4160/</t>
  </si>
  <si>
    <t xml:space="preserve">Chenyee Lee</t>
  </si>
  <si>
    <t xml:space="preserve">chenyee.lee@proinvest.com.sg</t>
  </si>
  <si>
    <t xml:space="preserve">Cherie Ngan</t>
  </si>
  <si>
    <t xml:space="preserve">cherie.ngan@proinvest.com.sg</t>
  </si>
  <si>
    <t xml:space="preserve">Chingching Tay</t>
  </si>
  <si>
    <t xml:space="preserve">chingching.tay@proinvest.com.sg</t>
  </si>
  <si>
    <t xml:space="preserve">Chongheng Kang</t>
  </si>
  <si>
    <t xml:space="preserve">chongheng.kang@proinvest.com.sg</t>
  </si>
  <si>
    <t xml:space="preserve">Christopher, Chun Hong Loh</t>
  </si>
  <si>
    <t xml:space="preserve">christopher.loh@proinvest.com.sg</t>
  </si>
  <si>
    <t xml:space="preserve">Chun Kwong Chee</t>
  </si>
  <si>
    <t xml:space="preserve">kwongchee.chun@proinvest.com.sg</t>
  </si>
  <si>
    <t xml:space="preserve">Cindy Koosc</t>
  </si>
  <si>
    <t xml:space="preserve">cindy.koosc@proinvest.com.sg</t>
  </si>
  <si>
    <t xml:space="preserve">Daiyan Zheng</t>
  </si>
  <si>
    <t xml:space="preserve">daiyan.zheng@proinvest.com.sg</t>
  </si>
  <si>
    <t xml:space="preserve">Daniel Ong Thiam Chye</t>
  </si>
  <si>
    <t xml:space="preserve">Branch: PLP Advisory | https://www.linkedin.com/in/daniel-ong-0b8a2149/</t>
  </si>
  <si>
    <t xml:space="preserve">Dennis Lye</t>
  </si>
  <si>
    <t xml:space="preserve">dennis.lye@proinvest.com.sg</t>
  </si>
  <si>
    <t xml:space="preserve">Desmond Wee</t>
  </si>
  <si>
    <t xml:space="preserve">desmond.wee@proinvest.com.sg</t>
  </si>
  <si>
    <t xml:space="preserve">Diana Zhu Yuzheng</t>
  </si>
  <si>
    <t xml:space="preserve">Branch: Optimus Consulting | https://www.linkedin.com/in/diana-zhu-/</t>
  </si>
  <si>
    <t xml:space="preserve">Dicky Ong</t>
  </si>
  <si>
    <t xml:space="preserve">dicky.ong@proinvest.com.sg</t>
  </si>
  <si>
    <t xml:space="preserve">Dr Siva</t>
  </si>
  <si>
    <t xml:space="preserve">dr.siva@proinvest.com.sg</t>
  </si>
  <si>
    <t xml:space="preserve">Edward Lee</t>
  </si>
  <si>
    <t xml:space="preserve">edward.lee@proinvest.com.sg</t>
  </si>
  <si>
    <t xml:space="preserve">Edy Hartono</t>
  </si>
  <si>
    <t xml:space="preserve">edy.hartono@proinvest.com.sg</t>
  </si>
  <si>
    <t xml:space="preserve">Branch: Polaris Advisory</t>
  </si>
  <si>
    <t xml:space="preserve">Elizabeth Lau</t>
  </si>
  <si>
    <t xml:space="preserve">elizabeth.lau@proinvest.com.sg</t>
  </si>
  <si>
    <t xml:space="preserve">Elsie Toh</t>
  </si>
  <si>
    <t xml:space="preserve">elsie.toh@proinvest.com.sg</t>
  </si>
  <si>
    <t xml:space="preserve">Eric Cheah Chun Kit</t>
  </si>
  <si>
    <t xml:space="preserve">Branch: APEX Infinite Financial Consultancy | https://www.linkedin.com/in/ericcheahpias/</t>
  </si>
  <si>
    <t xml:space="preserve">Felicia Fong</t>
  </si>
  <si>
    <t xml:space="preserve">felicia.fong@proinvest.com.sg</t>
  </si>
  <si>
    <t xml:space="preserve">Gabriel Wong</t>
  </si>
  <si>
    <t xml:space="preserve">gabriel.wong@proinvest.com.sg</t>
  </si>
  <si>
    <t xml:space="preserve">Gekheok Toh</t>
  </si>
  <si>
    <t xml:space="preserve">gekheok.toh@proinvest.com.sg</t>
  </si>
  <si>
    <t xml:space="preserve">Guansi Ng</t>
  </si>
  <si>
    <t xml:space="preserve">guansi.ng@proinvest.com.sg</t>
  </si>
  <si>
    <t xml:space="preserve">Huiting Toh</t>
  </si>
  <si>
    <t xml:space="preserve">huiting.toh@proinvest.com.sg</t>
  </si>
  <si>
    <t xml:space="preserve">Hung Lib Teo</t>
  </si>
  <si>
    <t xml:space="preserve">hunglib.teo@proinvest.com.sg</t>
  </si>
  <si>
    <t xml:space="preserve">Jacan Ng</t>
  </si>
  <si>
    <t xml:space="preserve">jacan.ng@proinvest.com.sg</t>
  </si>
  <si>
    <t xml:space="preserve">James Yang Jiahao</t>
  </si>
  <si>
    <t xml:space="preserve">Branch: Beacon Advisers | https://www.linkedin.com/in/jamesyangmdrt/</t>
  </si>
  <si>
    <t xml:space="preserve">Jameswongyn</t>
  </si>
  <si>
    <t xml:space="preserve">jameswongyn@gmail.com</t>
  </si>
  <si>
    <t xml:space="preserve">Janice Tay</t>
  </si>
  <si>
    <t xml:space="preserve">janice.tay@proinvest.com.sg</t>
  </si>
  <si>
    <t xml:space="preserve">Jay Wong</t>
  </si>
  <si>
    <t xml:space="preserve">jay.wong@proinvest.com.sg</t>
  </si>
  <si>
    <t xml:space="preserve">Jeffrey Edwards</t>
  </si>
  <si>
    <t xml:space="preserve">jeffrey.edwards@proinvest.com.sg</t>
  </si>
  <si>
    <t xml:space="preserve">Jelson Koh</t>
  </si>
  <si>
    <t xml:space="preserve">jelson.koh@proinvest.com.sg</t>
  </si>
  <si>
    <t xml:space="preserve">Jerry Teo</t>
  </si>
  <si>
    <t xml:space="preserve">Branch: Prime Achievers | https://www.linkedin.com/in/jerry-teo-b1206a1a8/</t>
  </si>
  <si>
    <t xml:space="preserve">Jessica Yeo</t>
  </si>
  <si>
    <t xml:space="preserve">jessica.yeo@proinvest.com.sg</t>
  </si>
  <si>
    <t xml:space="preserve">Jessica Zheng</t>
  </si>
  <si>
    <t xml:space="preserve">jessica.zheng@proinvest.com.sg</t>
  </si>
  <si>
    <t xml:space="preserve">Jessie Leo</t>
  </si>
  <si>
    <t xml:space="preserve">jessie.leo@proinvest.com.sg</t>
  </si>
  <si>
    <t xml:space="preserve">Joanne Limhf</t>
  </si>
  <si>
    <t xml:space="preserve">joanne.limhf@proinvest.com.sg</t>
  </si>
  <si>
    <t xml:space="preserve">John Lua</t>
  </si>
  <si>
    <t xml:space="preserve">john.lua@proinvest.com.sg</t>
  </si>
  <si>
    <t xml:space="preserve">Reports to Edy Hartono | Branch: Polaris Advisory</t>
  </si>
  <si>
    <t xml:space="preserve">John NG</t>
  </si>
  <si>
    <t xml:space="preserve">Branch: Affinity Elite Advisory</t>
  </si>
  <si>
    <t xml:space="preserve">Joraine Tan Hui Hui</t>
  </si>
  <si>
    <t xml:space="preserve">Branch: Prestige Wealth Advisory | https://www.linkedin.com/in/joraine-tan-02b80149/</t>
  </si>
  <si>
    <t xml:space="preserve">Juan Zhao</t>
  </si>
  <si>
    <t xml:space="preserve">juan.zhao@proinvest.com.sg</t>
  </si>
  <si>
    <t xml:space="preserve">Julian Qwek</t>
  </si>
  <si>
    <t xml:space="preserve">julian.qwek@proinvest.com.sg</t>
  </si>
  <si>
    <t xml:space="preserve">Junwei Pak</t>
  </si>
  <si>
    <t xml:space="preserve">junwei.pak@proinvest.com.sg</t>
  </si>
  <si>
    <t xml:space="preserve">Kailai Boey</t>
  </si>
  <si>
    <t xml:space="preserve">kailai.boey@proinvest.com.sg</t>
  </si>
  <si>
    <t xml:space="preserve">Kaiser Tan</t>
  </si>
  <si>
    <t xml:space="preserve">kaiser.tan@proinvest.com.sg</t>
  </si>
  <si>
    <t xml:space="preserve">Kaiyuan Ng</t>
  </si>
  <si>
    <t xml:space="preserve">kaiyuan.ng@proinvest.com.sg</t>
  </si>
  <si>
    <t xml:space="preserve">Keng Zi Hao</t>
  </si>
  <si>
    <t xml:space="preserve">Branch: APEX Premier | https://www.linkedin.com/in/nelsonkeng/</t>
  </si>
  <si>
    <t xml:space="preserve">Kevin Chang</t>
  </si>
  <si>
    <t xml:space="preserve">kevin.chang@proinvest.com.sg</t>
  </si>
  <si>
    <t xml:space="preserve">Khaihwee Loh</t>
  </si>
  <si>
    <t xml:space="preserve">khaihwee.loh@proinvest.com.sg</t>
  </si>
  <si>
    <t xml:space="preserve">Kwongchee Chun</t>
  </si>
  <si>
    <t xml:space="preserve">Lai Feai Lim</t>
  </si>
  <si>
    <t xml:space="preserve">No LinkedIn found</t>
  </si>
  <si>
    <t xml:space="preserve">Branch: APEX Consultancy</t>
  </si>
  <si>
    <t xml:space="preserve">Lavaneiya Prabaharan</t>
  </si>
  <si>
    <t xml:space="preserve">lavaneiya.prabaharan@proinvest.com.sg</t>
  </si>
  <si>
    <t xml:space="preserve">Lea Liu</t>
  </si>
  <si>
    <t xml:space="preserve">leah.liu@proinvest.com.sg</t>
  </si>
  <si>
    <t xml:space="preserve">Leah Liu</t>
  </si>
  <si>
    <t xml:space="preserve">Replied to mass email</t>
  </si>
  <si>
    <t xml:space="preserve">Linda Lee</t>
  </si>
  <si>
    <t xml:space="preserve">linda.lee@proinvest.com.sg</t>
  </si>
  <si>
    <t xml:space="preserve">Martin Chin</t>
  </si>
  <si>
    <t xml:space="preserve">martin.chin@proinvest.com.sg</t>
  </si>
  <si>
    <t xml:space="preserve">Martin Lau</t>
  </si>
  <si>
    <t xml:space="preserve">martin.lau@proinvest.com.sg</t>
  </si>
  <si>
    <t xml:space="preserve">Branch: Polaris Acorn Advisory</t>
  </si>
  <si>
    <t xml:space="preserve">Mary Chin</t>
  </si>
  <si>
    <t xml:space="preserve">mary.chin@proinvest.com.sg</t>
  </si>
  <si>
    <t xml:space="preserve">Mavis Tan</t>
  </si>
  <si>
    <t xml:space="preserve">Meimei Liang</t>
  </si>
  <si>
    <t xml:space="preserve">meimei.liang@proinvest.com.sg</t>
  </si>
  <si>
    <t xml:space="preserve">Meiping Lee</t>
  </si>
  <si>
    <t xml:space="preserve">meiping.lee@proinvest.com.sg</t>
  </si>
  <si>
    <t xml:space="preserve">Melvin Kuah</t>
  </si>
  <si>
    <t xml:space="preserve">melvin.kuah@proinvest.com.sg</t>
  </si>
  <si>
    <t xml:space="preserve">Moses Lim</t>
  </si>
  <si>
    <t xml:space="preserve">moses.lim@promiseland.com.sg</t>
  </si>
  <si>
    <t xml:space="preserve">Nicholas Lee</t>
  </si>
  <si>
    <t xml:space="preserve">Branch: Affinity Odyssey Guild | https://www.linkedin.com/in/nicholas-lee-9842ab112/</t>
  </si>
  <si>
    <t xml:space="preserve">Ong Yue Hoon</t>
  </si>
  <si>
    <t xml:space="preserve">Branch: Vertex Wealth Advisory | https://www.linkedin.com/in/cindy-ong-5851273/</t>
  </si>
  <si>
    <t xml:space="preserve">Paul See</t>
  </si>
  <si>
    <t xml:space="preserve">paul.see@proinvest.com.sg</t>
  </si>
  <si>
    <t xml:space="preserve">Paul See Hock Soon</t>
  </si>
  <si>
    <t xml:space="preserve">Pauline Tan</t>
  </si>
  <si>
    <t xml:space="preserve">pauline.tan@proinvest.com.sg</t>
  </si>
  <si>
    <t xml:space="preserve">Priscilla Lim</t>
  </si>
  <si>
    <t xml:space="preserve">priscilla.lim@proinvest.com.sg</t>
  </si>
  <si>
    <t xml:space="preserve">Puishan Chan</t>
  </si>
  <si>
    <t xml:space="preserve">puishan.chan@proinvest.com.sg</t>
  </si>
  <si>
    <t xml:space="preserve">Queelie Tan</t>
  </si>
  <si>
    <t xml:space="preserve">queelie.tan@proinvest.com.sg</t>
  </si>
  <si>
    <t xml:space="preserve">Raynor Ho</t>
  </si>
  <si>
    <t xml:space="preserve">raynor.ho@proinvest.com.sg</t>
  </si>
  <si>
    <t xml:space="preserve">Rick Tan Set Han</t>
  </si>
  <si>
    <t xml:space="preserve">Branch: Eagle's Wing Associates 2 | Already in CRM | https://www.linkedin.com/in/ricktansh/</t>
  </si>
  <si>
    <t xml:space="preserve">Roger Lee</t>
  </si>
  <si>
    <t xml:space="preserve">roger.lee@proinvest.com.sg</t>
  </si>
  <si>
    <t xml:space="preserve">Roy Yeo</t>
  </si>
  <si>
    <t xml:space="preserve">roy.yeo@proinvest.com.sg</t>
  </si>
  <si>
    <t xml:space="preserve">Ruth Goi</t>
  </si>
  <si>
    <t xml:space="preserve">ruth.goi@proinvest.com.sg</t>
  </si>
  <si>
    <t xml:space="preserve">Saykok Long</t>
  </si>
  <si>
    <t xml:space="preserve">saykok.long@proinvest.com.sg</t>
  </si>
  <si>
    <t xml:space="preserve">Sean Lim</t>
  </si>
  <si>
    <t xml:space="preserve">sean.lim@proinvest.com.sg</t>
  </si>
  <si>
    <t xml:space="preserve">Serene Ong</t>
  </si>
  <si>
    <t xml:space="preserve">serene.ong@proinvest.com.sg</t>
  </si>
  <si>
    <t xml:space="preserve">Serene Soh</t>
  </si>
  <si>
    <t xml:space="preserve">serene.soh@proinvest.com.sg</t>
  </si>
  <si>
    <t xml:space="preserve">Sharon Tay</t>
  </si>
  <si>
    <t xml:space="preserve">sharon.tay@proinvest.com.sg</t>
  </si>
  <si>
    <t xml:space="preserve">Shermaine Soh</t>
  </si>
  <si>
    <t xml:space="preserve">shermaine.soh@proinvest.com.sg</t>
  </si>
  <si>
    <t xml:space="preserve">Siewkim Lwa</t>
  </si>
  <si>
    <t xml:space="preserve">siewkim.lwa@proinvest.com.sg</t>
  </si>
  <si>
    <t xml:space="preserve">Song Tat Seang Joey</t>
  </si>
  <si>
    <t xml:space="preserve">Branch: Joey Song &amp; Associates | Already in CRM | https://www.linkedin.com/in/joey-song-879129103/</t>
  </si>
  <si>
    <t xml:space="preserve">Soong Chng Hau Alvin</t>
  </si>
  <si>
    <t xml:space="preserve">Branch: Polaris Zenieth Advisory | Already in CRM | https://www.linkedin.com/in/alvinsoong/</t>
  </si>
  <si>
    <t xml:space="preserve">Stella Sophia Goh</t>
  </si>
  <si>
    <t xml:space="preserve">stellasophia.goh@proinvest.com.sg</t>
  </si>
  <si>
    <t xml:space="preserve">Stephanie Zhu</t>
  </si>
  <si>
    <t xml:space="preserve">stephanie.zhu@proinvest.com.sg</t>
  </si>
  <si>
    <t xml:space="preserve">Stephanie Zhu Ying</t>
  </si>
  <si>
    <t xml:space="preserve">Branch: INS Wealth Advisory | Already in CRM | https://www.linkedin.com/in/zy86144941/</t>
  </si>
  <si>
    <t xml:space="preserve">Stephen Yeo</t>
  </si>
  <si>
    <t xml:space="preserve">stephen.yeo@proinvest.com.sg</t>
  </si>
  <si>
    <t xml:space="preserve">Tang Tuck Soon, Alan</t>
  </si>
  <si>
    <t xml:space="preserve">Branch: Apex Wealth management | https://www.linkedin.com/in/alantangts/</t>
  </si>
  <si>
    <t xml:space="preserve">Terence Yang Xi</t>
  </si>
  <si>
    <t xml:space="preserve">Branch: APEX Affinity Planners | https://www.linkedin.com/in/terence-yang-xi/</t>
  </si>
  <si>
    <t xml:space="preserve">Thilaga Chitharasu</t>
  </si>
  <si>
    <t xml:space="preserve">thilaga.chitharasu@proinvest.com.sg</t>
  </si>
  <si>
    <t xml:space="preserve">Thiviyah Raman</t>
  </si>
  <si>
    <t xml:space="preserve">thiviyah.raman@proinvest.com.sg</t>
  </si>
  <si>
    <t xml:space="preserve">Thomas Krellstein</t>
  </si>
  <si>
    <t xml:space="preserve">thomas.krellstein@proinvest.com.sg</t>
  </si>
  <si>
    <t xml:space="preserve">Thomas Ongeh</t>
  </si>
  <si>
    <t xml:space="preserve">thomas.ongeh@proinvest.com.sg</t>
  </si>
  <si>
    <t xml:space="preserve">Tony Ng</t>
  </si>
  <si>
    <t xml:space="preserve">tony.ng@proinvest.com.sg</t>
  </si>
  <si>
    <t xml:space="preserve">Tuar Hong Ye, Victor</t>
  </si>
  <si>
    <t xml:space="preserve">Branch: APEX Vantage Advisory Partners | https://www.linkedin.com/in/victortuar/</t>
  </si>
  <si>
    <t xml:space="preserve">Valerie Khoo</t>
  </si>
  <si>
    <t xml:space="preserve">valerie.khoo@proinvest.com.sg</t>
  </si>
  <si>
    <t xml:space="preserve">Vincent Kangcj</t>
  </si>
  <si>
    <t xml:space="preserve">vincent.kangcj@proinvest.com.sg</t>
  </si>
  <si>
    <t xml:space="preserve">Wanhua Goh</t>
  </si>
  <si>
    <t xml:space="preserve">wanhua.goh@proinvest.com.sg</t>
  </si>
  <si>
    <t xml:space="preserve">Wendy Teo</t>
  </si>
  <si>
    <t xml:space="preserve">wendy.teo@proinvest.com.sg</t>
  </si>
  <si>
    <t xml:space="preserve">William Wee</t>
  </si>
  <si>
    <t xml:space="preserve">william.wee@proinvest.com.sg</t>
  </si>
  <si>
    <t xml:space="preserve">Yiting Zhao</t>
  </si>
  <si>
    <t xml:space="preserve">yiting.zhao@proinvest.com.sg</t>
  </si>
  <si>
    <t xml:space="preserve">Zenn Choo</t>
  </si>
  <si>
    <t xml:space="preserve">zenn.choo@proinvest.com.sg</t>
  </si>
  <si>
    <t xml:space="preserve">Zhi Han Kng</t>
  </si>
  <si>
    <t xml:space="preserve">zhihan.kng@proinvest.com.sg</t>
  </si>
  <si>
    <t xml:space="preserve">Graham Choo</t>
  </si>
  <si>
    <t xml:space="preserve">grahamchoo@promiseland.com.sg</t>
  </si>
  <si>
    <t xml:space="preserve">Branch: Pioneer</t>
  </si>
  <si>
    <t xml:space="preserve">Koay Tatt Chong</t>
  </si>
  <si>
    <t xml:space="preserve">Branch: Credence Advisors</t>
  </si>
  <si>
    <t xml:space="preserve">Lawrence Koh</t>
  </si>
  <si>
    <t xml:space="preserve">lawrence.koh@promiseland.com.sg</t>
  </si>
  <si>
    <t xml:space="preserve">Matt Baker</t>
  </si>
  <si>
    <t xml:space="preserve">advice@singaporeexpatadvisory.com</t>
  </si>
  <si>
    <t xml:space="preserve">Branch: Singapore Expat Advisory</t>
  </si>
  <si>
    <t xml:space="preserve">Michelle Tan</t>
  </si>
  <si>
    <t xml:space="preserve">michelle.tan@promiseland.com.sg</t>
  </si>
  <si>
    <t xml:space="preserve">Branch: Amg Alliance Wealth</t>
  </si>
  <si>
    <t xml:space="preserve">Vincent Neo</t>
  </si>
  <si>
    <t xml:space="preserve">vincent.neo@sg-alliance.com</t>
  </si>
  <si>
    <t xml:space="preserve">Benjamin Ting</t>
  </si>
  <si>
    <t xml:space="preserve">benjamin@singlife.com</t>
  </si>
  <si>
    <t xml:space="preserve">Carey Ang</t>
  </si>
  <si>
    <t xml:space="preserve">Branch: One Group</t>
  </si>
  <si>
    <t xml:space="preserve">Claire Tan</t>
  </si>
  <si>
    <t xml:space="preserve">claire.tan@singlife.com</t>
  </si>
  <si>
    <t xml:space="preserve">Darren Tan</t>
  </si>
  <si>
    <t xml:space="preserve">Branch: Private Clients Planner</t>
  </si>
  <si>
    <t xml:space="preserve">Ivan Tan</t>
  </si>
  <si>
    <t xml:space="preserve">Branch: Vanguard</t>
  </si>
  <si>
    <t xml:space="preserve">Jerry lim</t>
  </si>
  <si>
    <t xml:space="preserve">Branch: Jerry Lim Group</t>
  </si>
  <si>
    <t xml:space="preserve">Kaira Tan</t>
  </si>
  <si>
    <t xml:space="preserve">kaira_tan@singlife.com</t>
  </si>
  <si>
    <t xml:space="preserve">Lawrence Leu</t>
  </si>
  <si>
    <t xml:space="preserve">Branch: Wealth United Singapore</t>
  </si>
  <si>
    <t xml:space="preserve">Magdalene Koh</t>
  </si>
  <si>
    <t xml:space="preserve">Branch: MKA</t>
  </si>
  <si>
    <t xml:space="preserve">mavis.tan@singlife.com</t>
  </si>
  <si>
    <t xml:space="preserve">Reuben Sim</t>
  </si>
  <si>
    <t xml:space="preserve">reuben_sim@singlife.com</t>
  </si>
  <si>
    <t xml:space="preserve">Sandy Tan Zi Wei</t>
  </si>
  <si>
    <t xml:space="preserve">Branch: Lionheart Wealth Group</t>
  </si>
  <si>
    <t xml:space="preserve">Smith Foo</t>
  </si>
  <si>
    <t xml:space="preserve">Terence Foo</t>
  </si>
  <si>
    <t xml:space="preserve">Branch: United Wealth Alliance</t>
  </si>
  <si>
    <t xml:space="preserve">Woo Ern Ern</t>
  </si>
  <si>
    <t xml:space="preserve">Adam Lee</t>
  </si>
  <si>
    <t xml:space="preserve">adamlee@synergy.com.sg</t>
  </si>
  <si>
    <t xml:space="preserve">Branch: Alpha | https://www.linkedin.com/in/adam-lee-0b5530289/</t>
  </si>
  <si>
    <t xml:space="preserve">Agnes Lim</t>
  </si>
  <si>
    <t xml:space="preserve">agneslim@synergy.com.sg</t>
  </si>
  <si>
    <t xml:space="preserve">Branch: Your Advisory Partners | Already in CRM | https://www.linkedin.com/in/agneslim-enrichlives-empowerlives/?skipRedirect=true</t>
  </si>
  <si>
    <t xml:space="preserve">Andrew Fong</t>
  </si>
  <si>
    <t xml:space="preserve">andrewfong@synergy.com.sg</t>
  </si>
  <si>
    <t xml:space="preserve">Andrew Lee</t>
  </si>
  <si>
    <t xml:space="preserve">andrewlee@synergy.com.sg</t>
  </si>
  <si>
    <t xml:space="preserve">Branch: Accendo</t>
  </si>
  <si>
    <t xml:space="preserve">Anthony Liew</t>
  </si>
  <si>
    <t xml:space="preserve">anthonyliew@synergy.com.sg</t>
  </si>
  <si>
    <t xml:space="preserve">Danny Lee</t>
  </si>
  <si>
    <t xml:space="preserve">dannylee@synergy.com.sg</t>
  </si>
  <si>
    <t xml:space="preserve">May-26: not available; Branch: Voda</t>
  </si>
  <si>
    <t xml:space="preserve">Edmund Wee</t>
  </si>
  <si>
    <t xml:space="preserve">edmundwee@synergy.com.sg</t>
  </si>
  <si>
    <t xml:space="preserve">May-26: not available; Branch: First | https://www.linkedin.com/in/edmund-wee-127b272a/</t>
  </si>
  <si>
    <t xml:space="preserve">Eric Chan</t>
  </si>
  <si>
    <t xml:space="preserve">ericchan@synergy.com.sg</t>
  </si>
  <si>
    <t xml:space="preserve">Eugene Low</t>
  </si>
  <si>
    <t xml:space="preserve">eugene.low@synergy.com.sg</t>
  </si>
  <si>
    <t xml:space="preserve">Branch: Synthesis</t>
  </si>
  <si>
    <t xml:space="preserve">Eva Tan</t>
  </si>
  <si>
    <t xml:space="preserve">evatan@synergy.com.sg</t>
  </si>
  <si>
    <t xml:space="preserve">Grace Lee</t>
  </si>
  <si>
    <t xml:space="preserve">gracelee@synergy.com.sg</t>
  </si>
  <si>
    <t xml:space="preserve">Jack Chan</t>
  </si>
  <si>
    <t xml:space="preserve">jackchan@synergy.com.sg</t>
  </si>
  <si>
    <t xml:space="preserve">Jacqueline McQuillan</t>
  </si>
  <si>
    <t xml:space="preserve">Branch: Elcho Wealth | https://www.linkedin.com/in/jacquimcquillan/</t>
  </si>
  <si>
    <t xml:space="preserve">Jeffrey Tan</t>
  </si>
  <si>
    <t xml:space="preserve">jeffreytan@synergy.com.sg</t>
  </si>
  <si>
    <t xml:space="preserve">Jeffrey Tan JY</t>
  </si>
  <si>
    <t xml:space="preserve">Branch: Highlife | https://www.linkedin.com/in/jeffrey-tan-b2271018/</t>
  </si>
  <si>
    <t xml:space="preserve">Kamen Kwok</t>
  </si>
  <si>
    <t xml:space="preserve">kamen.kwok@synergy.com.sg</t>
  </si>
  <si>
    <t xml:space="preserve">Kayden Khoo</t>
  </si>
  <si>
    <t xml:space="preserve">kaydenkhoo@synergy.com.sg</t>
  </si>
  <si>
    <t xml:space="preserve">Law Hanwei</t>
  </si>
  <si>
    <t xml:space="preserve">lawhanwei@synergy.com.sg</t>
  </si>
  <si>
    <t xml:space="preserve">Li Zhen Khoo</t>
  </si>
  <si>
    <t xml:space="preserve">khoolizhen@synergy.com.sg</t>
  </si>
  <si>
    <t xml:space="preserve">Lim Li Fen</t>
  </si>
  <si>
    <t xml:space="preserve">Branch: Straits Wealth | 23 July Lunch | 23 July Lunch</t>
  </si>
  <si>
    <t xml:space="preserve">Mavis Luo</t>
  </si>
  <si>
    <t xml:space="preserve">mavisluo@synergy.com.sg</t>
  </si>
  <si>
    <t xml:space="preserve">Nick Anderson</t>
  </si>
  <si>
    <t xml:space="preserve">nick@aam-advisory.com</t>
  </si>
  <si>
    <t xml:space="preserve">Rainer Ackbari</t>
  </si>
  <si>
    <t xml:space="preserve">rainerackbari@synergy.com.sg</t>
  </si>
  <si>
    <t xml:space="preserve">Branch: Linc Wealth Advisers</t>
  </si>
  <si>
    <t xml:space="preserve">Richard Hardy</t>
  </si>
  <si>
    <t xml:space="preserve">richardhardy@synergy.com.sg</t>
  </si>
  <si>
    <t xml:space="preserve">Branch: Focus Wealth</t>
  </si>
  <si>
    <t xml:space="preserve">Roy Lee</t>
  </si>
  <si>
    <t xml:space="preserve">roylee@synergy.com.sg</t>
  </si>
  <si>
    <t xml:space="preserve">Branch: Crescendo Wealth</t>
  </si>
  <si>
    <t xml:space="preserve">Ryan Cheng</t>
  </si>
  <si>
    <t xml:space="preserve">ryancheng@synergy.com.sg</t>
  </si>
  <si>
    <t xml:space="preserve">Samuel Siew</t>
  </si>
  <si>
    <t xml:space="preserve">samuelsiew@synergy.com.sg</t>
  </si>
  <si>
    <t xml:space="preserve">Sean Neo</t>
  </si>
  <si>
    <t xml:space="preserve">seanneo@synergy.com.sg</t>
  </si>
  <si>
    <t xml:space="preserve">Shawn Koh</t>
  </si>
  <si>
    <t xml:space="preserve">shawnkoh@synergy.com.sg</t>
  </si>
  <si>
    <t xml:space="preserve">Simon Bird</t>
  </si>
  <si>
    <t xml:space="preserve">simonbird@synergy.com.sg</t>
  </si>
  <si>
    <t xml:space="preserve">May-26: not available; Branch: Linc Private Solutions</t>
  </si>
  <si>
    <t xml:space="preserve">Tan Tiong Eng</t>
  </si>
  <si>
    <t xml:space="preserve">Branch: Titan</t>
  </si>
  <si>
    <t xml:space="preserve">Willy Soh</t>
  </si>
  <si>
    <t xml:space="preserve">willyngsoh@synergy.com.sg</t>
  </si>
  <si>
    <t xml:space="preserve">Willynn Soh</t>
  </si>
  <si>
    <t xml:space="preserve">willynnsoh@synergy.com.sg</t>
  </si>
  <si>
    <t xml:space="preserve">Branch: Steadius</t>
  </si>
  <si>
    <t xml:space="preserve">Yvonne Seow</t>
  </si>
  <si>
    <t xml:space="preserve">yvonne@synergy.com.sg</t>
  </si>
  <si>
    <t xml:space="preserve">May-26: not available; Branch: Aces</t>
  </si>
  <si>
    <t xml:space="preserve">IFA CONTACT DATABASE  —  SETUP &amp; USER GUIDE</t>
  </si>
  <si>
    <t xml:space="preserve">Everything in this workbook is driven by the RawData tab. Add a contact there and every other tab updates itself.</t>
  </si>
  <si>
    <t xml:space="preserve">1.</t>
  </si>
  <si>
    <t xml:space="preserve">ADD A CONTACT</t>
  </si>
  <si>
    <t xml:space="preserve">Go to the RawData tab, scroll to the first empty row and type into the WHITE columns (Name .. Notes). The GREY columns to the right calculate themselves — never type in them.</t>
  </si>
  <si>
    <t xml:space="preserve">2.</t>
  </si>
  <si>
    <t xml:space="preserve">DROPDOWNS</t>
  </si>
  <si>
    <t xml:space="preserve">Firm, Contact Type, Source, Met?, Invested?, Email Sent, LinkedIn and every event column are dropdowns. To add a new choice, add it to the lists on the right of this tab.</t>
  </si>
  <si>
    <t xml:space="preserve">3.</t>
  </si>
  <si>
    <t xml:space="preserve">ADD AN EVENT</t>
  </si>
  <si>
    <t xml:space="preserve">Type the event name / short name / date into the EVENTS table below (rows 4 and 5 are free). A new column instantly appears in RawData and a new line appears on the Dashboard.</t>
  </si>
  <si>
    <t xml:space="preserve">4.</t>
  </si>
  <si>
    <t xml:space="preserve">READ THE NUMBERS</t>
  </si>
  <si>
    <t xml:space="preserve">Dashboard = who they are and where they come from.  Meeting Stats = how the meeting effort is going.  Contacts = the searchable directory (use the filter boxes at the top).</t>
  </si>
  <si>
    <t xml:space="preserve">5.</t>
  </si>
  <si>
    <t xml:space="preserve">CAPACITY</t>
  </si>
  <si>
    <t xml:space="preserve">The workbook is set up for 599 contacts. To go beyond that, select rows and use Formulas &gt; Name Manager to extend the c_* ranges, or run the ExtendCapacity macro.</t>
  </si>
  <si>
    <t xml:space="preserve">6.</t>
  </si>
  <si>
    <t xml:space="preserve">MACROS (optional)</t>
  </si>
  <si>
    <t xml:space="preserve">Everything above works with formulas only — no macros required. IFA_Contacts_Macros.bas adds one-click sorting, an add-contact form and a duplicate checker if you want them.</t>
  </si>
  <si>
    <t xml:space="preserve">EVENTS</t>
  </si>
  <si>
    <t xml:space="preserve">(blue cells are yours to edit — adding a row here adds an event everywhere)</t>
  </si>
  <si>
    <t xml:space="preserve">Firms</t>
  </si>
  <si>
    <t xml:space="preserve">Event status</t>
  </si>
  <si>
    <t xml:space="preserve">Yes / No</t>
  </si>
  <si>
    <t xml:space="preserve">LinkedIn</t>
  </si>
  <si>
    <t xml:space="preserve">Firm filter</t>
  </si>
  <si>
    <t xml:space="preserve">Met filter</t>
  </si>
  <si>
    <t xml:space="preserve">Event filter</t>
  </si>
  <si>
    <t xml:space="preserve">Engagement filter</t>
  </si>
  <si>
    <t xml:space="preserve">#</t>
  </si>
  <si>
    <t xml:space="preserve">Event name (full)</t>
  </si>
  <si>
    <t xml:space="preserve">Short name (used on charts)</t>
  </si>
  <si>
    <t xml:space="preserve">Event 1</t>
  </si>
  <si>
    <t xml:space="preserve">H2O AM IFA Symposium (October 2025)</t>
  </si>
  <si>
    <t xml:space="preserve">Oct-25 Symposium</t>
  </si>
  <si>
    <t xml:space="preserve">Event 2</t>
  </si>
  <si>
    <t xml:space="preserve">2nd Edition H2O AM IFA Symposium (May 2026)</t>
  </si>
  <si>
    <t xml:space="preserve">May-26 Symposium</t>
  </si>
  <si>
    <t xml:space="preserve">Accepted</t>
  </si>
  <si>
    <t xml:space="preserve">Event 3</t>
  </si>
  <si>
    <t xml:space="preserve">Macro Lunch series</t>
  </si>
  <si>
    <t xml:space="preserve">Macro Lunch</t>
  </si>
  <si>
    <t xml:space="preserve">Product / Platform</t>
  </si>
  <si>
    <t xml:space="preserve">Event 4</t>
  </si>
  <si>
    <t xml:space="preserve">Other</t>
  </si>
  <si>
    <t xml:space="preserve">Event 5</t>
  </si>
  <si>
    <t xml:space="preserve">Referral</t>
  </si>
  <si>
    <t xml:space="preserve">COLOUR LEGEND</t>
  </si>
  <si>
    <t xml:space="preserve">White cell</t>
  </si>
  <si>
    <t xml:space="preserve">Type here — this is your data (RawData columns B to S).</t>
  </si>
  <si>
    <t xml:space="preserve">Grey cell</t>
  </si>
  <si>
    <t xml:space="preserve">Calculated. Typing over it breaks the formula for that row.</t>
  </si>
  <si>
    <t xml:space="preserve">Yellow cell</t>
  </si>
  <si>
    <t xml:space="preserve">A filter or a switch — change it to change what you see.</t>
  </si>
  <si>
    <t xml:space="preserve">Green</t>
  </si>
  <si>
    <t xml:space="preserve">Good news: met, attended, invested.</t>
  </si>
  <si>
    <t xml:space="preserve">Red</t>
  </si>
  <si>
    <t xml:space="preserve">Needs attention: declined, or over 120 days since the last meeting.</t>
  </si>
  <si>
    <t xml:space="preserve">HOW THE ORIGINAL FILE WAS TRANSLATED  (assumptions — change any cell in RawData if one is wrong)</t>
  </si>
  <si>
    <t xml:space="preserve">•  Source workbook: IFA_Meeting_List.xlsx — tabs Meeting List, Attendance, Branch Directors, Mass Email PIAS, ILP Data. All five are kept unchanged at the end of this workbook.</t>
  </si>
  <si>
    <t xml:space="preserve">•  Contacts were merged on name (case and spacing ignored). Two people with the same name at DIFFERENT firms were kept separate.</t>
  </si>
  <si>
    <t xml:space="preserve">•  Oct-25 Symposium, from 'Meeting List' column D: Yes = Attended, Not Available = Declined, No = No Reply, blank = Not Invited.</t>
  </si>
  <si>
    <t xml:space="preserve">•  May-26 Symposium: the 'Attendance' tab is that event's attendance sheet — 66 registered, 55 ticked = Attended, the other 11 = No Show. Column K 'Accepted' supplies Declined / No Reply for everyone else; column J blank = Not Invited.</t>
  </si>
  <si>
    <t xml:space="preserve">•  'Macro Lunch' and 'Overseas' written in the Invited column were moved out: Macro Lunch became its own event, Overseas became a Declined + a note.</t>
  </si>
  <si>
    <t xml:space="preserve">•  Met? = Yes wherever the source held a last-meeting date, even where its 'Meeting (Thomas)' column still said No (9 rows). # Meetings: the source only records ONE date per contact, so everyone met was given 1 meeting — overtype column I in RawData with the true count whenever you know it.</t>
  </si>
  <si>
    <t xml:space="preserve">•  AUM comes from the 'ILP Data' tab (53 contacts, S$922m in total — matches that tab's own control figure).</t>
  </si>
  <si>
    <t xml:space="preserve">•  Branch Directors: the Firm column was filled down; branch names, LinkedIn URLs and 'already in CRM' flags were folded into Notes.</t>
  </si>
  <si>
    <t xml:space="preserve">ORIGINAL DATA — kept for reference, not used by any formula</t>
  </si>
  <si>
    <t xml:space="preserve">Name </t>
  </si>
  <si>
    <t xml:space="preserve">Events</t>
  </si>
  <si>
    <t xml:space="preserve">Event Name</t>
  </si>
  <si>
    <t xml:space="preserve">Meeting (Thomas)</t>
  </si>
  <si>
    <t xml:space="preserve">Invested</t>
  </si>
  <si>
    <t xml:space="preserve">Invited </t>
  </si>
  <si>
    <t xml:space="preserve">Invit Sent</t>
  </si>
  <si>
    <t xml:space="preserve">Accepted Invit</t>
  </si>
  <si>
    <t xml:space="preserve">N/A</t>
  </si>
  <si>
    <t xml:space="preserve">Zest Chia </t>
  </si>
  <si>
    <t xml:space="preserve">Not Available</t>
  </si>
  <si>
    <t xml:space="preserve">yvonne@synergy.com.sg </t>
  </si>
  <si>
    <t xml:space="preserve">Finexis Advisory </t>
  </si>
  <si>
    <t xml:space="preserve">Winston Tyo </t>
  </si>
  <si>
    <t xml:space="preserve">willynnsoh@synergy.com.sg </t>
  </si>
  <si>
    <t xml:space="preserve">Ifast</t>
  </si>
  <si>
    <t xml:space="preserve">thomasong@fapl.sg </t>
  </si>
  <si>
    <t xml:space="preserve">ifast</t>
  </si>
  <si>
    <t xml:space="preserve">n/a</t>
  </si>
  <si>
    <t xml:space="preserve">Phillip Securities</t>
  </si>
  <si>
    <t xml:space="preserve">simonbird@synergy.com.sg </t>
  </si>
  <si>
    <t xml:space="preserve">Synergy </t>
  </si>
  <si>
    <t xml:space="preserve">iFast (Product)</t>
  </si>
  <si>
    <t xml:space="preserve">roylee@synergy.com.sg </t>
  </si>
  <si>
    <t xml:space="preserve">Rainer Ackbari </t>
  </si>
  <si>
    <t xml:space="preserve">H2O AM</t>
  </si>
  <si>
    <t xml:space="preserve">yes</t>
  </si>
  <si>
    <t xml:space="preserve">Bounced back</t>
  </si>
  <si>
    <t xml:space="preserve">Overseas</t>
  </si>
  <si>
    <t xml:space="preserve">mos.fx20@gmail.com </t>
  </si>
  <si>
    <t xml:space="preserve">Client of Norman Ngai</t>
  </si>
  <si>
    <t xml:space="preserve">SINGLIFE</t>
  </si>
  <si>
    <t xml:space="preserve">Alpha Wealth </t>
  </si>
  <si>
    <t xml:space="preserve">Lea Liu </t>
  </si>
  <si>
    <t xml:space="preserve">Synergy  </t>
  </si>
  <si>
    <t xml:space="preserve">Synergy FA</t>
  </si>
  <si>
    <t xml:space="preserve">kamen.kwok@synergy.com.sg </t>
  </si>
  <si>
    <t xml:space="preserve">jeffreytan@synergy.com.sg </t>
  </si>
  <si>
    <t xml:space="preserve">Janice Tay </t>
  </si>
  <si>
    <t xml:space="preserve">Hadi Wijaya </t>
  </si>
  <si>
    <t xml:space="preserve">garethsim@phillip.com.sg </t>
  </si>
  <si>
    <t xml:space="preserve">francishoan@fapl.sg </t>
  </si>
  <si>
    <t xml:space="preserve">edmundwee@synergy.com.sg </t>
  </si>
  <si>
    <t xml:space="preserve">Great Eastern life</t>
  </si>
  <si>
    <t xml:space="preserve">?</t>
  </si>
  <si>
    <t xml:space="preserve">andrewlee@synergy.com.sg </t>
  </si>
  <si>
    <t xml:space="preserve">Anand Francis </t>
  </si>
  <si>
    <t xml:space="preserve">adamlee@synergy.com.sg </t>
  </si>
  <si>
    <t xml:space="preserve">Attendance</t>
  </si>
  <si>
    <t xml:space="preserve">Branch Name</t>
  </si>
  <si>
    <t xml:space="preserve">Branch Director </t>
  </si>
  <si>
    <t xml:space="preserve">Consultants</t>
  </si>
  <si>
    <t xml:space="preserve">Contacted on LinkedIn</t>
  </si>
  <si>
    <t xml:space="preserve">Message on Linkedin (08-09/07/2026)</t>
  </si>
  <si>
    <t xml:space="preserve">APEX Altius Advisory </t>
  </si>
  <si>
    <t xml:space="preserve">https://www.linkedin.com/in/anthonychangchiajoo/ </t>
  </si>
  <si>
    <t xml:space="preserve">Eagle's Wing Associates</t>
  </si>
  <si>
    <t xml:space="preserve">https://www.linkedin.com/in/apelles-poh-651a92a0/ </t>
  </si>
  <si>
    <t xml:space="preserve">APEX Infinite Financial Consultancy</t>
  </si>
  <si>
    <t xml:space="preserve">https://www.linkedin.com/in/ericcheahpias/ </t>
  </si>
  <si>
    <t xml:space="preserve">Affinity Kaizen Alliance</t>
  </si>
  <si>
    <t xml:space="preserve">https://www.linkedin.com/in/carrin-ng-3a36a4160/ </t>
  </si>
  <si>
    <t xml:space="preserve">PLP Advisory </t>
  </si>
  <si>
    <t xml:space="preserve">Daniel Ong Thiam Chye </t>
  </si>
  <si>
    <t xml:space="preserve">https://www.linkedin.com/in/daniel-ong-0b8a2149/ </t>
  </si>
  <si>
    <t xml:space="preserve">Polaris Advisory </t>
  </si>
  <si>
    <t xml:space="preserve">Edy Hartono </t>
  </si>
  <si>
    <t xml:space="preserve">Beacon Advisers</t>
  </si>
  <si>
    <t xml:space="preserve">https://www.linkedin.com/in/jamesyangmdrt/ </t>
  </si>
  <si>
    <t xml:space="preserve">Prime Achievers</t>
  </si>
  <si>
    <t xml:space="preserve">Jerry Teo </t>
  </si>
  <si>
    <t xml:space="preserve">https://www.linkedin.com/in/jerry-teo-b1206a1a8/</t>
  </si>
  <si>
    <t xml:space="preserve">Affinity Elite Advisory </t>
  </si>
  <si>
    <t xml:space="preserve">Prestige Wealth Advisory</t>
  </si>
  <si>
    <t xml:space="preserve">https://www.linkedin.com/in/joraine-tan-02b80149/</t>
  </si>
  <si>
    <t xml:space="preserve">APEX Premier</t>
  </si>
  <si>
    <t xml:space="preserve">https://www.linkedin.com/in/nelsonkeng/ </t>
  </si>
  <si>
    <t xml:space="preserve">APEX Consultancy </t>
  </si>
  <si>
    <t xml:space="preserve">Lai Feai Lim </t>
  </si>
  <si>
    <t xml:space="preserve">Can't find LinkedIn</t>
  </si>
  <si>
    <t xml:space="preserve">Polaris Acorn Advisory </t>
  </si>
  <si>
    <t xml:space="preserve">Polaris Compass Advisory </t>
  </si>
  <si>
    <t xml:space="preserve">Benson Lim </t>
  </si>
  <si>
    <t xml:space="preserve">Affinity Odyssey Guild</t>
  </si>
  <si>
    <t xml:space="preserve">https://www.linkedin.com/in/nicholas-lee-9842ab112/</t>
  </si>
  <si>
    <t xml:space="preserve">Vertex Wealth Advisory </t>
  </si>
  <si>
    <t xml:space="preserve">https://www.linkedin.com/in/cindy-ong-5851273/</t>
  </si>
  <si>
    <t xml:space="preserve">Eagle's Wing Associates 2</t>
  </si>
  <si>
    <t xml:space="preserve">already in CRM</t>
  </si>
  <si>
    <t xml:space="preserve">https://www.linkedin.com/in/ricktansh/</t>
  </si>
  <si>
    <t xml:space="preserve">Polaris Zenieth Advisory </t>
  </si>
  <si>
    <t xml:space="preserve">https://www.linkedin.com/in/alvinsoong/</t>
  </si>
  <si>
    <t xml:space="preserve">INS Wealth Advisory  </t>
  </si>
  <si>
    <t xml:space="preserve">https://www.linkedin.com/in/zy86144941/</t>
  </si>
  <si>
    <t xml:space="preserve">Joey Song &amp; Associates</t>
  </si>
  <si>
    <t xml:space="preserve">https://www.linkedin.com/in/joey-song-879129103/</t>
  </si>
  <si>
    <t xml:space="preserve">Apex Wealth management </t>
  </si>
  <si>
    <t xml:space="preserve">https://www.linkedin.com/in/alantangts/ </t>
  </si>
  <si>
    <t xml:space="preserve">APEX Vantage Advisory Partners</t>
  </si>
  <si>
    <t xml:space="preserve">https://www.linkedin.com/in/victortuar/</t>
  </si>
  <si>
    <t xml:space="preserve">APEX Elevation Partners</t>
  </si>
  <si>
    <t xml:space="preserve">7th July Presentation</t>
  </si>
  <si>
    <t xml:space="preserve">APEX Altimate Partners</t>
  </si>
  <si>
    <t xml:space="preserve">https://www.linkedin.com/in/annabel-tyy/</t>
  </si>
  <si>
    <t xml:space="preserve">APEX Affinity Planners</t>
  </si>
  <si>
    <t xml:space="preserve">https://www.linkedin.com/in/terence-yang-xi/ </t>
  </si>
  <si>
    <t xml:space="preserve">Optimus Consulting</t>
  </si>
  <si>
    <t xml:space="preserve">https://www.linkedin.com/in/diana-zhu-/</t>
  </si>
  <si>
    <t xml:space="preserve">Finexis</t>
  </si>
  <si>
    <t xml:space="preserve">Acorn Wealth</t>
  </si>
  <si>
    <t xml:space="preserve">https://www.linkedin.com/in/siew-yin-tan-aepp%C2%AE-cfp%C2%AE-tot-18859373/ </t>
  </si>
  <si>
    <t xml:space="preserve">Team GGO</t>
  </si>
  <si>
    <t xml:space="preserve">https://www.linkedin.com/in/garry-goh-82b41740/</t>
  </si>
  <si>
    <t xml:space="preserve">Faith Advisory</t>
  </si>
  <si>
    <t xml:space="preserve">Azure Dragon Partners</t>
  </si>
  <si>
    <t xml:space="preserve">https://www.linkedin.com/in/bohan-ng/ </t>
  </si>
  <si>
    <t xml:space="preserve">https://www.linkedin.com/in/mingshangoh/ </t>
  </si>
  <si>
    <t xml:space="preserve">Impact Wealth Advisory</t>
  </si>
  <si>
    <t xml:space="preserve">https://www.linkedin.com/in/staceylwin/ </t>
  </si>
  <si>
    <t xml:space="preserve">https://www.linkedin.com/in/chinsiong-y-4149405b/ </t>
  </si>
  <si>
    <t xml:space="preserve">Keziah &amp; Associates Wealth Arkiteks</t>
  </si>
  <si>
    <t xml:space="preserve">https://www.linkedin.com/in/kiat-hwee-sim-429b05bb/ </t>
  </si>
  <si>
    <t xml:space="preserve">https://www.linkedin.com/in/chongshimin/ </t>
  </si>
  <si>
    <t xml:space="preserve">Yeo Chin Wei</t>
  </si>
  <si>
    <t xml:space="preserve">NPLO Advisory Group</t>
  </si>
  <si>
    <t xml:space="preserve">https://www.linkedin.com/in/neo-poh-lin-ben-69801b37/</t>
  </si>
  <si>
    <t xml:space="preserve">faVe Advisory Practice</t>
  </si>
  <si>
    <t xml:space="preserve">https://www.linkedin.com/in/amanda-tan-36799498/ </t>
  </si>
  <si>
    <t xml:space="preserve">Omega Financial Advisory Group</t>
  </si>
  <si>
    <t xml:space="preserve">https://www.linkedin.com/in/juliantan-finexis/ </t>
  </si>
  <si>
    <t xml:space="preserve">https://www.linkedin.com/in/desmund-chin-aa81436/ </t>
  </si>
  <si>
    <t xml:space="preserve">https://www.linkedin.com/in/oliver-mak-2b935524/</t>
  </si>
  <si>
    <t xml:space="preserve">https://www.linkedin.com/in/danny-neo-16497a85/ </t>
  </si>
  <si>
    <t xml:space="preserve">https://www.linkedin.com/in/lim-jason-3ba424181/</t>
  </si>
  <si>
    <t xml:space="preserve">https://www.linkedin.com/in/perry-lau-wei-han-976901186/ </t>
  </si>
  <si>
    <t xml:space="preserve">Accendo</t>
  </si>
  <si>
    <t xml:space="preserve">Aces</t>
  </si>
  <si>
    <t xml:space="preserve">Alpha</t>
  </si>
  <si>
    <t xml:space="preserve">https://www.linkedin.com/in/adam-lee-0b5530289/ </t>
  </si>
  <si>
    <t xml:space="preserve">Crescendo Wealth</t>
  </si>
  <si>
    <t xml:space="preserve">Elcho Wealth</t>
  </si>
  <si>
    <t xml:space="preserve">https://www.linkedin.com/in/jacquimcquillan/</t>
  </si>
  <si>
    <t xml:space="preserve">First</t>
  </si>
  <si>
    <t xml:space="preserve">https://www.linkedin.com/in/edmund-wee-127b272a/</t>
  </si>
  <si>
    <t xml:space="preserve">Focus Wealth</t>
  </si>
  <si>
    <t xml:space="preserve">Richardhardy@synergy.com.sg</t>
  </si>
  <si>
    <t xml:space="preserve">Highlife</t>
  </si>
  <si>
    <t xml:space="preserve">https://www.linkedin.com/in/jeffrey-tan-b2271018/</t>
  </si>
  <si>
    <t xml:space="preserve">Linc Private Solutions</t>
  </si>
  <si>
    <t xml:space="preserve">Linc Wealth Advisers</t>
  </si>
  <si>
    <t xml:space="preserve">Steadius</t>
  </si>
  <si>
    <t xml:space="preserve">Straits Wealth</t>
  </si>
  <si>
    <t xml:space="preserve">23 July Lunch</t>
  </si>
  <si>
    <t xml:space="preserve">Synthesis</t>
  </si>
  <si>
    <t xml:space="preserve">Titan</t>
  </si>
  <si>
    <t xml:space="preserve">Voda</t>
  </si>
  <si>
    <t xml:space="preserve">Your Advisory Partners</t>
  </si>
  <si>
    <t xml:space="preserve">https://www.linkedin.com/in/agneslim-enrichlives-empowerlives/?skipRedirect=true</t>
  </si>
  <si>
    <t xml:space="preserve">Rafﬂes City Tower</t>
  </si>
  <si>
    <t xml:space="preserve">https://www.linkedin.com/in/jackson-chua-0397504a/</t>
  </si>
  <si>
    <t xml:space="preserve">Ang Mo Kio</t>
  </si>
  <si>
    <t xml:space="preserve">https://www.linkedin.com/in/danielong6598575445/ </t>
  </si>
  <si>
    <t xml:space="preserve">Boon Keng</t>
  </si>
  <si>
    <t xml:space="preserve">https://www.linkedin.com/in/bryan-ng-wei-ming-46352a20b/ </t>
  </si>
  <si>
    <t xml:space="preserve">Bukit Batok</t>
  </si>
  <si>
    <t xml:space="preserve">Holland Drive</t>
  </si>
  <si>
    <t xml:space="preserve">Marine Parade</t>
  </si>
  <si>
    <t xml:space="preserve">Northpoint City</t>
  </si>
  <si>
    <t xml:space="preserve">Raffles Place</t>
  </si>
  <si>
    <t xml:space="preserve">Toa Payoh</t>
  </si>
  <si>
    <t xml:space="preserve">Bukit Timah</t>
  </si>
  <si>
    <t xml:space="preserve">kierendp@phillip.com.sg </t>
  </si>
  <si>
    <t xml:space="preserve">https://www.linkedin.com/in/kieren-pereira-267b2469/ </t>
  </si>
  <si>
    <t xml:space="preserve">Tai Seng</t>
  </si>
  <si>
    <t xml:space="preserve">alvintanlp@phillip.com.sg </t>
  </si>
  <si>
    <t xml:space="preserve">https://www.linkedin.com/in/alvintan-tap/ </t>
  </si>
  <si>
    <t xml:space="preserve">Elise Tan Ee Fei </t>
  </si>
  <si>
    <t xml:space="preserve">Stanley Ong</t>
  </si>
  <si>
    <t xml:space="preserve">AIA Financial Adviser</t>
  </si>
  <si>
    <t xml:space="preserve">Advisors Alliance Group</t>
  </si>
  <si>
    <t xml:space="preserve">GT Group</t>
  </si>
  <si>
    <t xml:space="preserve">Kin Group</t>
  </si>
  <si>
    <t xml:space="preserve">Win Financial Group</t>
  </si>
  <si>
    <t xml:space="preserve">Ascendance Wealth Management</t>
  </si>
  <si>
    <t xml:space="preserve">Ken Group</t>
  </si>
  <si>
    <t xml:space="preserve">HoneyBees</t>
  </si>
  <si>
    <t xml:space="preserve">Co Wealth Advisory </t>
  </si>
  <si>
    <t xml:space="preserve">Inzy</t>
  </si>
  <si>
    <t xml:space="preserve">Atlas Wealth Planners</t>
  </si>
  <si>
    <t xml:space="preserve">Goldfinch Fortis Advisory</t>
  </si>
  <si>
    <t xml:space="preserve">Voyage Wealth Advisors</t>
  </si>
  <si>
    <t xml:space="preserve">Rev X</t>
  </si>
  <si>
    <t xml:space="preserve">Manulife Financial Advisers</t>
  </si>
  <si>
    <t xml:space="preserve">Beyond Consultancy</t>
  </si>
  <si>
    <t xml:space="preserve">roy.tan@manulifefa.com.sg </t>
  </si>
  <si>
    <t xml:space="preserve">Thinker Alliance</t>
  </si>
  <si>
    <t xml:space="preserve">kahfai.yuen@manulifefa.com.sg </t>
  </si>
  <si>
    <t xml:space="preserve">VA Planners</t>
  </si>
  <si>
    <t xml:space="preserve">joleen_ong_pp@manulifefa.com.sg </t>
  </si>
  <si>
    <t xml:space="preserve">Summit Planner Maximus </t>
  </si>
  <si>
    <t xml:space="preserve">jason.lim@manulifefa.com.sg </t>
  </si>
  <si>
    <t xml:space="preserve">Summit Planner Exchange </t>
  </si>
  <si>
    <t xml:space="preserve">Beyond Consultancy Altitude</t>
  </si>
  <si>
    <t xml:space="preserve">Summit Planner Exodus Capital</t>
  </si>
  <si>
    <t xml:space="preserve">evan.ong@manulifefa.com.sg </t>
  </si>
  <si>
    <t xml:space="preserve">Summit Planners Titans </t>
  </si>
  <si>
    <t xml:space="preserve">alvin.cher@manulifefa.com.sg </t>
  </si>
  <si>
    <t xml:space="preserve">Summit Planners Dunn &amp; Partners</t>
  </si>
  <si>
    <t xml:space="preserve">ADR Group</t>
  </si>
  <si>
    <t xml:space="preserve">adrian.lee@manulifefa.com.sg </t>
  </si>
  <si>
    <t xml:space="preserve">Prestige Raffles</t>
  </si>
  <si>
    <t xml:space="preserve">chungtze.quek@manulifefa.com.sg </t>
  </si>
  <si>
    <t xml:space="preserve">SKYS</t>
  </si>
  <si>
    <t xml:space="preserve">samuel.seah@manulifefa.com.sg </t>
  </si>
  <si>
    <t xml:space="preserve">Prestige Dynamic</t>
  </si>
  <si>
    <t xml:space="preserve">desmond.teo@manulifefa.com.sg </t>
  </si>
  <si>
    <t xml:space="preserve">Summit Planners Pinnacle</t>
  </si>
  <si>
    <t xml:space="preserve">daryl.lau@manulifefa.com.sg </t>
  </si>
  <si>
    <t xml:space="preserve">Summit Planners Invictus</t>
  </si>
  <si>
    <t xml:space="preserve">edmund.ang@manulifefa.com.sg </t>
  </si>
  <si>
    <t xml:space="preserve">Archel Advisory</t>
  </si>
  <si>
    <t xml:space="preserve">rachel.toh@manulifefa.com.sg </t>
  </si>
  <si>
    <t xml:space="preserve">Summit Planners Tenet</t>
  </si>
  <si>
    <t xml:space="preserve">michelle.jia@manulifefa.com.sg </t>
  </si>
  <si>
    <t xml:space="preserve">VA Distinct</t>
  </si>
  <si>
    <t xml:space="preserve">Summit Planners Fortis</t>
  </si>
  <si>
    <t xml:space="preserve">VA Legacy</t>
  </si>
  <si>
    <t xml:space="preserve">Aspire Alliance</t>
  </si>
  <si>
    <t xml:space="preserve">IPA Advisory</t>
  </si>
  <si>
    <t xml:space="preserve">Summit Planners Crusaders</t>
  </si>
  <si>
    <t xml:space="preserve">Summit Planners APX Financial</t>
  </si>
  <si>
    <t xml:space="preserve">Forte Group</t>
  </si>
  <si>
    <t xml:space="preserve">Prestige Elites</t>
  </si>
  <si>
    <t xml:space="preserve">VA One</t>
  </si>
  <si>
    <t xml:space="preserve">Aspire Alliance - Thomas Ang</t>
  </si>
  <si>
    <t xml:space="preserve">ChamberWealth Financial</t>
  </si>
  <si>
    <t xml:space="preserve">Trillion Financial Planners</t>
  </si>
  <si>
    <t xml:space="preserve">VA Cornerstone</t>
  </si>
  <si>
    <t xml:space="preserve">Beyond Consultancy 2</t>
  </si>
  <si>
    <t xml:space="preserve">Summit Planners ACE</t>
  </si>
  <si>
    <t xml:space="preserve">Acquity Planners</t>
  </si>
  <si>
    <t xml:space="preserve">VA Elite</t>
  </si>
  <si>
    <t xml:space="preserve">Promiseland Financial Advisory</t>
  </si>
  <si>
    <t xml:space="preserve">Amg Alliance Wealth </t>
  </si>
  <si>
    <t xml:space="preserve">michelle.tan@promiseland.com.sg </t>
  </si>
  <si>
    <t xml:space="preserve">Beacon wealth Management group</t>
  </si>
  <si>
    <t xml:space="preserve">info@beaconwealth.co.uk</t>
  </si>
  <si>
    <t xml:space="preserve">Credence Advisors</t>
  </si>
  <si>
    <t xml:space="preserve">Ethos Wealth Management</t>
  </si>
  <si>
    <t xml:space="preserve">FinArk</t>
  </si>
  <si>
    <t xml:space="preserve">FW Group Singapore</t>
  </si>
  <si>
    <t xml:space="preserve"> fwgroup.asia</t>
  </si>
  <si>
    <t xml:space="preserve">Massive Weath management</t>
  </si>
  <si>
    <t xml:space="preserve"> mwm.pr@promiseland.com.sg</t>
  </si>
  <si>
    <t xml:space="preserve">Pioneer</t>
  </si>
  <si>
    <t xml:space="preserve">grahamchoo@promiseland.com.sg </t>
  </si>
  <si>
    <t xml:space="preserve">Perissos Advisory </t>
  </si>
  <si>
    <t xml:space="preserve"> admin@perissos-advisory.com </t>
  </si>
  <si>
    <t xml:space="preserve">Singapore Expat Advisory </t>
  </si>
  <si>
    <t xml:space="preserve">advice@singaporeexpatadvisory.com </t>
  </si>
  <si>
    <t xml:space="preserve">Singlife Financial Advisers</t>
  </si>
  <si>
    <t xml:space="preserve">One Group</t>
  </si>
  <si>
    <t xml:space="preserve">MKA</t>
  </si>
  <si>
    <t xml:space="preserve">Wealth United Singapore</t>
  </si>
  <si>
    <t xml:space="preserve">Private Clients Planner</t>
  </si>
  <si>
    <t xml:space="preserve">Darren Tan </t>
  </si>
  <si>
    <t xml:space="preserve">Vanguard</t>
  </si>
  <si>
    <t xml:space="preserve">United Wealth Alliance</t>
  </si>
  <si>
    <t xml:space="preserve">Jerry Lim Group</t>
  </si>
  <si>
    <t xml:space="preserve">Lionheart Wealth Group</t>
  </si>
  <si>
    <t xml:space="preserve">Income Advisory Financial Advisers</t>
  </si>
  <si>
    <t xml:space="preserve">Apricus Alliance</t>
  </si>
  <si>
    <t xml:space="preserve">Ascendia Advisory</t>
  </si>
  <si>
    <t xml:space="preserve">Aurelis Wealth</t>
  </si>
  <si>
    <t xml:space="preserve">Elios Wealth Management</t>
  </si>
  <si>
    <t xml:space="preserve">Financial Dynamics</t>
  </si>
  <si>
    <t xml:space="preserve">FinHealth</t>
  </si>
  <si>
    <t xml:space="preserve">Harmony Group</t>
  </si>
  <si>
    <t xml:space="preserve">I Insurance</t>
  </si>
  <si>
    <t xml:space="preserve">Treasures Advisory Group</t>
  </si>
  <si>
    <t xml:space="preserve">Vertex</t>
  </si>
  <si>
    <t xml:space="preserve">XChange</t>
  </si>
  <si>
    <t xml:space="preserve">deg</t>
  </si>
  <si>
    <t xml:space="preserve">Reply</t>
  </si>
  <si>
    <t xml:space="preserve">Meeting</t>
  </si>
  <si>
    <t xml:space="preserve">No (Branch Head)</t>
  </si>
  <si>
    <t xml:space="preserve">AUM </t>
  </si>
  <si>
    <t xml:space="preserve">Total AUM</t>
  </si>
  <si>
    <t xml:space="preserve">Retail Clients</t>
  </si>
  <si>
    <t xml:space="preserve">AI Clients</t>
  </si>
  <si>
    <t xml:space="preserve">Allocation to Alternative</t>
  </si>
  <si>
    <t xml:space="preserve">Fund Managers</t>
  </si>
  <si>
    <t xml:space="preserve">Investment</t>
  </si>
  <si>
    <t xml:space="preserve">AI Segment Addressable Market </t>
  </si>
  <si>
    <t xml:space="preserve">Retail Segment Addressable Market</t>
  </si>
  <si>
    <t xml:space="preserve">Average ILP Allocation </t>
  </si>
  <si>
    <t xml:space="preserve">Addressable ILP Market</t>
  </si>
  <si>
    <t xml:space="preserve">Unrelated</t>
  </si>
  <si>
    <t xml:space="preserve">Product</t>
  </si>
  <si>
    <t xml:space="preserve">TOTAL ILP</t>
  </si>
  <si>
    <t xml:space="preserve">IFA Event</t>
  </si>
  <si>
    <t xml:space="preserve">Macro Lunch x3</t>
  </si>
  <si>
    <t xml:space="preserve">Price (Nett)</t>
  </si>
  <si>
    <t xml:space="preserve">Quantity</t>
  </si>
  <si>
    <t xml:space="preserve">Total</t>
  </si>
  <si>
    <t xml:space="preserve">Thermal Cup 420ML</t>
  </si>
  <si>
    <t xml:space="preserve">Note Book</t>
  </si>
  <si>
    <t xml:space="preserve">Pen</t>
  </si>
  <si>
    <t xml:space="preserve">Folder</t>
  </si>
  <si>
    <t xml:space="preserve">Passport Holder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</si>
</sst>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%"/>
    <numFmt numFmtId="167" formatCode="#,##0.0"/>
    <numFmt numFmtId="168" formatCode="dd\-mmm\-yy"/>
    <numFmt numFmtId="169" formatCode="0.00"/>
    <numFmt numFmtId="170" formatCode="mmm\-yy"/>
    <numFmt numFmtId="171" formatCode="General"/>
    <numFmt numFmtId="172" formatCode="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9.5"/>
      <color rgb="FF808080"/>
      <name val="Arial"/>
      <family val="0"/>
      <charset val="1"/>
    </font>
    <font>
      <b val="true"/>
      <sz val="9"/>
      <color rgb="FF808080"/>
      <name val="Arial"/>
      <family val="0"/>
      <charset val="1"/>
    </font>
    <font>
      <b val="true"/>
      <sz val="8.5"/>
      <color rgb="FF2E5C8A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8.5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3"/>
      <color rgb="FF1F3864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2E5C8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18682F"/>
      <name val="Arial"/>
      <family val="0"/>
      <charset val="1"/>
    </font>
    <font>
      <b val="true"/>
      <sz val="10"/>
      <color rgb="FFA61C1C"/>
      <name val="Arial"/>
      <family val="0"/>
      <charset val="1"/>
    </font>
    <font>
      <b val="true"/>
      <sz val="9"/>
      <color rgb="FFA61C1C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DCE6F1"/>
        <bgColor rgb="FFD8EFDC"/>
      </patternFill>
    </fill>
    <fill>
      <patternFill patternType="solid">
        <fgColor rgb="FFF4F7FB"/>
        <bgColor rgb="FFF7F7F7"/>
      </patternFill>
    </fill>
    <fill>
      <patternFill patternType="solid">
        <fgColor rgb="FF2E5C8A"/>
        <bgColor rgb="FF2E75B6"/>
      </patternFill>
    </fill>
    <fill>
      <patternFill patternType="solid">
        <fgColor rgb="FFFFF2CC"/>
        <bgColor rgb="FFFFF0CC"/>
      </patternFill>
    </fill>
    <fill>
      <patternFill patternType="solid">
        <fgColor rgb="FF1F3864"/>
        <bgColor rgb="FF2E5C8A"/>
      </patternFill>
    </fill>
    <fill>
      <patternFill patternType="solid">
        <fgColor rgb="FF808080"/>
        <bgColor rgb="FF7F7F7F"/>
      </patternFill>
    </fill>
    <fill>
      <patternFill patternType="solid">
        <fgColor rgb="FFEDEDED"/>
        <bgColor rgb="FFF4F7FB"/>
      </patternFill>
    </fill>
    <fill>
      <patternFill patternType="solid">
        <fgColor rgb="FFFFFFFF"/>
        <bgColor rgb="FFF9F9F9"/>
      </patternFill>
    </fill>
    <fill>
      <patternFill patternType="solid">
        <fgColor rgb="FFD8EFDC"/>
        <bgColor rgb="FFDCE6F1"/>
      </patternFill>
    </fill>
    <fill>
      <patternFill patternType="solid">
        <fgColor rgb="FFFBE0E0"/>
        <bgColor rgb="FFEDEDE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">
    <dxf>
      <font>
        <name val="Arial"/>
        <charset val="1"/>
        <family val="0"/>
        <b val="1"/>
        <color rgb="FFA61C1C"/>
        <sz val="10"/>
      </font>
      <fill>
        <patternFill>
          <bgColor rgb="FFFBE0E0"/>
        </patternFill>
      </fill>
    </dxf>
    <dxf>
      <font>
        <name val="Arial"/>
        <charset val="1"/>
        <family val="0"/>
        <b val="1"/>
        <color rgb="FF18682F"/>
        <sz val="10"/>
      </font>
      <fill>
        <patternFill>
          <bgColor rgb="FFD8EFDC"/>
        </patternFill>
      </fill>
    </dxf>
    <dxf>
      <fill>
        <patternFill patternType="solid">
          <fgColor rgb="FF2E5C8A"/>
          <bgColor rgb="FF000000"/>
        </patternFill>
      </fill>
    </dxf>
    <dxf>
      <fill>
        <patternFill patternType="solid">
          <fgColor rgb="FFF4F7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8EFDC"/>
          <bgColor rgb="FF000000"/>
        </patternFill>
      </fill>
    </dxf>
    <dxf>
      <fill>
        <patternFill patternType="solid">
          <fgColor rgb="FF18682F"/>
          <bgColor rgb="FF000000"/>
        </patternFill>
      </fill>
    </dxf>
    <dxf>
      <fill>
        <patternFill patternType="solid">
          <fgColor rgb="FFFBE0E0"/>
          <bgColor rgb="FF000000"/>
        </patternFill>
      </fill>
    </dxf>
    <dxf>
      <fill>
        <patternFill patternType="solid">
          <fgColor rgb="FFA61C1C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7F7F7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FFF0CC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ont>
        <name val="Arial"/>
        <charset val="1"/>
        <family val="0"/>
        <color rgb="FF18682F"/>
        <sz val="10"/>
      </font>
      <fill>
        <patternFill>
          <bgColor rgb="FFD8EFDC"/>
        </patternFill>
      </fill>
    </dxf>
    <dxf>
      <font>
        <name val="Arial"/>
        <charset val="1"/>
        <family val="0"/>
        <color rgb="FF9C6500"/>
        <sz val="10"/>
      </font>
      <fill>
        <patternFill>
          <bgColor rgb="FFFFF0CC"/>
        </patternFill>
      </fill>
    </dxf>
    <dxf>
      <font>
        <name val="Arial"/>
        <charset val="1"/>
        <family val="0"/>
        <color rgb="FFA61C1C"/>
        <sz val="10"/>
      </font>
      <fill>
        <patternFill>
          <bgColor rgb="FFFBE0E0"/>
        </patternFill>
      </fill>
    </dxf>
    <dxf>
      <font>
        <name val="Arial"/>
        <charset val="1"/>
        <family val="0"/>
        <color rgb="FFA6A6A6"/>
        <sz val="10"/>
      </font>
      <fill>
        <patternFill>
          <bgColor rgb="FFF7F7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8682F"/>
      <rgbColor rgb="FF000080"/>
      <rgbColor rgb="FF9C6500"/>
      <rgbColor rgb="FF800080"/>
      <rgbColor rgb="FF4F81BD"/>
      <rgbColor rgb="FFBFBFBF"/>
      <rgbColor rgb="FF808080"/>
      <rgbColor rgb="FFA6A6A6"/>
      <rgbColor rgb="FFC0504D"/>
      <rgbColor rgb="FFFFF2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7FB"/>
      <rgbColor rgb="FFD8EFDC"/>
      <rgbColor rgb="FFFFF0CC"/>
      <rgbColor rgb="FFEDEDED"/>
      <rgbColor rgb="FFF7F7F7"/>
      <rgbColor rgb="FFF9F9F9"/>
      <rgbColor rgb="FFFBE0E0"/>
      <rgbColor rgb="FF2E75B6"/>
      <rgbColor rgb="FF4BACC6"/>
      <rgbColor rgb="FF9BBB59"/>
      <rgbColor rgb="FFFFCC00"/>
      <rgbColor rgb="FFBF8F00"/>
      <rgbColor rgb="FFFF6600"/>
      <rgbColor rgb="FF8064A2"/>
      <rgbColor rgb="FF878787"/>
      <rgbColor rgb="FF1F3864"/>
      <rgbColor rgb="FF548235"/>
      <rgbColor rgb="FF003300"/>
      <rgbColor rgb="FF333300"/>
      <rgbColor rgb="FFA61C1C"/>
      <rgbColor rgb="FF7F7F7F"/>
      <rgbColor rgb="FF2E5C8A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Contacts by firm (top 10)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Dashboard!C15</c:f>
              <c:strCache>
                <c:ptCount val="1"/>
                <c:pt idx="0">
                  <c:v>Contacts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Dashboard!$B$16:$B$25</c:f>
              <c:strCache>
                <c:ptCount val="10"/>
                <c:pt idx="0">
                  <c:v>PIAS</c:v>
                </c:pt>
                <c:pt idx="1">
                  <c:v>Finexis Advisory</c:v>
                </c:pt>
                <c:pt idx="2">
                  <c:v>Manulife FA</c:v>
                </c:pt>
                <c:pt idx="3">
                  <c:v>Synergy</c:v>
                </c:pt>
                <c:pt idx="4">
                  <c:v>iFast</c:v>
                </c:pt>
                <c:pt idx="5">
                  <c:v>Financial Alliance</c:v>
                </c:pt>
                <c:pt idx="6">
                  <c:v>Phillip Capital</c:v>
                </c:pt>
                <c:pt idx="7">
                  <c:v>Singlife</c:v>
                </c:pt>
                <c:pt idx="8">
                  <c:v>Infinity FA</c:v>
                </c:pt>
                <c:pt idx="9">
                  <c:v>Income Advisory</c:v>
                </c:pt>
              </c:strCache>
            </c:strRef>
          </c:cat>
          <c:val>
            <c:numRef>
              <c:f>Dashboard!$C$16:$C$25</c:f>
              <c:numCache>
                <c:formatCode>#,##0</c:formatCode>
                <c:ptCount val="10"/>
                <c:pt idx="0">
                  <c:v>117</c:v>
                </c:pt>
                <c:pt idx="1">
                  <c:v>50</c:v>
                </c:pt>
                <c:pt idx="2">
                  <c:v>38</c:v>
                </c:pt>
                <c:pt idx="3">
                  <c:v>34</c:v>
                </c:pt>
                <c:pt idx="4">
                  <c:v>27</c:v>
                </c:pt>
                <c:pt idx="5">
                  <c:v>23</c:v>
                </c:pt>
                <c:pt idx="6">
                  <c:v>23</c:v>
                </c:pt>
                <c:pt idx="7">
                  <c:v>15</c:v>
                </c:pt>
                <c:pt idx="8">
                  <c:v>12</c:v>
                </c:pt>
                <c:pt idx="9">
                  <c:v>11</c:v>
                </c:pt>
              </c:numCache>
            </c:numRef>
          </c:val>
        </c:ser>
        <c:gapWidth val="150"/>
        <c:overlap val="0"/>
        <c:axId val="19715748"/>
        <c:axId val="80935664"/>
      </c:barChart>
      <c:catAx>
        <c:axId val="197157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935664"/>
        <c:crosses val="autoZero"/>
        <c:auto val="1"/>
        <c:lblAlgn val="ctr"/>
        <c:lblOffset val="100"/>
        <c:noMultiLvlLbl val="0"/>
      </c:catAx>
      <c:valAx>
        <c:axId val="809356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7157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Event funnel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Dashboard!D42</c:f>
              <c:strCache>
                <c:ptCount val="1"/>
                <c:pt idx="0">
                  <c:v>Invited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Setup!$D$15:$D$17</c:f>
              <c:strCache>
                <c:ptCount val="3"/>
                <c:pt idx="0">
                  <c:v>Oct-25 Symposium</c:v>
                </c:pt>
                <c:pt idx="1">
                  <c:v>May-26 Symposium</c:v>
                </c:pt>
                <c:pt idx="2">
                  <c:v>Macro Lunch</c:v>
                </c:pt>
              </c:strCache>
            </c:strRef>
          </c:cat>
          <c:val>
            <c:numRef>
              <c:f>Dashboard!$D$43:$D$45</c:f>
              <c:numCache>
                <c:formatCode>#,##0</c:formatCode>
                <c:ptCount val="3"/>
                <c:pt idx="0">
                  <c:v>75</c:v>
                </c:pt>
                <c:pt idx="1">
                  <c:v>123</c:v>
                </c:pt>
                <c:pt idx="2">
                  <c:v>3</c:v>
                </c:pt>
              </c:numCache>
            </c:numRef>
          </c:val>
        </c:ser>
        <c:ser>
          <c:idx val="1"/>
          <c:order val="1"/>
          <c:tx>
            <c:strRef>
              <c:f>Dashboard!E42</c:f>
              <c:strCache>
                <c:ptCount val="1"/>
                <c:pt idx="0">
                  <c:v>Attended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Setup!$D$15:$D$17</c:f>
              <c:strCache>
                <c:ptCount val="3"/>
                <c:pt idx="0">
                  <c:v>Oct-25 Symposium</c:v>
                </c:pt>
                <c:pt idx="1">
                  <c:v>May-26 Symposium</c:v>
                </c:pt>
                <c:pt idx="2">
                  <c:v>Macro Lunch</c:v>
                </c:pt>
              </c:strCache>
            </c:strRef>
          </c:cat>
          <c:val>
            <c:numRef>
              <c:f>Dashboard!$E$43:$E$45</c:f>
              <c:numCache>
                <c:formatCode>#,##0</c:formatCode>
                <c:ptCount val="3"/>
                <c:pt idx="0">
                  <c:v>34</c:v>
                </c:pt>
                <c:pt idx="1">
                  <c:v>55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13241948"/>
        <c:axId val="33513328"/>
      </c:barChart>
      <c:catAx>
        <c:axId val="132419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513328"/>
        <c:crosses val="autoZero"/>
        <c:auto val="1"/>
        <c:lblAlgn val="ctr"/>
        <c:lblOffset val="100"/>
        <c:noMultiLvlLbl val="0"/>
      </c:catAx>
      <c:valAx>
        <c:axId val="335133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2419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Engagement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Dashboard!C50</c:f>
              <c:strCache>
                <c:ptCount val="1"/>
                <c:pt idx="0">
                  <c:v>Contacts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Dashboard!$B$51:$B$55</c:f>
              <c:strCache>
                <c:ptCount val="5"/>
                <c:pt idx="0">
                  <c:v>Event attendee</c:v>
                </c:pt>
                <c:pt idx="1">
                  <c:v>Met (no event)</c:v>
                </c:pt>
                <c:pt idx="2">
                  <c:v>Invited only</c:v>
                </c:pt>
                <c:pt idx="3">
                  <c:v>Contacted only</c:v>
                </c:pt>
                <c:pt idx="4">
                  <c:v>Not yet contacted</c:v>
                </c:pt>
              </c:strCache>
            </c:strRef>
          </c:cat>
          <c:val>
            <c:numRef>
              <c:f>Dashboard!$C$51:$C$55</c:f>
              <c:numCache>
                <c:formatCode>#,##0</c:formatCode>
                <c:ptCount val="5"/>
                <c:pt idx="0">
                  <c:v>77</c:v>
                </c:pt>
                <c:pt idx="1">
                  <c:v>28</c:v>
                </c:pt>
                <c:pt idx="2">
                  <c:v>24</c:v>
                </c:pt>
                <c:pt idx="3">
                  <c:v>149</c:v>
                </c:pt>
                <c:pt idx="4">
                  <c:v>91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Contacts met per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'Meeting Stats'!C12</c:f>
              <c:strCache>
                <c:ptCount val="1"/>
                <c:pt idx="0">
                  <c:v>Contacts met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'Meeting Stats'!$B$13:$B$30</c:f>
              <c:strCache>
                <c:ptCount val="18"/>
                <c:pt idx="0">
                  <c:v>Mar-25</c:v>
                </c:pt>
                <c:pt idx="1">
                  <c:v>Apr-25</c:v>
                </c:pt>
                <c:pt idx="2">
                  <c:v>May-25</c:v>
                </c:pt>
                <c:pt idx="3">
                  <c:v>Jun-25</c:v>
                </c:pt>
                <c:pt idx="4">
                  <c:v>Jul-25</c:v>
                </c:pt>
                <c:pt idx="5">
                  <c:v>Aug-25</c:v>
                </c:pt>
                <c:pt idx="6">
                  <c:v>Sep-25</c:v>
                </c:pt>
                <c:pt idx="7">
                  <c:v>Oct-25</c:v>
                </c:pt>
                <c:pt idx="8">
                  <c:v>Nov-25</c:v>
                </c:pt>
                <c:pt idx="9">
                  <c:v>Dec-25</c:v>
                </c:pt>
                <c:pt idx="10">
                  <c:v>Jan-26</c:v>
                </c:pt>
                <c:pt idx="11">
                  <c:v>Feb-26</c:v>
                </c:pt>
                <c:pt idx="12">
                  <c:v>Mar-26</c:v>
                </c:pt>
                <c:pt idx="13">
                  <c:v>Apr-26</c:v>
                </c:pt>
                <c:pt idx="14">
                  <c:v>May-26</c:v>
                </c:pt>
                <c:pt idx="15">
                  <c:v>Jun-26</c:v>
                </c:pt>
                <c:pt idx="16">
                  <c:v>Jul-26</c:v>
                </c:pt>
                <c:pt idx="17">
                  <c:v>Aug-26</c:v>
                </c:pt>
              </c:strCache>
            </c:strRef>
          </c:cat>
          <c:val>
            <c:numRef>
              <c:f>'Meeting Stats'!$C$13:$C$30</c:f>
              <c:numCache>
                <c:formatCode>#,##0</c:formatCode>
                <c:ptCount val="1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  <c:pt idx="5">
                  <c:v>2</c:v>
                </c:pt>
                <c:pt idx="6">
                  <c:v>12</c:v>
                </c:pt>
                <c:pt idx="7">
                  <c:v>7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2</c:v>
                </c:pt>
                <c:pt idx="12">
                  <c:v>4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gapWidth val="150"/>
        <c:overlap val="0"/>
        <c:axId val="32869356"/>
        <c:axId val="79160529"/>
      </c:barChart>
      <c:catAx>
        <c:axId val="3286935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160529"/>
        <c:crosses val="autoZero"/>
        <c:auto val="1"/>
        <c:lblAlgn val="ctr"/>
        <c:lblOffset val="100"/>
        <c:noMultiLvlLbl val="0"/>
      </c:catAx>
      <c:valAx>
        <c:axId val="791605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8693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Meetings by firm (top 10)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'Meeting Stats'!F33</c:f>
              <c:strCache>
                <c:ptCount val="1"/>
                <c:pt idx="0">
                  <c:v>Meetings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'Meeting Stats'!$B$34:$B$43</c:f>
              <c:strCache>
                <c:ptCount val="10"/>
                <c:pt idx="0">
                  <c:v>Financial Alliance</c:v>
                </c:pt>
                <c:pt idx="1">
                  <c:v>Finexis Advisory</c:v>
                </c:pt>
                <c:pt idx="2">
                  <c:v>PIAS</c:v>
                </c:pt>
                <c:pt idx="3">
                  <c:v>Phillip Capital</c:v>
                </c:pt>
                <c:pt idx="4">
                  <c:v>Synergy</c:v>
                </c:pt>
                <c:pt idx="5">
                  <c:v>Singlife</c:v>
                </c:pt>
                <c:pt idx="6">
                  <c:v>GYC Financial Advisory</c:v>
                </c:pt>
                <c:pt idx="7">
                  <c:v>Infinity FA</c:v>
                </c:pt>
                <c:pt idx="8">
                  <c:v>iFast</c:v>
                </c:pt>
                <c:pt idx="9">
                  <c:v>Great Eastern Life</c:v>
                </c:pt>
              </c:strCache>
            </c:strRef>
          </c:cat>
          <c:val>
            <c:numRef>
              <c:f>'Meeting Stats'!$F$34:$F$43</c:f>
              <c:numCache>
                <c:formatCode>#,##0</c:formatCode>
                <c:ptCount val="10"/>
                <c:pt idx="0">
                  <c:v>9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</c:ser>
        <c:gapWidth val="150"/>
        <c:overlap val="0"/>
        <c:axId val="2269352"/>
        <c:axId val="87675097"/>
      </c:barChart>
      <c:catAx>
        <c:axId val="2269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675097"/>
        <c:crosses val="autoZero"/>
        <c:auto val="1"/>
        <c:lblAlgn val="ctr"/>
        <c:lblOffset val="100"/>
        <c:noMultiLvlLbl val="0"/>
      </c:catAx>
      <c:valAx>
        <c:axId val="876750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693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4</xdr:row>
      <xdr:rowOff>0</xdr:rowOff>
    </xdr:from>
    <xdr:to>
      <xdr:col>20</xdr:col>
      <xdr:colOff>486720</xdr:colOff>
      <xdr:row>18</xdr:row>
      <xdr:rowOff>170640</xdr:rowOff>
    </xdr:to>
    <xdr:graphicFrame>
      <xdr:nvGraphicFramePr>
        <xdr:cNvPr id="0" name="Chart 1"/>
        <xdr:cNvGraphicFramePr/>
      </xdr:nvGraphicFramePr>
      <xdr:xfrm>
        <a:off x="13335120" y="89532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26</xdr:row>
      <xdr:rowOff>0</xdr:rowOff>
    </xdr:from>
    <xdr:to>
      <xdr:col>20</xdr:col>
      <xdr:colOff>486720</xdr:colOff>
      <xdr:row>41</xdr:row>
      <xdr:rowOff>21960</xdr:rowOff>
    </xdr:to>
    <xdr:graphicFrame>
      <xdr:nvGraphicFramePr>
        <xdr:cNvPr id="1" name="Chart 2"/>
        <xdr:cNvGraphicFramePr/>
      </xdr:nvGraphicFramePr>
      <xdr:xfrm>
        <a:off x="13335120" y="584820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43</xdr:row>
      <xdr:rowOff>0</xdr:rowOff>
    </xdr:from>
    <xdr:to>
      <xdr:col>20</xdr:col>
      <xdr:colOff>486720</xdr:colOff>
      <xdr:row>57</xdr:row>
      <xdr:rowOff>21960</xdr:rowOff>
    </xdr:to>
    <xdr:graphicFrame>
      <xdr:nvGraphicFramePr>
        <xdr:cNvPr id="2" name="Chart 3"/>
        <xdr:cNvGraphicFramePr/>
      </xdr:nvGraphicFramePr>
      <xdr:xfrm>
        <a:off x="13335120" y="927720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11</xdr:row>
      <xdr:rowOff>0</xdr:rowOff>
    </xdr:from>
    <xdr:to>
      <xdr:col>16</xdr:col>
      <xdr:colOff>460440</xdr:colOff>
      <xdr:row>27</xdr:row>
      <xdr:rowOff>1440</xdr:rowOff>
    </xdr:to>
    <xdr:graphicFrame>
      <xdr:nvGraphicFramePr>
        <xdr:cNvPr id="3" name="Chart 1"/>
        <xdr:cNvGraphicFramePr/>
      </xdr:nvGraphicFramePr>
      <xdr:xfrm>
        <a:off x="14046120" y="2610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32</xdr:row>
      <xdr:rowOff>0</xdr:rowOff>
    </xdr:from>
    <xdr:to>
      <xdr:col>16</xdr:col>
      <xdr:colOff>460440</xdr:colOff>
      <xdr:row>48</xdr:row>
      <xdr:rowOff>1080</xdr:rowOff>
    </xdr:to>
    <xdr:graphicFrame>
      <xdr:nvGraphicFramePr>
        <xdr:cNvPr id="4" name="Chart 2"/>
        <xdr:cNvGraphicFramePr/>
      </xdr:nvGraphicFramePr>
      <xdr:xfrm>
        <a:off x="14046120" y="68007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B1:M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0"/>
    <col collapsed="false" customWidth="true" hidden="false" outlineLevel="0" max="9" min="7" style="0" width="11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3" min="12" style="0" width="11"/>
    <col collapsed="false" customWidth="true" hidden="false" outlineLevel="0" max="14" min="14" style="0" width="3"/>
  </cols>
  <sheetData>
    <row r="1" customFormat="false" ht="25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B3" s="3" t="str">
        <f aca="true">"Contacts in database: "&amp;TEXT(COUNTA(c_Name),"#,##0")&amp;"    |    Refreshed: "&amp;TEXT(TODAY(),"d mmm yyyy")</f>
        <v>Contacts in database: 369    |    Refreshed: 7 Aug 2026</v>
      </c>
    </row>
    <row r="5" customFormat="false" ht="15" hidden="false" customHeight="true" outlineLevel="0" collapsed="false">
      <c r="B5" s="4" t="s">
        <v>2</v>
      </c>
      <c r="C5" s="4"/>
      <c r="D5" s="4"/>
      <c r="E5" s="4" t="s">
        <v>3</v>
      </c>
      <c r="F5" s="4"/>
      <c r="G5" s="4"/>
      <c r="H5" s="4" t="s">
        <v>4</v>
      </c>
      <c r="I5" s="4"/>
      <c r="J5" s="4"/>
      <c r="K5" s="4" t="s">
        <v>5</v>
      </c>
      <c r="L5" s="4"/>
      <c r="M5" s="4"/>
    </row>
    <row r="6" customFormat="false" ht="30" hidden="false" customHeight="true" outlineLevel="0" collapsed="false">
      <c r="B6" s="5" t="n">
        <f aca="false">COUNTA(c_Name)</f>
        <v>369</v>
      </c>
      <c r="C6" s="5"/>
      <c r="D6" s="5"/>
      <c r="E6" s="5" t="n">
        <f aca="false">SUMPRODUCT((c_Firm&lt;&gt;"")/COUNTIF(c_Firm,c_Firm&amp;""))</f>
        <v>22</v>
      </c>
      <c r="F6" s="5"/>
      <c r="G6" s="5"/>
      <c r="H6" s="5" t="n">
        <f aca="false">COUNTIF(c_Met,"Yes")</f>
        <v>51</v>
      </c>
      <c r="I6" s="5"/>
      <c r="J6" s="5"/>
      <c r="K6" s="6" t="n">
        <f aca="false">IFERROR(COUNTIF(c_Met,"Yes")/COUNTA(c_Name),0)</f>
        <v>0.138211382113821</v>
      </c>
      <c r="L6" s="6"/>
      <c r="M6" s="6"/>
    </row>
    <row r="8" customFormat="false" ht="15" hidden="false" customHeight="true" outlineLevel="0" collapsed="false">
      <c r="B8" s="4" t="s">
        <v>6</v>
      </c>
      <c r="C8" s="4"/>
      <c r="D8" s="4"/>
      <c r="E8" s="4" t="s">
        <v>7</v>
      </c>
      <c r="F8" s="4"/>
      <c r="G8" s="4"/>
      <c r="H8" s="4" t="s">
        <v>8</v>
      </c>
      <c r="I8" s="4"/>
      <c r="J8" s="4"/>
      <c r="K8" s="4" t="s">
        <v>9</v>
      </c>
      <c r="L8" s="4"/>
      <c r="M8" s="4"/>
    </row>
    <row r="9" customFormat="false" ht="30" hidden="false" customHeight="true" outlineLevel="0" collapsed="false">
      <c r="B9" s="5" t="n">
        <f aca="false">SUM(c_Mtgs)</f>
        <v>51</v>
      </c>
      <c r="C9" s="5"/>
      <c r="D9" s="5"/>
      <c r="E9" s="5" t="n">
        <f aca="false">COUNTIF(c_EvtInv,"&gt;0")</f>
        <v>128</v>
      </c>
      <c r="F9" s="5"/>
      <c r="G9" s="5"/>
      <c r="H9" s="5" t="n">
        <f aca="false">COUNTIF(c_EvtAtt,"&gt;0")</f>
        <v>77</v>
      </c>
      <c r="I9" s="5"/>
      <c r="J9" s="5"/>
      <c r="K9" s="6" t="n">
        <f aca="false">IFERROR(COUNTIF(c_EvtAtt,"&gt;0")/COUNTIF(c_EvtInv,"&gt;0"),0)</f>
        <v>0.6015625</v>
      </c>
      <c r="L9" s="6"/>
      <c r="M9" s="6"/>
    </row>
    <row r="11" customFormat="false" ht="15" hidden="false" customHeight="true" outlineLevel="0" collapsed="false">
      <c r="B11" s="4" t="s">
        <v>10</v>
      </c>
      <c r="C11" s="4"/>
      <c r="D11" s="4"/>
      <c r="E11" s="4" t="s">
        <v>11</v>
      </c>
      <c r="F11" s="4"/>
      <c r="G11" s="4"/>
      <c r="H11" s="4" t="s">
        <v>12</v>
      </c>
      <c r="I11" s="4"/>
      <c r="J11" s="4"/>
      <c r="K11" s="4" t="s">
        <v>13</v>
      </c>
      <c r="L11" s="4"/>
      <c r="M11" s="4"/>
    </row>
    <row r="12" customFormat="false" ht="30" hidden="false" customHeight="true" outlineLevel="0" collapsed="false">
      <c r="B12" s="5" t="n">
        <f aca="true">COUNTIFS(c_Date,"&gt;="&amp;TODAY()-90)</f>
        <v>0</v>
      </c>
      <c r="C12" s="5"/>
      <c r="D12" s="5"/>
      <c r="E12" s="5" t="n">
        <f aca="false">COUNTIF(c_Engage,"Not yet contacted")</f>
        <v>91</v>
      </c>
      <c r="F12" s="5"/>
      <c r="G12" s="5"/>
      <c r="H12" s="5" t="n">
        <f aca="false">COUNTIF(c_Invested,"Yes")</f>
        <v>7</v>
      </c>
      <c r="I12" s="5"/>
      <c r="J12" s="5"/>
      <c r="K12" s="5" t="n">
        <f aca="false">SUM(c_AUM)/1000000</f>
        <v>922</v>
      </c>
      <c r="L12" s="5"/>
      <c r="M12" s="5"/>
    </row>
    <row r="14" customFormat="false" ht="15" hidden="false" customHeight="false" outlineLevel="0" collapsed="false">
      <c r="B14" s="7" t="s">
        <v>14</v>
      </c>
      <c r="C14" s="8"/>
      <c r="D14" s="8"/>
      <c r="E14" s="8"/>
      <c r="F14" s="9" t="s">
        <v>15</v>
      </c>
      <c r="G14" s="8"/>
      <c r="H14" s="8"/>
      <c r="I14" s="8"/>
      <c r="J14" s="8"/>
      <c r="K14" s="8"/>
      <c r="L14" s="8"/>
      <c r="M14" s="8"/>
    </row>
    <row r="15" customFormat="false" ht="30" hidden="false" customHeight="true" outlineLevel="0" collapsed="false">
      <c r="B15" s="10" t="s">
        <v>16</v>
      </c>
      <c r="C15" s="10" t="s">
        <v>17</v>
      </c>
      <c r="D15" s="10" t="s">
        <v>18</v>
      </c>
      <c r="E15" s="10" t="s">
        <v>19</v>
      </c>
      <c r="F15" s="10" t="s">
        <v>20</v>
      </c>
      <c r="G15" s="10" t="s">
        <v>21</v>
      </c>
      <c r="H15" s="10" t="s">
        <v>22</v>
      </c>
      <c r="I15" s="10" t="s">
        <v>23</v>
      </c>
      <c r="J15" s="10" t="s">
        <v>24</v>
      </c>
      <c r="K15" s="10" t="s">
        <v>25</v>
      </c>
    </row>
    <row r="16" customFormat="false" ht="15" hidden="false" customHeight="false" outlineLevel="0" collapsed="false">
      <c r="B16" s="11" t="s">
        <v>26</v>
      </c>
      <c r="C16" s="12" t="n">
        <f aca="false">COUNTIF(c_Firm,$B16)</f>
        <v>117</v>
      </c>
      <c r="D16" s="13" t="n">
        <f aca="false">IFERROR($C16/COUNTA(c_Name),0)</f>
        <v>0.317073170731707</v>
      </c>
      <c r="E16" s="12" t="n">
        <f aca="false">COUNTIFS(c_Firm,$B16,c_Met,"Yes")</f>
        <v>7</v>
      </c>
      <c r="F16" s="13" t="n">
        <f aca="false">IFERROR($E16/$C16,0)</f>
        <v>0.0598290598290598</v>
      </c>
      <c r="G16" s="12" t="n">
        <f aca="false">SUMIF(c_Firm,$B16,c_Mtgs)</f>
        <v>7</v>
      </c>
      <c r="H16" s="12" t="n">
        <f aca="false">COUNTIFS(c_Firm,$B16,c_EvtInv,"&gt;0")</f>
        <v>8</v>
      </c>
      <c r="I16" s="12" t="n">
        <f aca="false">COUNTIFS(c_Firm,$B16,c_EvtAtt,"&gt;0")</f>
        <v>5</v>
      </c>
      <c r="J16" s="12" t="n">
        <f aca="false">COUNTIFS(c_Firm,$B16,c_Invested,"Yes")</f>
        <v>1</v>
      </c>
      <c r="K16" s="14" t="n">
        <f aca="false">SUMIF(c_Firm,$B16,c_AUM)/1000000</f>
        <v>125</v>
      </c>
    </row>
    <row r="17" customFormat="false" ht="15" hidden="false" customHeight="false" outlineLevel="0" collapsed="false">
      <c r="B17" s="15" t="s">
        <v>27</v>
      </c>
      <c r="C17" s="16" t="n">
        <f aca="false">COUNTIF(c_Firm,$B17)</f>
        <v>50</v>
      </c>
      <c r="D17" s="17" t="n">
        <f aca="false">IFERROR($C17/COUNTA(c_Name),0)</f>
        <v>0.13550135501355</v>
      </c>
      <c r="E17" s="16" t="n">
        <f aca="false">COUNTIFS(c_Firm,$B17,c_Met,"Yes")</f>
        <v>7</v>
      </c>
      <c r="F17" s="17" t="n">
        <f aca="false">IFERROR($E17/$C17,0)</f>
        <v>0.14</v>
      </c>
      <c r="G17" s="16" t="n">
        <f aca="false">SUMIF(c_Firm,$B17,c_Mtgs)</f>
        <v>7</v>
      </c>
      <c r="H17" s="16" t="n">
        <f aca="false">COUNTIFS(c_Firm,$B17,c_EvtInv,"&gt;0")</f>
        <v>11</v>
      </c>
      <c r="I17" s="16" t="n">
        <f aca="false">COUNTIFS(c_Firm,$B17,c_EvtAtt,"&gt;0")</f>
        <v>9</v>
      </c>
      <c r="J17" s="16" t="n">
        <f aca="false">COUNTIFS(c_Firm,$B17,c_Invested,"Yes")</f>
        <v>2</v>
      </c>
      <c r="K17" s="18" t="n">
        <f aca="false">SUMIF(c_Firm,$B17,c_AUM)/1000000</f>
        <v>247</v>
      </c>
    </row>
    <row r="18" customFormat="false" ht="15" hidden="false" customHeight="false" outlineLevel="0" collapsed="false">
      <c r="B18" s="11" t="s">
        <v>28</v>
      </c>
      <c r="C18" s="12" t="n">
        <f aca="false">COUNTIF(c_Firm,$B18)</f>
        <v>38</v>
      </c>
      <c r="D18" s="13" t="n">
        <f aca="false">IFERROR($C18/COUNTA(c_Name),0)</f>
        <v>0.102981029810298</v>
      </c>
      <c r="E18" s="12" t="n">
        <f aca="false">COUNTIFS(c_Firm,$B18,c_Met,"Yes")</f>
        <v>0</v>
      </c>
      <c r="F18" s="13" t="n">
        <f aca="false">IFERROR($E18/$C18,0)</f>
        <v>0</v>
      </c>
      <c r="G18" s="12" t="n">
        <f aca="false">SUMIF(c_Firm,$B18,c_Mtgs)</f>
        <v>0</v>
      </c>
      <c r="H18" s="12" t="n">
        <f aca="false">COUNTIFS(c_Firm,$B18,c_EvtInv,"&gt;0")</f>
        <v>0</v>
      </c>
      <c r="I18" s="12" t="n">
        <f aca="false">COUNTIFS(c_Firm,$B18,c_EvtAtt,"&gt;0")</f>
        <v>0</v>
      </c>
      <c r="J18" s="12" t="n">
        <f aca="false">COUNTIFS(c_Firm,$B18,c_Invested,"Yes")</f>
        <v>0</v>
      </c>
      <c r="K18" s="14" t="n">
        <f aca="false">SUMIF(c_Firm,$B18,c_AUM)/1000000</f>
        <v>0</v>
      </c>
    </row>
    <row r="19" customFormat="false" ht="15" hidden="false" customHeight="false" outlineLevel="0" collapsed="false">
      <c r="B19" s="15" t="s">
        <v>29</v>
      </c>
      <c r="C19" s="16" t="n">
        <f aca="false">COUNTIF(c_Firm,$B19)</f>
        <v>34</v>
      </c>
      <c r="D19" s="17" t="n">
        <f aca="false">IFERROR($C19/COUNTA(c_Name),0)</f>
        <v>0.0921409214092141</v>
      </c>
      <c r="E19" s="16" t="n">
        <f aca="false">COUNTIFS(c_Firm,$B19,c_Met,"Yes")</f>
        <v>7</v>
      </c>
      <c r="F19" s="17" t="n">
        <f aca="false">IFERROR($E19/$C19,0)</f>
        <v>0.205882352941176</v>
      </c>
      <c r="G19" s="16" t="n">
        <f aca="false">SUMIF(c_Firm,$B19,c_Mtgs)</f>
        <v>7</v>
      </c>
      <c r="H19" s="16" t="n">
        <f aca="false">COUNTIFS(c_Firm,$B19,c_EvtInv,"&gt;0")</f>
        <v>30</v>
      </c>
      <c r="I19" s="16" t="n">
        <f aca="false">COUNTIFS(c_Firm,$B19,c_EvtAtt,"&gt;0")</f>
        <v>15</v>
      </c>
      <c r="J19" s="16" t="n">
        <f aca="false">COUNTIFS(c_Firm,$B19,c_Invested,"Yes")</f>
        <v>2</v>
      </c>
      <c r="K19" s="18" t="n">
        <f aca="false">SUMIF(c_Firm,$B19,c_AUM)/1000000</f>
        <v>142</v>
      </c>
    </row>
    <row r="20" customFormat="false" ht="15" hidden="false" customHeight="false" outlineLevel="0" collapsed="false">
      <c r="B20" s="11" t="s">
        <v>30</v>
      </c>
      <c r="C20" s="12" t="n">
        <f aca="false">COUNTIF(c_Firm,$B20)</f>
        <v>27</v>
      </c>
      <c r="D20" s="13" t="n">
        <f aca="false">IFERROR($C20/COUNTA(c_Name),0)</f>
        <v>0.0731707317073171</v>
      </c>
      <c r="E20" s="12" t="n">
        <f aca="false">COUNTIFS(c_Firm,$B20,c_Met,"Yes")</f>
        <v>2</v>
      </c>
      <c r="F20" s="13" t="n">
        <f aca="false">IFERROR($E20/$C20,0)</f>
        <v>0.0740740740740741</v>
      </c>
      <c r="G20" s="12" t="n">
        <f aca="false">SUMIF(c_Firm,$B20,c_Mtgs)</f>
        <v>2</v>
      </c>
      <c r="H20" s="12" t="n">
        <f aca="false">COUNTIFS(c_Firm,$B20,c_EvtInv,"&gt;0")</f>
        <v>8</v>
      </c>
      <c r="I20" s="12" t="n">
        <f aca="false">COUNTIFS(c_Firm,$B20,c_EvtAtt,"&gt;0")</f>
        <v>7</v>
      </c>
      <c r="J20" s="12" t="n">
        <f aca="false">COUNTIFS(c_Firm,$B20,c_Invested,"Yes")</f>
        <v>1</v>
      </c>
      <c r="K20" s="14" t="n">
        <f aca="false">SUMIF(c_Firm,$B20,c_AUM)/1000000</f>
        <v>148</v>
      </c>
    </row>
    <row r="21" customFormat="false" ht="15" hidden="false" customHeight="false" outlineLevel="0" collapsed="false">
      <c r="B21" s="15" t="s">
        <v>31</v>
      </c>
      <c r="C21" s="16" t="n">
        <f aca="false">COUNTIF(c_Firm,$B21)</f>
        <v>23</v>
      </c>
      <c r="D21" s="17" t="n">
        <f aca="false">IFERROR($C21/COUNTA(c_Name),0)</f>
        <v>0.0623306233062331</v>
      </c>
      <c r="E21" s="16" t="n">
        <f aca="false">COUNTIFS(c_Firm,$B21,c_Met,"Yes")</f>
        <v>9</v>
      </c>
      <c r="F21" s="17" t="n">
        <f aca="false">IFERROR($E21/$C21,0)</f>
        <v>0.391304347826087</v>
      </c>
      <c r="G21" s="16" t="n">
        <f aca="false">SUMIF(c_Firm,$B21,c_Mtgs)</f>
        <v>9</v>
      </c>
      <c r="H21" s="16" t="n">
        <f aca="false">COUNTIFS(c_Firm,$B21,c_EvtInv,"&gt;0")</f>
        <v>23</v>
      </c>
      <c r="I21" s="16" t="n">
        <f aca="false">COUNTIFS(c_Firm,$B21,c_EvtAtt,"&gt;0")</f>
        <v>15</v>
      </c>
      <c r="J21" s="16" t="n">
        <f aca="false">COUNTIFS(c_Firm,$B21,c_Invested,"Yes")</f>
        <v>1</v>
      </c>
      <c r="K21" s="18" t="n">
        <f aca="false">SUMIF(c_Firm,$B21,c_AUM)/1000000</f>
        <v>75</v>
      </c>
    </row>
    <row r="22" customFormat="false" ht="15" hidden="false" customHeight="false" outlineLevel="0" collapsed="false">
      <c r="B22" s="11" t="s">
        <v>32</v>
      </c>
      <c r="C22" s="12" t="n">
        <f aca="false">COUNTIF(c_Firm,$B22)</f>
        <v>23</v>
      </c>
      <c r="D22" s="13" t="n">
        <f aca="false">IFERROR($C22/COUNTA(c_Name),0)</f>
        <v>0.0623306233062331</v>
      </c>
      <c r="E22" s="12" t="n">
        <f aca="false">COUNTIFS(c_Firm,$B22,c_Met,"Yes")</f>
        <v>7</v>
      </c>
      <c r="F22" s="13" t="n">
        <f aca="false">IFERROR($E22/$C22,0)</f>
        <v>0.304347826086957</v>
      </c>
      <c r="G22" s="12" t="n">
        <f aca="false">SUMIF(c_Firm,$B22,c_Mtgs)</f>
        <v>7</v>
      </c>
      <c r="H22" s="12" t="n">
        <f aca="false">COUNTIFS(c_Firm,$B22,c_EvtInv,"&gt;0")</f>
        <v>18</v>
      </c>
      <c r="I22" s="12" t="n">
        <f aca="false">COUNTIFS(c_Firm,$B22,c_EvtAtt,"&gt;0")</f>
        <v>9</v>
      </c>
      <c r="J22" s="12" t="n">
        <f aca="false">COUNTIFS(c_Firm,$B22,c_Invested,"Yes")</f>
        <v>0</v>
      </c>
      <c r="K22" s="14" t="n">
        <f aca="false">SUMIF(c_Firm,$B22,c_AUM)/1000000</f>
        <v>102</v>
      </c>
    </row>
    <row r="23" customFormat="false" ht="15" hidden="false" customHeight="false" outlineLevel="0" collapsed="false">
      <c r="B23" s="15" t="s">
        <v>33</v>
      </c>
      <c r="C23" s="16" t="n">
        <f aca="false">COUNTIF(c_Firm,$B23)</f>
        <v>15</v>
      </c>
      <c r="D23" s="17" t="n">
        <f aca="false">IFERROR($C23/COUNTA(c_Name),0)</f>
        <v>0.040650406504065</v>
      </c>
      <c r="E23" s="16" t="n">
        <f aca="false">COUNTIFS(c_Firm,$B23,c_Met,"Yes")</f>
        <v>3</v>
      </c>
      <c r="F23" s="17" t="n">
        <f aca="false">IFERROR($E23/$C23,0)</f>
        <v>0.2</v>
      </c>
      <c r="G23" s="16" t="n">
        <f aca="false">SUMIF(c_Firm,$B23,c_Mtgs)</f>
        <v>3</v>
      </c>
      <c r="H23" s="16" t="n">
        <f aca="false">COUNTIFS(c_Firm,$B23,c_EvtInv,"&gt;0")</f>
        <v>5</v>
      </c>
      <c r="I23" s="16" t="n">
        <f aca="false">COUNTIFS(c_Firm,$B23,c_EvtAtt,"&gt;0")</f>
        <v>3</v>
      </c>
      <c r="J23" s="16" t="n">
        <f aca="false">COUNTIFS(c_Firm,$B23,c_Invested,"Yes")</f>
        <v>0</v>
      </c>
      <c r="K23" s="18" t="n">
        <f aca="false">SUMIF(c_Firm,$B23,c_AUM)/1000000</f>
        <v>0</v>
      </c>
    </row>
    <row r="24" customFormat="false" ht="15" hidden="false" customHeight="false" outlineLevel="0" collapsed="false">
      <c r="B24" s="11" t="s">
        <v>34</v>
      </c>
      <c r="C24" s="12" t="n">
        <f aca="false">COUNTIF(c_Firm,$B24)</f>
        <v>12</v>
      </c>
      <c r="D24" s="13" t="n">
        <f aca="false">IFERROR($C24/COUNTA(c_Name),0)</f>
        <v>0.032520325203252</v>
      </c>
      <c r="E24" s="12" t="n">
        <f aca="false">COUNTIFS(c_Firm,$B24,c_Met,"Yes")</f>
        <v>2</v>
      </c>
      <c r="F24" s="13" t="n">
        <f aca="false">IFERROR($E24/$C24,0)</f>
        <v>0.166666666666667</v>
      </c>
      <c r="G24" s="12" t="n">
        <f aca="false">SUMIF(c_Firm,$B24,c_Mtgs)</f>
        <v>2</v>
      </c>
      <c r="H24" s="12" t="n">
        <f aca="false">COUNTIFS(c_Firm,$B24,c_EvtInv,"&gt;0")</f>
        <v>12</v>
      </c>
      <c r="I24" s="12" t="n">
        <f aca="false">COUNTIFS(c_Firm,$B24,c_EvtAtt,"&gt;0")</f>
        <v>9</v>
      </c>
      <c r="J24" s="12" t="n">
        <f aca="false">COUNTIFS(c_Firm,$B24,c_Invested,"Yes")</f>
        <v>0</v>
      </c>
      <c r="K24" s="14" t="n">
        <f aca="false">SUMIF(c_Firm,$B24,c_AUM)/1000000</f>
        <v>67</v>
      </c>
    </row>
    <row r="25" customFormat="false" ht="15" hidden="false" customHeight="false" outlineLevel="0" collapsed="false">
      <c r="B25" s="15" t="s">
        <v>35</v>
      </c>
      <c r="C25" s="16" t="n">
        <f aca="false">COUNTIF(c_Firm,$B25)</f>
        <v>11</v>
      </c>
      <c r="D25" s="17" t="n">
        <f aca="false">IFERROR($C25/COUNTA(c_Name),0)</f>
        <v>0.029810298102981</v>
      </c>
      <c r="E25" s="16" t="n">
        <f aca="false">COUNTIFS(c_Firm,$B25,c_Met,"Yes")</f>
        <v>0</v>
      </c>
      <c r="F25" s="17" t="n">
        <f aca="false">IFERROR($E25/$C25,0)</f>
        <v>0</v>
      </c>
      <c r="G25" s="16" t="n">
        <f aca="false">SUMIF(c_Firm,$B25,c_Mtgs)</f>
        <v>0</v>
      </c>
      <c r="H25" s="16" t="n">
        <f aca="false">COUNTIFS(c_Firm,$B25,c_EvtInv,"&gt;0")</f>
        <v>0</v>
      </c>
      <c r="I25" s="16" t="n">
        <f aca="false">COUNTIFS(c_Firm,$B25,c_EvtAtt,"&gt;0")</f>
        <v>0</v>
      </c>
      <c r="J25" s="16" t="n">
        <f aca="false">COUNTIFS(c_Firm,$B25,c_Invested,"Yes")</f>
        <v>0</v>
      </c>
      <c r="K25" s="18" t="n">
        <f aca="false">SUMIF(c_Firm,$B25,c_AUM)/1000000</f>
        <v>0</v>
      </c>
    </row>
    <row r="26" customFormat="false" ht="15" hidden="false" customHeight="false" outlineLevel="0" collapsed="false">
      <c r="B26" s="11" t="s">
        <v>36</v>
      </c>
      <c r="C26" s="12" t="n">
        <f aca="false">COUNTIF(c_Firm,$B26)</f>
        <v>5</v>
      </c>
      <c r="D26" s="13" t="n">
        <f aca="false">IFERROR($C26/COUNTA(c_Name),0)</f>
        <v>0.013550135501355</v>
      </c>
      <c r="E26" s="12" t="n">
        <f aca="false">COUNTIFS(c_Firm,$B26,c_Met,"Yes")</f>
        <v>1</v>
      </c>
      <c r="F26" s="13" t="n">
        <f aca="false">IFERROR($E26/$C26,0)</f>
        <v>0.2</v>
      </c>
      <c r="G26" s="12" t="n">
        <f aca="false">SUMIF(c_Firm,$B26,c_Mtgs)</f>
        <v>1</v>
      </c>
      <c r="H26" s="12" t="n">
        <f aca="false">COUNTIFS(c_Firm,$B26,c_EvtInv,"&gt;0")</f>
        <v>1</v>
      </c>
      <c r="I26" s="12" t="n">
        <f aca="false">COUNTIFS(c_Firm,$B26,c_EvtAtt,"&gt;0")</f>
        <v>0</v>
      </c>
      <c r="J26" s="12" t="n">
        <f aca="false">COUNTIFS(c_Firm,$B26,c_Invested,"Yes")</f>
        <v>0</v>
      </c>
      <c r="K26" s="14" t="n">
        <f aca="false">SUMIF(c_Firm,$B26,c_AUM)/1000000</f>
        <v>5</v>
      </c>
    </row>
    <row r="27" customFormat="false" ht="15" hidden="false" customHeight="false" outlineLevel="0" collapsed="false">
      <c r="B27" s="15" t="s">
        <v>37</v>
      </c>
      <c r="C27" s="16" t="n">
        <f aca="false">COUNTIF(c_Firm,$B27)</f>
        <v>3</v>
      </c>
      <c r="D27" s="17" t="n">
        <f aca="false">IFERROR($C27/COUNTA(c_Name),0)</f>
        <v>0.00813008130081301</v>
      </c>
      <c r="E27" s="16" t="n">
        <f aca="false">COUNTIFS(c_Firm,$B27,c_Met,"Yes")</f>
        <v>0</v>
      </c>
      <c r="F27" s="17" t="n">
        <f aca="false">IFERROR($E27/$C27,0)</f>
        <v>0</v>
      </c>
      <c r="G27" s="16" t="n">
        <f aca="false">SUMIF(c_Firm,$B27,c_Mtgs)</f>
        <v>0</v>
      </c>
      <c r="H27" s="16" t="n">
        <f aca="false">COUNTIFS(c_Firm,$B27,c_EvtInv,"&gt;0")</f>
        <v>3</v>
      </c>
      <c r="I27" s="16" t="n">
        <f aca="false">COUNTIFS(c_Firm,$B27,c_EvtAtt,"&gt;0")</f>
        <v>2</v>
      </c>
      <c r="J27" s="16" t="n">
        <f aca="false">COUNTIFS(c_Firm,$B27,c_Invested,"Yes")</f>
        <v>0</v>
      </c>
      <c r="K27" s="18" t="n">
        <f aca="false">SUMIF(c_Firm,$B27,c_AUM)/1000000</f>
        <v>0</v>
      </c>
    </row>
    <row r="28" customFormat="false" ht="15" hidden="false" customHeight="false" outlineLevel="0" collapsed="false">
      <c r="B28" s="11" t="s">
        <v>38</v>
      </c>
      <c r="C28" s="12" t="n">
        <f aca="false">COUNTIF(c_Firm,$B28)</f>
        <v>2</v>
      </c>
      <c r="D28" s="13" t="n">
        <f aca="false">IFERROR($C28/COUNTA(c_Name),0)</f>
        <v>0.00542005420054201</v>
      </c>
      <c r="E28" s="12" t="n">
        <f aca="false">COUNTIFS(c_Firm,$B28,c_Met,"Yes")</f>
        <v>2</v>
      </c>
      <c r="F28" s="13" t="n">
        <f aca="false">IFERROR($E28/$C28,0)</f>
        <v>1</v>
      </c>
      <c r="G28" s="12" t="n">
        <f aca="false">SUMIF(c_Firm,$B28,c_Mtgs)</f>
        <v>2</v>
      </c>
      <c r="H28" s="12" t="n">
        <f aca="false">COUNTIFS(c_Firm,$B28,c_EvtInv,"&gt;0")</f>
        <v>2</v>
      </c>
      <c r="I28" s="12" t="n">
        <f aca="false">COUNTIFS(c_Firm,$B28,c_EvtAtt,"&gt;0")</f>
        <v>0</v>
      </c>
      <c r="J28" s="12" t="n">
        <f aca="false">COUNTIFS(c_Firm,$B28,c_Invested,"Yes")</f>
        <v>0</v>
      </c>
      <c r="K28" s="14" t="n">
        <f aca="false">SUMIF(c_Firm,$B28,c_AUM)/1000000</f>
        <v>0</v>
      </c>
    </row>
    <row r="29" customFormat="false" ht="15" hidden="false" customHeight="false" outlineLevel="0" collapsed="false">
      <c r="B29" s="15" t="s">
        <v>39</v>
      </c>
      <c r="C29" s="16" t="n">
        <f aca="false">COUNTIF(c_Firm,$B29)</f>
        <v>1</v>
      </c>
      <c r="D29" s="17" t="n">
        <f aca="false">IFERROR($C29/COUNTA(c_Name),0)</f>
        <v>0.002710027100271</v>
      </c>
      <c r="E29" s="16" t="n">
        <f aca="false">COUNTIFS(c_Firm,$B29,c_Met,"Yes")</f>
        <v>0</v>
      </c>
      <c r="F29" s="17" t="n">
        <f aca="false">IFERROR($E29/$C29,0)</f>
        <v>0</v>
      </c>
      <c r="G29" s="16" t="n">
        <f aca="false">SUMIF(c_Firm,$B29,c_Mtgs)</f>
        <v>0</v>
      </c>
      <c r="H29" s="16" t="n">
        <f aca="false">COUNTIFS(c_Firm,$B29,c_EvtInv,"&gt;0")</f>
        <v>0</v>
      </c>
      <c r="I29" s="16" t="n">
        <f aca="false">COUNTIFS(c_Firm,$B29,c_EvtAtt,"&gt;0")</f>
        <v>0</v>
      </c>
      <c r="J29" s="16" t="n">
        <f aca="false">COUNTIFS(c_Firm,$B29,c_Invested,"Yes")</f>
        <v>0</v>
      </c>
      <c r="K29" s="18" t="n">
        <f aca="false">SUMIF(c_Firm,$B29,c_AUM)/1000000</f>
        <v>0</v>
      </c>
    </row>
    <row r="30" customFormat="false" ht="15" hidden="false" customHeight="false" outlineLevel="0" collapsed="false">
      <c r="B30" s="11" t="s">
        <v>40</v>
      </c>
      <c r="C30" s="12" t="n">
        <f aca="false">COUNTIF(c_Firm,$B30)</f>
        <v>1</v>
      </c>
      <c r="D30" s="13" t="n">
        <f aca="false">IFERROR($C30/COUNTA(c_Name),0)</f>
        <v>0.002710027100271</v>
      </c>
      <c r="E30" s="12" t="n">
        <f aca="false">COUNTIFS(c_Firm,$B30,c_Met,"Yes")</f>
        <v>1</v>
      </c>
      <c r="F30" s="13" t="n">
        <f aca="false">IFERROR($E30/$C30,0)</f>
        <v>1</v>
      </c>
      <c r="G30" s="12" t="n">
        <f aca="false">SUMIF(c_Firm,$B30,c_Mtgs)</f>
        <v>1</v>
      </c>
      <c r="H30" s="12" t="n">
        <f aca="false">COUNTIFS(c_Firm,$B30,c_EvtInv,"&gt;0")</f>
        <v>1</v>
      </c>
      <c r="I30" s="12" t="n">
        <f aca="false">COUNTIFS(c_Firm,$B30,c_EvtAtt,"&gt;0")</f>
        <v>1</v>
      </c>
      <c r="J30" s="12" t="n">
        <f aca="false">COUNTIFS(c_Firm,$B30,c_Invested,"Yes")</f>
        <v>0</v>
      </c>
      <c r="K30" s="14" t="n">
        <f aca="false">SUMIF(c_Firm,$B30,c_AUM)/1000000</f>
        <v>0</v>
      </c>
    </row>
    <row r="31" customFormat="false" ht="15" hidden="false" customHeight="false" outlineLevel="0" collapsed="false">
      <c r="B31" s="15" t="s">
        <v>41</v>
      </c>
      <c r="C31" s="16" t="n">
        <f aca="false">COUNTIF(c_Firm,$B31)</f>
        <v>1</v>
      </c>
      <c r="D31" s="17" t="n">
        <f aca="false">IFERROR($C31/COUNTA(c_Name),0)</f>
        <v>0.002710027100271</v>
      </c>
      <c r="E31" s="16" t="n">
        <f aca="false">COUNTIFS(c_Firm,$B31,c_Met,"Yes")</f>
        <v>0</v>
      </c>
      <c r="F31" s="17" t="n">
        <f aca="false">IFERROR($E31/$C31,0)</f>
        <v>0</v>
      </c>
      <c r="G31" s="16" t="n">
        <f aca="false">SUMIF(c_Firm,$B31,c_Mtgs)</f>
        <v>0</v>
      </c>
      <c r="H31" s="16" t="n">
        <f aca="false">COUNTIFS(c_Firm,$B31,c_EvtInv,"&gt;0")</f>
        <v>1</v>
      </c>
      <c r="I31" s="16" t="n">
        <f aca="false">COUNTIFS(c_Firm,$B31,c_EvtAtt,"&gt;0")</f>
        <v>1</v>
      </c>
      <c r="J31" s="16" t="n">
        <f aca="false">COUNTIFS(c_Firm,$B31,c_Invested,"Yes")</f>
        <v>0</v>
      </c>
      <c r="K31" s="18" t="n">
        <f aca="false">SUMIF(c_Firm,$B31,c_AUM)/1000000</f>
        <v>0</v>
      </c>
    </row>
    <row r="32" customFormat="false" ht="15" hidden="false" customHeight="false" outlineLevel="0" collapsed="false">
      <c r="B32" s="11" t="s">
        <v>42</v>
      </c>
      <c r="C32" s="12" t="n">
        <f aca="false">COUNTIF(c_Firm,$B32)</f>
        <v>1</v>
      </c>
      <c r="D32" s="13" t="n">
        <f aca="false">IFERROR($C32/COUNTA(c_Name),0)</f>
        <v>0.002710027100271</v>
      </c>
      <c r="E32" s="12" t="n">
        <f aca="false">COUNTIFS(c_Firm,$B32,c_Met,"Yes")</f>
        <v>1</v>
      </c>
      <c r="F32" s="13" t="n">
        <f aca="false">IFERROR($E32/$C32,0)</f>
        <v>1</v>
      </c>
      <c r="G32" s="12" t="n">
        <f aca="false">SUMIF(c_Firm,$B32,c_Mtgs)</f>
        <v>1</v>
      </c>
      <c r="H32" s="12" t="n">
        <f aca="false">COUNTIFS(c_Firm,$B32,c_EvtInv,"&gt;0")</f>
        <v>1</v>
      </c>
      <c r="I32" s="12" t="n">
        <f aca="false">COUNTIFS(c_Firm,$B32,c_EvtAtt,"&gt;0")</f>
        <v>0</v>
      </c>
      <c r="J32" s="12" t="n">
        <f aca="false">COUNTIFS(c_Firm,$B32,c_Invested,"Yes")</f>
        <v>0</v>
      </c>
      <c r="K32" s="14" t="n">
        <f aca="false">SUMIF(c_Firm,$B32,c_AUM)/1000000</f>
        <v>5</v>
      </c>
    </row>
    <row r="33" customFormat="false" ht="15" hidden="false" customHeight="false" outlineLevel="0" collapsed="false">
      <c r="B33" s="15" t="s">
        <v>43</v>
      </c>
      <c r="C33" s="16" t="n">
        <f aca="false">COUNTIF(c_Firm,$B33)</f>
        <v>1</v>
      </c>
      <c r="D33" s="17" t="n">
        <f aca="false">IFERROR($C33/COUNTA(c_Name),0)</f>
        <v>0.002710027100271</v>
      </c>
      <c r="E33" s="16" t="n">
        <f aca="false">COUNTIFS(c_Firm,$B33,c_Met,"Yes")</f>
        <v>1</v>
      </c>
      <c r="F33" s="17" t="n">
        <f aca="false">IFERROR($E33/$C33,0)</f>
        <v>1</v>
      </c>
      <c r="G33" s="16" t="n">
        <f aca="false">SUMIF(c_Firm,$B33,c_Mtgs)</f>
        <v>1</v>
      </c>
      <c r="H33" s="16" t="n">
        <f aca="false">COUNTIFS(c_Firm,$B33,c_EvtInv,"&gt;0")</f>
        <v>1</v>
      </c>
      <c r="I33" s="16" t="n">
        <f aca="false">COUNTIFS(c_Firm,$B33,c_EvtAtt,"&gt;0")</f>
        <v>0</v>
      </c>
      <c r="J33" s="16" t="n">
        <f aca="false">COUNTIFS(c_Firm,$B33,c_Invested,"Yes")</f>
        <v>0</v>
      </c>
      <c r="K33" s="18" t="n">
        <f aca="false">SUMIF(c_Firm,$B33,c_AUM)/1000000</f>
        <v>6</v>
      </c>
    </row>
    <row r="34" customFormat="false" ht="15" hidden="false" customHeight="false" outlineLevel="0" collapsed="false">
      <c r="B34" s="11" t="s">
        <v>44</v>
      </c>
      <c r="C34" s="12" t="n">
        <f aca="false">COUNTIF(c_Firm,$B34)</f>
        <v>1</v>
      </c>
      <c r="D34" s="13" t="n">
        <f aca="false">IFERROR($C34/COUNTA(c_Name),0)</f>
        <v>0.002710027100271</v>
      </c>
      <c r="E34" s="12" t="n">
        <f aca="false">COUNTIFS(c_Firm,$B34,c_Met,"Yes")</f>
        <v>0</v>
      </c>
      <c r="F34" s="13" t="n">
        <f aca="false">IFERROR($E34/$C34,0)</f>
        <v>0</v>
      </c>
      <c r="G34" s="12" t="n">
        <f aca="false">SUMIF(c_Firm,$B34,c_Mtgs)</f>
        <v>0</v>
      </c>
      <c r="H34" s="12" t="n">
        <f aca="false">COUNTIFS(c_Firm,$B34,c_EvtInv,"&gt;0")</f>
        <v>0</v>
      </c>
      <c r="I34" s="12" t="n">
        <f aca="false">COUNTIFS(c_Firm,$B34,c_EvtAtt,"&gt;0")</f>
        <v>0</v>
      </c>
      <c r="J34" s="12" t="n">
        <f aca="false">COUNTIFS(c_Firm,$B34,c_Invested,"Yes")</f>
        <v>0</v>
      </c>
      <c r="K34" s="14" t="n">
        <f aca="false">SUMIF(c_Firm,$B34,c_AUM)/1000000</f>
        <v>0</v>
      </c>
    </row>
    <row r="35" customFormat="false" ht="15" hidden="false" customHeight="false" outlineLevel="0" collapsed="false">
      <c r="B35" s="15" t="s">
        <v>45</v>
      </c>
      <c r="C35" s="16" t="n">
        <f aca="false">COUNTIF(c_Firm,$B35)</f>
        <v>1</v>
      </c>
      <c r="D35" s="17" t="n">
        <f aca="false">IFERROR($C35/COUNTA(c_Name),0)</f>
        <v>0.002710027100271</v>
      </c>
      <c r="E35" s="16" t="n">
        <f aca="false">COUNTIFS(c_Firm,$B35,c_Met,"Yes")</f>
        <v>1</v>
      </c>
      <c r="F35" s="17" t="n">
        <f aca="false">IFERROR($E35/$C35,0)</f>
        <v>1</v>
      </c>
      <c r="G35" s="16" t="n">
        <f aca="false">SUMIF(c_Firm,$B35,c_Mtgs)</f>
        <v>1</v>
      </c>
      <c r="H35" s="16" t="n">
        <f aca="false">COUNTIFS(c_Firm,$B35,c_EvtInv,"&gt;0")</f>
        <v>1</v>
      </c>
      <c r="I35" s="16" t="n">
        <f aca="false">COUNTIFS(c_Firm,$B35,c_EvtAtt,"&gt;0")</f>
        <v>0</v>
      </c>
      <c r="J35" s="16" t="n">
        <f aca="false">COUNTIFS(c_Firm,$B35,c_Invested,"Yes")</f>
        <v>0</v>
      </c>
      <c r="K35" s="18" t="n">
        <f aca="false">SUMIF(c_Firm,$B35,c_AUM)/1000000</f>
        <v>0</v>
      </c>
    </row>
    <row r="36" customFormat="false" ht="15" hidden="false" customHeight="false" outlineLevel="0" collapsed="false">
      <c r="B36" s="11" t="s">
        <v>46</v>
      </c>
      <c r="C36" s="12" t="n">
        <f aca="false">COUNTIF(c_Firm,$B36)</f>
        <v>1</v>
      </c>
      <c r="D36" s="13" t="n">
        <f aca="false">IFERROR($C36/COUNTA(c_Name),0)</f>
        <v>0.002710027100271</v>
      </c>
      <c r="E36" s="12" t="n">
        <f aca="false">COUNTIFS(c_Firm,$B36,c_Met,"Yes")</f>
        <v>0</v>
      </c>
      <c r="F36" s="13" t="n">
        <f aca="false">IFERROR($E36/$C36,0)</f>
        <v>0</v>
      </c>
      <c r="G36" s="12" t="n">
        <f aca="false">SUMIF(c_Firm,$B36,c_Mtgs)</f>
        <v>0</v>
      </c>
      <c r="H36" s="12" t="n">
        <f aca="false">COUNTIFS(c_Firm,$B36,c_EvtInv,"&gt;0")</f>
        <v>1</v>
      </c>
      <c r="I36" s="12" t="n">
        <f aca="false">COUNTIFS(c_Firm,$B36,c_EvtAtt,"&gt;0")</f>
        <v>0</v>
      </c>
      <c r="J36" s="12" t="n">
        <f aca="false">COUNTIFS(c_Firm,$B36,c_Invested,"Yes")</f>
        <v>0</v>
      </c>
      <c r="K36" s="14" t="n">
        <f aca="false">SUMIF(c_Firm,$B36,c_AUM)/1000000</f>
        <v>0</v>
      </c>
    </row>
    <row r="37" customFormat="false" ht="15" hidden="false" customHeight="false" outlineLevel="0" collapsed="false">
      <c r="B37" s="15" t="s">
        <v>47</v>
      </c>
      <c r="C37" s="16" t="n">
        <f aca="false">COUNTIF(c_Firm,$B37)</f>
        <v>1</v>
      </c>
      <c r="D37" s="17" t="n">
        <f aca="false">IFERROR($C37/COUNTA(c_Name),0)</f>
        <v>0.002710027100271</v>
      </c>
      <c r="E37" s="16" t="n">
        <f aca="false">COUNTIFS(c_Firm,$B37,c_Met,"Yes")</f>
        <v>0</v>
      </c>
      <c r="F37" s="17" t="n">
        <f aca="false">IFERROR($E37/$C37,0)</f>
        <v>0</v>
      </c>
      <c r="G37" s="16" t="n">
        <f aca="false">SUMIF(c_Firm,$B37,c_Mtgs)</f>
        <v>0</v>
      </c>
      <c r="H37" s="16" t="n">
        <f aca="false">COUNTIFS(c_Firm,$B37,c_EvtInv,"&gt;0")</f>
        <v>1</v>
      </c>
      <c r="I37" s="16" t="n">
        <f aca="false">COUNTIFS(c_Firm,$B37,c_EvtAtt,"&gt;0")</f>
        <v>1</v>
      </c>
      <c r="J37" s="16" t="n">
        <f aca="false">COUNTIFS(c_Firm,$B37,c_Invested,"Yes")</f>
        <v>0</v>
      </c>
      <c r="K37" s="18" t="n">
        <f aca="false">SUMIF(c_Firm,$B37,c_AUM)/1000000</f>
        <v>0</v>
      </c>
    </row>
    <row r="38" customFormat="false" ht="15" hidden="false" customHeight="false" outlineLevel="0" collapsed="false">
      <c r="B38" s="19" t="s">
        <v>48</v>
      </c>
      <c r="C38" s="20" t="n">
        <f aca="false">SUM(C16:C37)</f>
        <v>369</v>
      </c>
      <c r="D38" s="21" t="n">
        <f aca="false">IFERROR($C38/COUNTA(c_Name),0)</f>
        <v>1</v>
      </c>
      <c r="E38" s="20" t="n">
        <f aca="false">SUM(E16:E37)</f>
        <v>51</v>
      </c>
      <c r="F38" s="21" t="n">
        <f aca="false">IFERROR($E38/$C38,0)</f>
        <v>0.138211382113821</v>
      </c>
      <c r="G38" s="20" t="n">
        <f aca="false">SUM(G16:G37)</f>
        <v>51</v>
      </c>
      <c r="H38" s="20" t="n">
        <f aca="false">SUM(H16:H37)</f>
        <v>128</v>
      </c>
      <c r="I38" s="20" t="n">
        <f aca="false">SUM(I16:I37)</f>
        <v>77</v>
      </c>
      <c r="J38" s="20" t="n">
        <f aca="false">SUM(J16:J37)</f>
        <v>7</v>
      </c>
      <c r="K38" s="22" t="n">
        <f aca="false">SUM(K16:K37)</f>
        <v>922</v>
      </c>
    </row>
    <row r="39" customFormat="false" ht="15" hidden="false" customHeight="false" outlineLevel="0" collapsed="false">
      <c r="B39" s="23" t="s">
        <v>49</v>
      </c>
      <c r="C39" s="23"/>
      <c r="D39" s="23"/>
      <c r="E39" s="23"/>
      <c r="F39" s="24" t="n">
        <f aca="false">COUNTA(c_Name)-$C$38</f>
        <v>0</v>
      </c>
    </row>
    <row r="41" customFormat="false" ht="15" hidden="false" customHeight="false" outlineLevel="0" collapsed="false">
      <c r="B41" s="7" t="s">
        <v>50</v>
      </c>
      <c r="C41" s="8"/>
      <c r="D41" s="8"/>
      <c r="E41" s="8"/>
      <c r="F41" s="9" t="s">
        <v>51</v>
      </c>
      <c r="G41" s="8"/>
      <c r="H41" s="8"/>
      <c r="I41" s="8"/>
      <c r="J41" s="8"/>
      <c r="K41" s="8"/>
      <c r="L41" s="8"/>
      <c r="M41" s="8"/>
    </row>
    <row r="42" customFormat="false" ht="30" hidden="false" customHeight="true" outlineLevel="0" collapsed="false">
      <c r="B42" s="10" t="s">
        <v>52</v>
      </c>
      <c r="C42" s="10" t="s">
        <v>53</v>
      </c>
      <c r="D42" s="10" t="s">
        <v>54</v>
      </c>
      <c r="E42" s="10" t="s">
        <v>55</v>
      </c>
      <c r="F42" s="10" t="s">
        <v>56</v>
      </c>
      <c r="G42" s="10" t="s">
        <v>57</v>
      </c>
      <c r="H42" s="10" t="s">
        <v>58</v>
      </c>
      <c r="I42" s="10" t="s">
        <v>59</v>
      </c>
      <c r="J42" s="10" t="s">
        <v>60</v>
      </c>
    </row>
    <row r="43" customFormat="false" ht="15" hidden="false" customHeight="false" outlineLevel="0" collapsed="false">
      <c r="B43" s="11" t="str">
        <f aca="false">IF(Setup!$C$15="","(free slot 1)",Setup!$C$15)</f>
        <v>H2O AM IFA Symposium (October 2025)</v>
      </c>
      <c r="C43" s="25" t="n">
        <f aca="false">IF(Setup!$E$15="","",Setup!$E$15)</f>
        <v>45931</v>
      </c>
      <c r="D43" s="12" t="n">
        <f aca="false">COUNTA(c_E1)-COUNTIF(c_E1,"Not Invited")</f>
        <v>75</v>
      </c>
      <c r="E43" s="12" t="n">
        <f aca="false">COUNTIF(c_E1,"Attended")</f>
        <v>34</v>
      </c>
      <c r="F43" s="12" t="n">
        <f aca="false">COUNTIF(c_E1,"No Show")</f>
        <v>0</v>
      </c>
      <c r="G43" s="12" t="n">
        <f aca="false">COUNTIF(c_E1,"Declined")</f>
        <v>24</v>
      </c>
      <c r="H43" s="12" t="n">
        <f aca="false">COUNTIF(c_E1,"No Reply")</f>
        <v>17</v>
      </c>
      <c r="I43" s="12" t="n">
        <f aca="false">COUNTIF(c_E1,"Invited")+COUNTIF(c_E1,"Accepted")</f>
        <v>0</v>
      </c>
      <c r="J43" s="13" t="n">
        <f aca="false">IFERROR($E43/$D43,"")</f>
        <v>0.453333333333333</v>
      </c>
    </row>
    <row r="44" customFormat="false" ht="15" hidden="false" customHeight="false" outlineLevel="0" collapsed="false">
      <c r="B44" s="15" t="str">
        <f aca="false">IF(Setup!$C$16="","(free slot 2)",Setup!$C$16)</f>
        <v>2nd Edition H2O AM IFA Symposium (May 2026)</v>
      </c>
      <c r="C44" s="26" t="n">
        <f aca="false">IF(Setup!$E$16="","",Setup!$E$16)</f>
        <v>46143</v>
      </c>
      <c r="D44" s="16" t="n">
        <f aca="false">COUNTA(c_E2)-COUNTIF(c_E2,"Not Invited")</f>
        <v>123</v>
      </c>
      <c r="E44" s="16" t="n">
        <f aca="false">COUNTIF(c_E2,"Attended")</f>
        <v>55</v>
      </c>
      <c r="F44" s="16" t="n">
        <f aca="false">COUNTIF(c_E2,"No Show")</f>
        <v>11</v>
      </c>
      <c r="G44" s="16" t="n">
        <f aca="false">COUNTIF(c_E2,"Declined")</f>
        <v>32</v>
      </c>
      <c r="H44" s="16" t="n">
        <f aca="false">COUNTIF(c_E2,"No Reply")</f>
        <v>24</v>
      </c>
      <c r="I44" s="16" t="n">
        <f aca="false">COUNTIF(c_E2,"Invited")+COUNTIF(c_E2,"Accepted")</f>
        <v>1</v>
      </c>
      <c r="J44" s="17" t="n">
        <f aca="false">IFERROR($E44/$D44,"")</f>
        <v>0.447154471544715</v>
      </c>
    </row>
    <row r="45" customFormat="false" ht="15" hidden="false" customHeight="false" outlineLevel="0" collapsed="false">
      <c r="B45" s="11" t="str">
        <f aca="false">IF(Setup!$C$17="","(free slot 3)",Setup!$C$17)</f>
        <v>Macro Lunch series</v>
      </c>
      <c r="C45" s="25" t="n">
        <f aca="false">IF(Setup!$E$17="","",Setup!$E$17)</f>
        <v>46226</v>
      </c>
      <c r="D45" s="12" t="n">
        <f aca="false">COUNTA(c_E3)-COUNTIF(c_E3,"Not Invited")</f>
        <v>3</v>
      </c>
      <c r="E45" s="12" t="n">
        <f aca="false">COUNTIF(c_E3,"Attended")</f>
        <v>0</v>
      </c>
      <c r="F45" s="12" t="n">
        <f aca="false">COUNTIF(c_E3,"No Show")</f>
        <v>0</v>
      </c>
      <c r="G45" s="12" t="n">
        <f aca="false">COUNTIF(c_E3,"Declined")</f>
        <v>0</v>
      </c>
      <c r="H45" s="12" t="n">
        <f aca="false">COUNTIF(c_E3,"No Reply")</f>
        <v>0</v>
      </c>
      <c r="I45" s="12" t="n">
        <f aca="false">COUNTIF(c_E3,"Invited")+COUNTIF(c_E3,"Accepted")</f>
        <v>3</v>
      </c>
      <c r="J45" s="13" t="n">
        <f aca="false">IFERROR($E45/$D45,"")</f>
        <v>0</v>
      </c>
    </row>
    <row r="46" customFormat="false" ht="15" hidden="false" customHeight="false" outlineLevel="0" collapsed="false">
      <c r="B46" s="15" t="str">
        <f aca="false">IF(Setup!$C$18="","(free slot 4)",Setup!$C$18)</f>
        <v>(free slot 4)</v>
      </c>
      <c r="C46" s="26" t="str">
        <f aca="false">IF(Setup!$E$18="","",Setup!$E$18)</f>
        <v/>
      </c>
      <c r="D46" s="16" t="n">
        <f aca="false">COUNTA(c_E4)-COUNTIF(c_E4,"Not Invited")</f>
        <v>0</v>
      </c>
      <c r="E46" s="16" t="n">
        <f aca="false">COUNTIF(c_E4,"Attended")</f>
        <v>0</v>
      </c>
      <c r="F46" s="16" t="n">
        <f aca="false">COUNTIF(c_E4,"No Show")</f>
        <v>0</v>
      </c>
      <c r="G46" s="16" t="n">
        <f aca="false">COUNTIF(c_E4,"Declined")</f>
        <v>0</v>
      </c>
      <c r="H46" s="16" t="n">
        <f aca="false">COUNTIF(c_E4,"No Reply")</f>
        <v>0</v>
      </c>
      <c r="I46" s="16" t="n">
        <f aca="false">COUNTIF(c_E4,"Invited")+COUNTIF(c_E4,"Accepted")</f>
        <v>0</v>
      </c>
      <c r="J46" s="17" t="str">
        <f aca="false">IFERROR($E46/$D46,"")</f>
        <v/>
      </c>
    </row>
    <row r="47" customFormat="false" ht="15" hidden="false" customHeight="false" outlineLevel="0" collapsed="false">
      <c r="B47" s="11" t="str">
        <f aca="false">IF(Setup!$C$19="","(free slot 5)",Setup!$C$19)</f>
        <v>(free slot 5)</v>
      </c>
      <c r="C47" s="25" t="str">
        <f aca="false">IF(Setup!$E$19="","",Setup!$E$19)</f>
        <v/>
      </c>
      <c r="D47" s="12" t="n">
        <f aca="false">COUNTA(c_E5)-COUNTIF(c_E5,"Not Invited")</f>
        <v>0</v>
      </c>
      <c r="E47" s="12" t="n">
        <f aca="false">COUNTIF(c_E5,"Attended")</f>
        <v>0</v>
      </c>
      <c r="F47" s="12" t="n">
        <f aca="false">COUNTIF(c_E5,"No Show")</f>
        <v>0</v>
      </c>
      <c r="G47" s="12" t="n">
        <f aca="false">COUNTIF(c_E5,"Declined")</f>
        <v>0</v>
      </c>
      <c r="H47" s="12" t="n">
        <f aca="false">COUNTIF(c_E5,"No Reply")</f>
        <v>0</v>
      </c>
      <c r="I47" s="12" t="n">
        <f aca="false">COUNTIF(c_E5,"Invited")+COUNTIF(c_E5,"Accepted")</f>
        <v>0</v>
      </c>
      <c r="J47" s="13" t="str">
        <f aca="false">IFERROR($E47/$D47,"")</f>
        <v/>
      </c>
    </row>
    <row r="49" customFormat="false" ht="15" hidden="false" customHeight="false" outlineLevel="0" collapsed="false">
      <c r="B49" s="7" t="s">
        <v>61</v>
      </c>
      <c r="C49" s="8"/>
      <c r="D49" s="8"/>
      <c r="E49" s="8"/>
      <c r="F49" s="7" t="s">
        <v>62</v>
      </c>
      <c r="G49" s="8"/>
      <c r="H49" s="8"/>
      <c r="I49" s="8"/>
      <c r="J49" s="8"/>
      <c r="K49" s="8"/>
      <c r="L49" s="8"/>
      <c r="M49" s="8"/>
    </row>
    <row r="50" customFormat="false" ht="30" hidden="false" customHeight="true" outlineLevel="0" collapsed="false">
      <c r="B50" s="10" t="s">
        <v>63</v>
      </c>
      <c r="C50" s="10" t="s">
        <v>17</v>
      </c>
      <c r="D50" s="10" t="s">
        <v>18</v>
      </c>
      <c r="F50" s="10" t="s">
        <v>64</v>
      </c>
      <c r="G50" s="10" t="s">
        <v>17</v>
      </c>
      <c r="H50" s="10" t="s">
        <v>18</v>
      </c>
    </row>
    <row r="51" customFormat="false" ht="15" hidden="false" customHeight="false" outlineLevel="0" collapsed="false">
      <c r="B51" s="11" t="s">
        <v>65</v>
      </c>
      <c r="C51" s="12" t="n">
        <f aca="false">COUNTIF(c_Engage,$B51)</f>
        <v>77</v>
      </c>
      <c r="D51" s="13" t="n">
        <f aca="false">IFERROR($C51/COUNTA(c_Name),0)</f>
        <v>0.208672086720867</v>
      </c>
      <c r="F51" s="11" t="s">
        <v>66</v>
      </c>
      <c r="G51" s="12" t="n">
        <f aca="false">COUNTIF(c_Source,"*"&amp;$F51&amp;"*")</f>
        <v>129</v>
      </c>
      <c r="H51" s="13" t="n">
        <f aca="false">IFERROR($G51/COUNTA(c_Name),0)</f>
        <v>0.349593495934959</v>
      </c>
    </row>
    <row r="52" customFormat="false" ht="15" hidden="false" customHeight="false" outlineLevel="0" collapsed="false">
      <c r="B52" s="15" t="s">
        <v>67</v>
      </c>
      <c r="C52" s="16" t="n">
        <f aca="false">COUNTIF(c_Engage,$B52)</f>
        <v>28</v>
      </c>
      <c r="D52" s="17" t="n">
        <f aca="false">IFERROR($C52/COUNTA(c_Name),0)</f>
        <v>0.0758807588075881</v>
      </c>
      <c r="F52" s="15" t="s">
        <v>68</v>
      </c>
      <c r="G52" s="16" t="n">
        <f aca="false">COUNTIF(c_Source,"*"&amp;$F52&amp;"*")</f>
        <v>173</v>
      </c>
      <c r="H52" s="17" t="n">
        <f aca="false">IFERROR($G52/COUNTA(c_Name),0)</f>
        <v>0.468834688346883</v>
      </c>
    </row>
    <row r="53" customFormat="false" ht="15" hidden="false" customHeight="false" outlineLevel="0" collapsed="false">
      <c r="B53" s="11" t="s">
        <v>69</v>
      </c>
      <c r="C53" s="12" t="n">
        <f aca="false">COUNTIF(c_Engage,$B53)</f>
        <v>24</v>
      </c>
      <c r="D53" s="13" t="n">
        <f aca="false">IFERROR($C53/COUNTA(c_Name),0)</f>
        <v>0.0650406504065041</v>
      </c>
      <c r="F53" s="11" t="s">
        <v>70</v>
      </c>
      <c r="G53" s="12" t="n">
        <f aca="false">COUNTIF(c_Source,"*"&amp;$F53&amp;"*")</f>
        <v>85</v>
      </c>
      <c r="H53" s="13" t="n">
        <f aca="false">IFERROR($G53/COUNTA(c_Name),0)</f>
        <v>0.230352303523035</v>
      </c>
    </row>
    <row r="54" customFormat="false" ht="15" hidden="false" customHeight="false" outlineLevel="0" collapsed="false">
      <c r="B54" s="15" t="s">
        <v>71</v>
      </c>
      <c r="C54" s="16" t="n">
        <f aca="false">COUNTIF(c_Engage,$B54)</f>
        <v>149</v>
      </c>
      <c r="D54" s="17" t="n">
        <f aca="false">IFERROR($C54/COUNTA(c_Name),0)</f>
        <v>0.403794037940379</v>
      </c>
      <c r="F54" s="15" t="s">
        <v>72</v>
      </c>
      <c r="G54" s="16" t="n">
        <f aca="false">COUNTIF(c_Source,"*"&amp;$F54&amp;"*")</f>
        <v>73</v>
      </c>
      <c r="H54" s="17" t="n">
        <f aca="false">IFERROR($G54/COUNTA(c_Name),0)</f>
        <v>0.197831978319783</v>
      </c>
    </row>
    <row r="55" customFormat="false" ht="15" hidden="false" customHeight="false" outlineLevel="0" collapsed="false">
      <c r="B55" s="11" t="s">
        <v>73</v>
      </c>
      <c r="C55" s="12" t="n">
        <f aca="false">COUNTIF(c_Engage,$B55)</f>
        <v>91</v>
      </c>
      <c r="D55" s="13" t="n">
        <f aca="false">IFERROR($C55/COUNTA(c_Name),0)</f>
        <v>0.246612466124661</v>
      </c>
    </row>
    <row r="56" customFormat="false" ht="15" hidden="false" customHeight="false" outlineLevel="0" collapsed="false">
      <c r="F56" s="27" t="s">
        <v>74</v>
      </c>
    </row>
  </sheetData>
  <mergeCells count="27">
    <mergeCell ref="B1:M1"/>
    <mergeCell ref="B2:M2"/>
    <mergeCell ref="B5:D5"/>
    <mergeCell ref="E5:G5"/>
    <mergeCell ref="H5:J5"/>
    <mergeCell ref="K5:M5"/>
    <mergeCell ref="B6:D6"/>
    <mergeCell ref="E6:G6"/>
    <mergeCell ref="H6:J6"/>
    <mergeCell ref="K6:M6"/>
    <mergeCell ref="B8:D8"/>
    <mergeCell ref="E8:G8"/>
    <mergeCell ref="H8:J8"/>
    <mergeCell ref="K8:M8"/>
    <mergeCell ref="B9:D9"/>
    <mergeCell ref="E9:G9"/>
    <mergeCell ref="H9:J9"/>
    <mergeCell ref="K9:M9"/>
    <mergeCell ref="B11:D11"/>
    <mergeCell ref="E11:G11"/>
    <mergeCell ref="H11:J11"/>
    <mergeCell ref="K11:M11"/>
    <mergeCell ref="B12:D12"/>
    <mergeCell ref="E12:G12"/>
    <mergeCell ref="H12:J12"/>
    <mergeCell ref="K12:M12"/>
    <mergeCell ref="B39:E39"/>
  </mergeCells>
  <conditionalFormatting sqref="F39">
    <cfRule type="cellIs" priority="2" operator="greaterThan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</conditionalFormatting>
  <conditionalFormatting sqref="C16:C37">
    <cfRule type="dataBar" priority="4">
      <dataBar showValue="1" minLength="10" maxLength="90">
        <cfvo type="num" val="0"/>
        <cfvo type="max" val="0"/>
        <color rgb="FF2E5C8A"/>
      </dataBar>
      <extLst>
        <ext xmlns:x14="http://schemas.microsoft.com/office/spreadsheetml/2009/9/main" uri="{B025F937-C7B1-47D3-B67F-A62EFF666E3E}">
          <x14:id>{51693424-27FD-4C21-BFB0-733CA25DCBCD}</x14:id>
        </ext>
      </extLst>
    </cfRule>
  </conditionalFormatting>
  <conditionalFormatting sqref="F16:F37">
    <cfRule type="colorScale" priority="5">
      <colorScale>
        <cfvo type="num" val="0"/>
        <cfvo type="num" val="1"/>
        <color rgb="FFFFFFFF"/>
        <color rgb="FF8ED18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693424-27FD-4C21-BFB0-733CA25DCBCD}">
            <x14:dataBar minLength="10" maxLength="90" axisPosition="none" gradient="true">
              <x14:cfvo type="num">
                <xm:f>0</xm:f>
              </x14:cfvo>
              <x14:cfvo type="max"/>
              <x14:negativeFillColor rgb="FF2E5C8A"/>
              <x14:axisColor rgb="FF000000"/>
            </x14:dataBar>
          </x14:cfRule>
          <xm:sqref>C16:C37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M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tru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30"/>
    <col collapsed="false" customWidth="true" hidden="false" outlineLevel="0" max="9" min="9" style="0" width="16"/>
    <col collapsed="false" customWidth="true" hidden="false" outlineLevel="0" max="10" min="10" style="0" width="3"/>
    <col collapsed="false" customWidth="true" hidden="false" outlineLevel="0" max="11" min="11" style="0" width="12"/>
    <col collapsed="false" customWidth="true" hidden="false" outlineLevel="0" max="13" min="12" style="0" width="11"/>
  </cols>
  <sheetData>
    <row r="1" customFormat="false" ht="25.5" hidden="false" customHeight="true" outlineLevel="0" collapsed="false">
      <c r="B1" s="1" t="s">
        <v>75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B2" s="2" t="s">
        <v>76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5" customFormat="false" ht="15" hidden="false" customHeight="true" outlineLevel="0" collapsed="false">
      <c r="B5" s="4" t="s">
        <v>6</v>
      </c>
      <c r="C5" s="4"/>
      <c r="D5" s="4"/>
      <c r="E5" s="4" t="s">
        <v>4</v>
      </c>
      <c r="F5" s="4"/>
      <c r="G5" s="4"/>
      <c r="H5" s="4" t="s">
        <v>77</v>
      </c>
      <c r="I5" s="4"/>
      <c r="J5" s="4"/>
      <c r="K5" s="4" t="s">
        <v>78</v>
      </c>
      <c r="L5" s="4"/>
      <c r="M5" s="4"/>
    </row>
    <row r="6" customFormat="false" ht="30" hidden="false" customHeight="true" outlineLevel="0" collapsed="false">
      <c r="B6" s="5" t="n">
        <f aca="false">SUM(c_Mtgs)</f>
        <v>51</v>
      </c>
      <c r="C6" s="5"/>
      <c r="D6" s="5"/>
      <c r="E6" s="5" t="n">
        <f aca="false">COUNTIF(c_Met,"Yes")</f>
        <v>51</v>
      </c>
      <c r="F6" s="5"/>
      <c r="G6" s="5"/>
      <c r="H6" s="6" t="n">
        <f aca="false">IFERROR(COUNTIF(c_Met,"Yes")/COUNTA(c_Name),0)</f>
        <v>0.138211382113821</v>
      </c>
      <c r="I6" s="6"/>
      <c r="J6" s="6"/>
      <c r="K6" s="28" t="n">
        <f aca="false">IFERROR(SUM(c_Mtgs)/COUNTIF(c_Met,"Yes"),0)</f>
        <v>1</v>
      </c>
      <c r="L6" s="28"/>
      <c r="M6" s="28"/>
    </row>
    <row r="8" customFormat="false" ht="15" hidden="false" customHeight="true" outlineLevel="0" collapsed="false">
      <c r="B8" s="4" t="s">
        <v>79</v>
      </c>
      <c r="C8" s="4"/>
      <c r="D8" s="4"/>
      <c r="E8" s="4" t="s">
        <v>80</v>
      </c>
      <c r="F8" s="4"/>
      <c r="G8" s="4"/>
      <c r="H8" s="4" t="s">
        <v>81</v>
      </c>
      <c r="I8" s="4"/>
      <c r="J8" s="4"/>
      <c r="K8" s="4" t="s">
        <v>82</v>
      </c>
      <c r="L8" s="4"/>
      <c r="M8" s="4"/>
    </row>
    <row r="9" customFormat="false" ht="30" hidden="false" customHeight="true" outlineLevel="0" collapsed="false">
      <c r="B9" s="29" t="n">
        <f aca="false">IFERROR(MIN(c_Date),"")</f>
        <v>45412</v>
      </c>
      <c r="C9" s="29"/>
      <c r="D9" s="29"/>
      <c r="E9" s="29" t="n">
        <f aca="false">IFERROR(MAX(c_Date),"")</f>
        <v>46134</v>
      </c>
      <c r="F9" s="29"/>
      <c r="G9" s="29"/>
      <c r="H9" s="5" t="n">
        <f aca="true">COUNTIFS(c_Date,"&gt;="&amp;TODAY()-30)</f>
        <v>0</v>
      </c>
      <c r="I9" s="5"/>
      <c r="J9" s="5"/>
      <c r="K9" s="5" t="n">
        <f aca="false">COUNTIF(c_Days,"&gt;120")</f>
        <v>49</v>
      </c>
      <c r="L9" s="5"/>
      <c r="M9" s="5"/>
    </row>
    <row r="11" customFormat="false" ht="15" hidden="false" customHeight="false" outlineLevel="0" collapsed="false">
      <c r="B11" s="7" t="s">
        <v>83</v>
      </c>
      <c r="C11" s="8"/>
      <c r="D11" s="8"/>
      <c r="E11" s="8"/>
      <c r="F11" s="9" t="s">
        <v>84</v>
      </c>
      <c r="G11" s="8"/>
      <c r="H11" s="8"/>
      <c r="I11" s="8"/>
      <c r="J11" s="8"/>
      <c r="K11" s="8"/>
      <c r="L11" s="8"/>
      <c r="M11" s="8"/>
    </row>
    <row r="12" customFormat="false" ht="30" hidden="false" customHeight="true" outlineLevel="0" collapsed="false">
      <c r="B12" s="10" t="s">
        <v>85</v>
      </c>
      <c r="C12" s="10" t="s">
        <v>86</v>
      </c>
      <c r="D12" s="10" t="s">
        <v>87</v>
      </c>
    </row>
    <row r="13" customFormat="false" ht="15" hidden="false" customHeight="false" outlineLevel="0" collapsed="false">
      <c r="B13" s="30" t="n">
        <f aca="true">EOMONTH(TODAY(),-18)+1</f>
        <v>45717</v>
      </c>
      <c r="C13" s="12" t="n">
        <f aca="false">COUNTIFS(c_Date,"&gt;="&amp;$B13,c_Date,"&lt;="&amp;EOMONTH($B13,0))</f>
        <v>1</v>
      </c>
      <c r="D13" s="12" t="n">
        <f aca="false">$C13</f>
        <v>1</v>
      </c>
    </row>
    <row r="14" customFormat="false" ht="15" hidden="false" customHeight="false" outlineLevel="0" collapsed="false">
      <c r="B14" s="31" t="n">
        <f aca="false">EOMONTH($B13,0)+1</f>
        <v>45748</v>
      </c>
      <c r="C14" s="16" t="n">
        <f aca="false">COUNTIFS(c_Date,"&gt;="&amp;$B14,c_Date,"&lt;="&amp;EOMONTH($B14,0))</f>
        <v>0</v>
      </c>
      <c r="D14" s="16" t="n">
        <f aca="false">$D13+$C14</f>
        <v>1</v>
      </c>
    </row>
    <row r="15" customFormat="false" ht="15" hidden="false" customHeight="false" outlineLevel="0" collapsed="false">
      <c r="B15" s="30" t="n">
        <f aca="false">EOMONTH($B14,0)+1</f>
        <v>45778</v>
      </c>
      <c r="C15" s="12" t="n">
        <f aca="false">COUNTIFS(c_Date,"&gt;="&amp;$B15,c_Date,"&lt;="&amp;EOMONTH($B15,0))</f>
        <v>0</v>
      </c>
      <c r="D15" s="12" t="n">
        <f aca="false">$D14+$C15</f>
        <v>1</v>
      </c>
    </row>
    <row r="16" customFormat="false" ht="15" hidden="false" customHeight="false" outlineLevel="0" collapsed="false">
      <c r="B16" s="31" t="n">
        <f aca="false">EOMONTH($B15,0)+1</f>
        <v>45809</v>
      </c>
      <c r="C16" s="16" t="n">
        <f aca="false">COUNTIFS(c_Date,"&gt;="&amp;$B16,c_Date,"&lt;="&amp;EOMONTH($B16,0))</f>
        <v>4</v>
      </c>
      <c r="D16" s="16" t="n">
        <f aca="false">$D15+$C16</f>
        <v>5</v>
      </c>
    </row>
    <row r="17" customFormat="false" ht="15" hidden="false" customHeight="false" outlineLevel="0" collapsed="false">
      <c r="B17" s="30" t="n">
        <f aca="false">EOMONTH($B16,0)+1</f>
        <v>45839</v>
      </c>
      <c r="C17" s="12" t="n">
        <f aca="false">COUNTIFS(c_Date,"&gt;="&amp;$B17,c_Date,"&lt;="&amp;EOMONTH($B17,0))</f>
        <v>0</v>
      </c>
      <c r="D17" s="12" t="n">
        <f aca="false">$D16+$C17</f>
        <v>5</v>
      </c>
    </row>
    <row r="18" customFormat="false" ht="15" hidden="false" customHeight="false" outlineLevel="0" collapsed="false">
      <c r="B18" s="31" t="n">
        <f aca="false">EOMONTH($B17,0)+1</f>
        <v>45870</v>
      </c>
      <c r="C18" s="16" t="n">
        <f aca="false">COUNTIFS(c_Date,"&gt;="&amp;$B18,c_Date,"&lt;="&amp;EOMONTH($B18,0))</f>
        <v>2</v>
      </c>
      <c r="D18" s="16" t="n">
        <f aca="false">$D17+$C18</f>
        <v>7</v>
      </c>
    </row>
    <row r="19" customFormat="false" ht="15" hidden="false" customHeight="false" outlineLevel="0" collapsed="false">
      <c r="B19" s="30" t="n">
        <f aca="false">EOMONTH($B18,0)+1</f>
        <v>45901</v>
      </c>
      <c r="C19" s="12" t="n">
        <f aca="false">COUNTIFS(c_Date,"&gt;="&amp;$B19,c_Date,"&lt;="&amp;EOMONTH($B19,0))</f>
        <v>12</v>
      </c>
      <c r="D19" s="12" t="n">
        <f aca="false">$D18+$C19</f>
        <v>19</v>
      </c>
    </row>
    <row r="20" customFormat="false" ht="15" hidden="false" customHeight="false" outlineLevel="0" collapsed="false">
      <c r="B20" s="31" t="n">
        <f aca="false">EOMONTH($B19,0)+1</f>
        <v>45931</v>
      </c>
      <c r="C20" s="16" t="n">
        <f aca="false">COUNTIFS(c_Date,"&gt;="&amp;$B20,c_Date,"&lt;="&amp;EOMONTH($B20,0))</f>
        <v>7</v>
      </c>
      <c r="D20" s="16" t="n">
        <f aca="false">$D19+$C20</f>
        <v>26</v>
      </c>
    </row>
    <row r="21" customFormat="false" ht="15" hidden="false" customHeight="false" outlineLevel="0" collapsed="false">
      <c r="B21" s="30" t="n">
        <f aca="false">EOMONTH($B20,0)+1</f>
        <v>45962</v>
      </c>
      <c r="C21" s="12" t="n">
        <f aca="false">COUNTIFS(c_Date,"&gt;="&amp;$B21,c_Date,"&lt;="&amp;EOMONTH($B21,0))</f>
        <v>5</v>
      </c>
      <c r="D21" s="12" t="n">
        <f aca="false">$D20+$C21</f>
        <v>31</v>
      </c>
    </row>
    <row r="22" customFormat="false" ht="15" hidden="false" customHeight="false" outlineLevel="0" collapsed="false">
      <c r="B22" s="31" t="n">
        <f aca="false">EOMONTH($B21,0)+1</f>
        <v>45992</v>
      </c>
      <c r="C22" s="16" t="n">
        <f aca="false">COUNTIFS(c_Date,"&gt;="&amp;$B22,c_Date,"&lt;="&amp;EOMONTH($B22,0))</f>
        <v>4</v>
      </c>
      <c r="D22" s="16" t="n">
        <f aca="false">$D21+$C22</f>
        <v>35</v>
      </c>
    </row>
    <row r="23" customFormat="false" ht="15" hidden="false" customHeight="false" outlineLevel="0" collapsed="false">
      <c r="B23" s="30" t="n">
        <f aca="false">EOMONTH($B22,0)+1</f>
        <v>46023</v>
      </c>
      <c r="C23" s="12" t="n">
        <f aca="false">COUNTIFS(c_Date,"&gt;="&amp;$B23,c_Date,"&lt;="&amp;EOMONTH($B23,0))</f>
        <v>4</v>
      </c>
      <c r="D23" s="12" t="n">
        <f aca="false">$D22+$C23</f>
        <v>39</v>
      </c>
    </row>
    <row r="24" customFormat="false" ht="15" hidden="false" customHeight="false" outlineLevel="0" collapsed="false">
      <c r="B24" s="31" t="n">
        <f aca="false">EOMONTH($B23,0)+1</f>
        <v>46054</v>
      </c>
      <c r="C24" s="16" t="n">
        <f aca="false">COUNTIFS(c_Date,"&gt;="&amp;$B24,c_Date,"&lt;="&amp;EOMONTH($B24,0))</f>
        <v>2</v>
      </c>
      <c r="D24" s="16" t="n">
        <f aca="false">$D23+$C24</f>
        <v>41</v>
      </c>
    </row>
    <row r="25" customFormat="false" ht="15" hidden="false" customHeight="false" outlineLevel="0" collapsed="false">
      <c r="B25" s="30" t="n">
        <f aca="false">EOMONTH($B24,0)+1</f>
        <v>46082</v>
      </c>
      <c r="C25" s="12" t="n">
        <f aca="false">COUNTIFS(c_Date,"&gt;="&amp;$B25,c_Date,"&lt;="&amp;EOMONTH($B25,0))</f>
        <v>4</v>
      </c>
      <c r="D25" s="12" t="n">
        <f aca="false">$D24+$C25</f>
        <v>45</v>
      </c>
    </row>
    <row r="26" customFormat="false" ht="15" hidden="false" customHeight="false" outlineLevel="0" collapsed="false">
      <c r="B26" s="31" t="n">
        <f aca="false">EOMONTH($B25,0)+1</f>
        <v>46113</v>
      </c>
      <c r="C26" s="16" t="n">
        <f aca="false">COUNTIFS(c_Date,"&gt;="&amp;$B26,c_Date,"&lt;="&amp;EOMONTH($B26,0))</f>
        <v>2</v>
      </c>
      <c r="D26" s="16" t="n">
        <f aca="false">$D25+$C26</f>
        <v>47</v>
      </c>
    </row>
    <row r="27" customFormat="false" ht="15" hidden="false" customHeight="false" outlineLevel="0" collapsed="false">
      <c r="B27" s="30" t="n">
        <f aca="false">EOMONTH($B26,0)+1</f>
        <v>46143</v>
      </c>
      <c r="C27" s="12" t="n">
        <f aca="false">COUNTIFS(c_Date,"&gt;="&amp;$B27,c_Date,"&lt;="&amp;EOMONTH($B27,0))</f>
        <v>0</v>
      </c>
      <c r="D27" s="12" t="n">
        <f aca="false">$D26+$C27</f>
        <v>47</v>
      </c>
    </row>
    <row r="28" customFormat="false" ht="15" hidden="false" customHeight="false" outlineLevel="0" collapsed="false">
      <c r="B28" s="31" t="n">
        <f aca="false">EOMONTH($B27,0)+1</f>
        <v>46174</v>
      </c>
      <c r="C28" s="16" t="n">
        <f aca="false">COUNTIFS(c_Date,"&gt;="&amp;$B28,c_Date,"&lt;="&amp;EOMONTH($B28,0))</f>
        <v>0</v>
      </c>
      <c r="D28" s="16" t="n">
        <f aca="false">$D27+$C28</f>
        <v>47</v>
      </c>
    </row>
    <row r="29" customFormat="false" ht="15" hidden="false" customHeight="false" outlineLevel="0" collapsed="false">
      <c r="B29" s="30" t="n">
        <f aca="false">EOMONTH($B28,0)+1</f>
        <v>46204</v>
      </c>
      <c r="C29" s="12" t="n">
        <f aca="false">COUNTIFS(c_Date,"&gt;="&amp;$B29,c_Date,"&lt;="&amp;EOMONTH($B29,0))</f>
        <v>0</v>
      </c>
      <c r="D29" s="12" t="n">
        <f aca="false">$D28+$C29</f>
        <v>47</v>
      </c>
    </row>
    <row r="30" customFormat="false" ht="15" hidden="false" customHeight="false" outlineLevel="0" collapsed="false">
      <c r="B30" s="31" t="n">
        <f aca="false">EOMONTH($B29,0)+1</f>
        <v>46235</v>
      </c>
      <c r="C30" s="16" t="n">
        <f aca="false">COUNTIFS(c_Date,"&gt;="&amp;$B30,c_Date,"&lt;="&amp;EOMONTH($B30,0))</f>
        <v>0</v>
      </c>
      <c r="D30" s="16" t="n">
        <f aca="false">$D29+$C30</f>
        <v>47</v>
      </c>
    </row>
    <row r="32" customFormat="false" ht="15" hidden="false" customHeight="false" outlineLevel="0" collapsed="false">
      <c r="B32" s="7" t="s">
        <v>88</v>
      </c>
      <c r="C32" s="8"/>
      <c r="D32" s="8"/>
      <c r="E32" s="8"/>
      <c r="F32" s="9" t="s">
        <v>89</v>
      </c>
      <c r="G32" s="8"/>
      <c r="H32" s="8"/>
      <c r="I32" s="8"/>
      <c r="J32" s="8"/>
      <c r="K32" s="8"/>
      <c r="L32" s="8"/>
      <c r="M32" s="8"/>
    </row>
    <row r="33" customFormat="false" ht="30" hidden="false" customHeight="true" outlineLevel="0" collapsed="false">
      <c r="B33" s="10" t="s">
        <v>16</v>
      </c>
      <c r="C33" s="10" t="s">
        <v>17</v>
      </c>
      <c r="D33" s="10" t="s">
        <v>19</v>
      </c>
      <c r="E33" s="10" t="s">
        <v>90</v>
      </c>
      <c r="F33" s="10" t="s">
        <v>21</v>
      </c>
      <c r="G33" s="10" t="s">
        <v>91</v>
      </c>
      <c r="H33" s="10" t="s">
        <v>92</v>
      </c>
      <c r="I33" s="10" t="s">
        <v>93</v>
      </c>
    </row>
    <row r="34" customFormat="false" ht="15" hidden="false" customHeight="false" outlineLevel="0" collapsed="false">
      <c r="B34" s="11" t="s">
        <v>31</v>
      </c>
      <c r="C34" s="12" t="n">
        <f aca="false">COUNTIF(c_Firm,$B34)</f>
        <v>23</v>
      </c>
      <c r="D34" s="12" t="n">
        <f aca="false">COUNTIFS(c_Firm,$B34,c_Met,"Yes")</f>
        <v>9</v>
      </c>
      <c r="E34" s="13" t="n">
        <f aca="false">IFERROR($D34/$C34,0)</f>
        <v>0.391304347826087</v>
      </c>
      <c r="F34" s="12" t="n">
        <f aca="false">SUMIF(c_Firm,$B34,c_Mtgs)</f>
        <v>9</v>
      </c>
      <c r="G34" s="25" t="n">
        <f aca="false">IF(_xlfn.MAXIFS(c_Date,c_Firm,$B34)=0,"",_xlfn.MAXIFS(c_Date,c_Firm,$B34))</f>
        <v>46043</v>
      </c>
      <c r="H34" s="12" t="n">
        <f aca="true">IF($G34="","",TODAY()-$G34)</f>
        <v>198</v>
      </c>
      <c r="I34" s="12" t="n">
        <f aca="false">COUNTIFS(c_Firm,$B34,c_EvtAtt,"&gt;0")</f>
        <v>15</v>
      </c>
    </row>
    <row r="35" customFormat="false" ht="15" hidden="false" customHeight="false" outlineLevel="0" collapsed="false">
      <c r="B35" s="15" t="s">
        <v>27</v>
      </c>
      <c r="C35" s="16" t="n">
        <f aca="false">COUNTIF(c_Firm,$B35)</f>
        <v>50</v>
      </c>
      <c r="D35" s="16" t="n">
        <f aca="false">COUNTIFS(c_Firm,$B35,c_Met,"Yes")</f>
        <v>7</v>
      </c>
      <c r="E35" s="17" t="n">
        <f aca="false">IFERROR($D35/$C35,0)</f>
        <v>0.14</v>
      </c>
      <c r="F35" s="16" t="n">
        <f aca="false">SUMIF(c_Firm,$B35,c_Mtgs)</f>
        <v>7</v>
      </c>
      <c r="G35" s="26" t="n">
        <f aca="false">IF(_xlfn.MAXIFS(c_Date,c_Firm,$B35)=0,"",_xlfn.MAXIFS(c_Date,c_Firm,$B35))</f>
        <v>46007</v>
      </c>
      <c r="H35" s="16" t="n">
        <f aca="true">IF($G35="","",TODAY()-$G35)</f>
        <v>234</v>
      </c>
      <c r="I35" s="16" t="n">
        <f aca="false">COUNTIFS(c_Firm,$B35,c_EvtAtt,"&gt;0")</f>
        <v>9</v>
      </c>
    </row>
    <row r="36" customFormat="false" ht="15" hidden="false" customHeight="false" outlineLevel="0" collapsed="false">
      <c r="B36" s="11" t="s">
        <v>26</v>
      </c>
      <c r="C36" s="12" t="n">
        <f aca="false">COUNTIF(c_Firm,$B36)</f>
        <v>117</v>
      </c>
      <c r="D36" s="12" t="n">
        <f aca="false">COUNTIFS(c_Firm,$B36,c_Met,"Yes")</f>
        <v>7</v>
      </c>
      <c r="E36" s="13" t="n">
        <f aca="false">IFERROR($D36/$C36,0)</f>
        <v>0.0598290598290598</v>
      </c>
      <c r="F36" s="12" t="n">
        <f aca="false">SUMIF(c_Firm,$B36,c_Mtgs)</f>
        <v>7</v>
      </c>
      <c r="G36" s="25" t="n">
        <f aca="false">IF(_xlfn.MAXIFS(c_Date,c_Firm,$B36)=0,"",_xlfn.MAXIFS(c_Date,c_Firm,$B36))</f>
        <v>46090</v>
      </c>
      <c r="H36" s="12" t="n">
        <f aca="true">IF($G36="","",TODAY()-$G36)</f>
        <v>151</v>
      </c>
      <c r="I36" s="12" t="n">
        <f aca="false">COUNTIFS(c_Firm,$B36,c_EvtAtt,"&gt;0")</f>
        <v>5</v>
      </c>
    </row>
    <row r="37" customFormat="false" ht="15" hidden="false" customHeight="false" outlineLevel="0" collapsed="false">
      <c r="B37" s="15" t="s">
        <v>32</v>
      </c>
      <c r="C37" s="16" t="n">
        <f aca="false">COUNTIF(c_Firm,$B37)</f>
        <v>23</v>
      </c>
      <c r="D37" s="16" t="n">
        <f aca="false">COUNTIFS(c_Firm,$B37,c_Met,"Yes")</f>
        <v>7</v>
      </c>
      <c r="E37" s="17" t="n">
        <f aca="false">IFERROR($D37/$C37,0)</f>
        <v>0.304347826086957</v>
      </c>
      <c r="F37" s="16" t="n">
        <f aca="false">SUMIF(c_Firm,$B37,c_Mtgs)</f>
        <v>7</v>
      </c>
      <c r="G37" s="26" t="n">
        <f aca="false">IF(_xlfn.MAXIFS(c_Date,c_Firm,$B37)=0,"",_xlfn.MAXIFS(c_Date,c_Firm,$B37))</f>
        <v>46045</v>
      </c>
      <c r="H37" s="16" t="n">
        <f aca="true">IF($G37="","",TODAY()-$G37)</f>
        <v>196</v>
      </c>
      <c r="I37" s="16" t="n">
        <f aca="false">COUNTIFS(c_Firm,$B37,c_EvtAtt,"&gt;0")</f>
        <v>9</v>
      </c>
    </row>
    <row r="38" customFormat="false" ht="15" hidden="false" customHeight="false" outlineLevel="0" collapsed="false">
      <c r="B38" s="11" t="s">
        <v>29</v>
      </c>
      <c r="C38" s="12" t="n">
        <f aca="false">COUNTIF(c_Firm,$B38)</f>
        <v>34</v>
      </c>
      <c r="D38" s="12" t="n">
        <f aca="false">COUNTIFS(c_Firm,$B38,c_Met,"Yes")</f>
        <v>7</v>
      </c>
      <c r="E38" s="13" t="n">
        <f aca="false">IFERROR($D38/$C38,0)</f>
        <v>0.205882352941176</v>
      </c>
      <c r="F38" s="12" t="n">
        <f aca="false">SUMIF(c_Firm,$B38,c_Mtgs)</f>
        <v>7</v>
      </c>
      <c r="G38" s="25" t="n">
        <f aca="false">IF(_xlfn.MAXIFS(c_Date,c_Firm,$B38)=0,"",_xlfn.MAXIFS(c_Date,c_Firm,$B38))</f>
        <v>46091</v>
      </c>
      <c r="H38" s="12" t="n">
        <f aca="true">IF($G38="","",TODAY()-$G38)</f>
        <v>150</v>
      </c>
      <c r="I38" s="12" t="n">
        <f aca="false">COUNTIFS(c_Firm,$B38,c_EvtAtt,"&gt;0")</f>
        <v>15</v>
      </c>
    </row>
    <row r="39" customFormat="false" ht="15" hidden="false" customHeight="false" outlineLevel="0" collapsed="false">
      <c r="B39" s="15" t="s">
        <v>33</v>
      </c>
      <c r="C39" s="16" t="n">
        <f aca="false">COUNTIF(c_Firm,$B39)</f>
        <v>15</v>
      </c>
      <c r="D39" s="16" t="n">
        <f aca="false">COUNTIFS(c_Firm,$B39,c_Met,"Yes")</f>
        <v>3</v>
      </c>
      <c r="E39" s="17" t="n">
        <f aca="false">IFERROR($D39/$C39,0)</f>
        <v>0.2</v>
      </c>
      <c r="F39" s="16" t="n">
        <f aca="false">SUMIF(c_Firm,$B39,c_Mtgs)</f>
        <v>3</v>
      </c>
      <c r="G39" s="26" t="n">
        <f aca="false">IF(_xlfn.MAXIFS(c_Date,c_Firm,$B39)=0,"",_xlfn.MAXIFS(c_Date,c_Firm,$B39))</f>
        <v>45897</v>
      </c>
      <c r="H39" s="16" t="n">
        <f aca="true">IF($G39="","",TODAY()-$G39)</f>
        <v>344</v>
      </c>
      <c r="I39" s="16" t="n">
        <f aca="false">COUNTIFS(c_Firm,$B39,c_EvtAtt,"&gt;0")</f>
        <v>3</v>
      </c>
    </row>
    <row r="40" customFormat="false" ht="15" hidden="false" customHeight="false" outlineLevel="0" collapsed="false">
      <c r="B40" s="11" t="s">
        <v>38</v>
      </c>
      <c r="C40" s="12" t="n">
        <f aca="false">COUNTIF(c_Firm,$B40)</f>
        <v>2</v>
      </c>
      <c r="D40" s="12" t="n">
        <f aca="false">COUNTIFS(c_Firm,$B40,c_Met,"Yes")</f>
        <v>2</v>
      </c>
      <c r="E40" s="13" t="n">
        <f aca="false">IFERROR($D40/$C40,0)</f>
        <v>1</v>
      </c>
      <c r="F40" s="12" t="n">
        <f aca="false">SUMIF(c_Firm,$B40,c_Mtgs)</f>
        <v>2</v>
      </c>
      <c r="G40" s="25" t="n">
        <f aca="false">IF(_xlfn.MAXIFS(c_Date,c_Firm,$B40)=0,"",_xlfn.MAXIFS(c_Date,c_Firm,$B40))</f>
        <v>45412</v>
      </c>
      <c r="H40" s="12" t="n">
        <f aca="true">IF($G40="","",TODAY()-$G40)</f>
        <v>829</v>
      </c>
      <c r="I40" s="12" t="n">
        <f aca="false">COUNTIFS(c_Firm,$B40,c_EvtAtt,"&gt;0")</f>
        <v>0</v>
      </c>
    </row>
    <row r="41" customFormat="false" ht="15" hidden="false" customHeight="false" outlineLevel="0" collapsed="false">
      <c r="B41" s="15" t="s">
        <v>34</v>
      </c>
      <c r="C41" s="16" t="n">
        <f aca="false">COUNTIF(c_Firm,$B41)</f>
        <v>12</v>
      </c>
      <c r="D41" s="16" t="n">
        <f aca="false">COUNTIFS(c_Firm,$B41,c_Met,"Yes")</f>
        <v>2</v>
      </c>
      <c r="E41" s="17" t="n">
        <f aca="false">IFERROR($D41/$C41,0)</f>
        <v>0.166666666666667</v>
      </c>
      <c r="F41" s="16" t="n">
        <f aca="false">SUMIF(c_Firm,$B41,c_Mtgs)</f>
        <v>2</v>
      </c>
      <c r="G41" s="26" t="n">
        <f aca="false">IF(_xlfn.MAXIFS(c_Date,c_Firm,$B41)=0,"",_xlfn.MAXIFS(c_Date,c_Firm,$B41))</f>
        <v>46056</v>
      </c>
      <c r="H41" s="16" t="n">
        <f aca="true">IF($G41="","",TODAY()-$G41)</f>
        <v>185</v>
      </c>
      <c r="I41" s="16" t="n">
        <f aca="false">COUNTIFS(c_Firm,$B41,c_EvtAtt,"&gt;0")</f>
        <v>9</v>
      </c>
    </row>
    <row r="42" customFormat="false" ht="15" hidden="false" customHeight="false" outlineLevel="0" collapsed="false">
      <c r="B42" s="11" t="s">
        <v>30</v>
      </c>
      <c r="C42" s="12" t="n">
        <f aca="false">COUNTIF(c_Firm,$B42)</f>
        <v>27</v>
      </c>
      <c r="D42" s="12" t="n">
        <f aca="false">COUNTIFS(c_Firm,$B42,c_Met,"Yes")</f>
        <v>2</v>
      </c>
      <c r="E42" s="13" t="n">
        <f aca="false">IFERROR($D42/$C42,0)</f>
        <v>0.0740740740740741</v>
      </c>
      <c r="F42" s="12" t="n">
        <f aca="false">SUMIF(c_Firm,$B42,c_Mtgs)</f>
        <v>2</v>
      </c>
      <c r="G42" s="25" t="n">
        <f aca="false">IF(_xlfn.MAXIFS(c_Date,c_Firm,$B42)=0,"",_xlfn.MAXIFS(c_Date,c_Firm,$B42))</f>
        <v>46132</v>
      </c>
      <c r="H42" s="12" t="n">
        <f aca="true">IF($G42="","",TODAY()-$G42)</f>
        <v>109</v>
      </c>
      <c r="I42" s="12" t="n">
        <f aca="false">COUNTIFS(c_Firm,$B42,c_EvtAtt,"&gt;0")</f>
        <v>7</v>
      </c>
    </row>
    <row r="43" customFormat="false" ht="15" hidden="false" customHeight="false" outlineLevel="0" collapsed="false">
      <c r="B43" s="15" t="s">
        <v>40</v>
      </c>
      <c r="C43" s="16" t="n">
        <f aca="false">COUNTIF(c_Firm,$B43)</f>
        <v>1</v>
      </c>
      <c r="D43" s="16" t="n">
        <f aca="false">COUNTIFS(c_Firm,$B43,c_Met,"Yes")</f>
        <v>1</v>
      </c>
      <c r="E43" s="17" t="n">
        <f aca="false">IFERROR($D43/$C43,0)</f>
        <v>1</v>
      </c>
      <c r="F43" s="16" t="n">
        <f aca="false">SUMIF(c_Firm,$B43,c_Mtgs)</f>
        <v>1</v>
      </c>
      <c r="G43" s="26" t="n">
        <f aca="false">IF(_xlfn.MAXIFS(c_Date,c_Firm,$B43)=0,"",_xlfn.MAXIFS(c_Date,c_Firm,$B43))</f>
        <v>45989</v>
      </c>
      <c r="H43" s="16" t="n">
        <f aca="true">IF($G43="","",TODAY()-$G43)</f>
        <v>252</v>
      </c>
      <c r="I43" s="16" t="n">
        <f aca="false">COUNTIFS(c_Firm,$B43,c_EvtAtt,"&gt;0")</f>
        <v>1</v>
      </c>
    </row>
    <row r="44" customFormat="false" ht="15" hidden="false" customHeight="false" outlineLevel="0" collapsed="false">
      <c r="B44" s="11" t="s">
        <v>42</v>
      </c>
      <c r="C44" s="12" t="n">
        <f aca="false">COUNTIF(c_Firm,$B44)</f>
        <v>1</v>
      </c>
      <c r="D44" s="12" t="n">
        <f aca="false">COUNTIFS(c_Firm,$B44,c_Met,"Yes")</f>
        <v>1</v>
      </c>
      <c r="E44" s="13" t="n">
        <f aca="false">IFERROR($D44/$C44,0)</f>
        <v>1</v>
      </c>
      <c r="F44" s="12" t="n">
        <f aca="false">SUMIF(c_Firm,$B44,c_Mtgs)</f>
        <v>1</v>
      </c>
      <c r="G44" s="25" t="n">
        <f aca="false">IF(_xlfn.MAXIFS(c_Date,c_Firm,$B44)=0,"",_xlfn.MAXIFS(c_Date,c_Firm,$B44))</f>
        <v>46062</v>
      </c>
      <c r="H44" s="12" t="n">
        <f aca="true">IF($G44="","",TODAY()-$G44)</f>
        <v>179</v>
      </c>
      <c r="I44" s="12" t="n">
        <f aca="false">COUNTIFS(c_Firm,$B44,c_EvtAtt,"&gt;0")</f>
        <v>0</v>
      </c>
    </row>
    <row r="45" customFormat="false" ht="15" hidden="false" customHeight="false" outlineLevel="0" collapsed="false">
      <c r="B45" s="15" t="s">
        <v>43</v>
      </c>
      <c r="C45" s="16" t="n">
        <f aca="false">COUNTIF(c_Firm,$B45)</f>
        <v>1</v>
      </c>
      <c r="D45" s="16" t="n">
        <f aca="false">COUNTIFS(c_Firm,$B45,c_Met,"Yes")</f>
        <v>1</v>
      </c>
      <c r="E45" s="17" t="n">
        <f aca="false">IFERROR($D45/$C45,0)</f>
        <v>1</v>
      </c>
      <c r="F45" s="16" t="n">
        <f aca="false">SUMIF(c_Firm,$B45,c_Mtgs)</f>
        <v>1</v>
      </c>
      <c r="G45" s="26" t="n">
        <f aca="false">IF(_xlfn.MAXIFS(c_Date,c_Firm,$B45)=0,"",_xlfn.MAXIFS(c_Date,c_Firm,$B45))</f>
        <v>46084</v>
      </c>
      <c r="H45" s="16" t="n">
        <f aca="true">IF($G45="","",TODAY()-$G45)</f>
        <v>157</v>
      </c>
      <c r="I45" s="16" t="n">
        <f aca="false">COUNTIFS(c_Firm,$B45,c_EvtAtt,"&gt;0")</f>
        <v>0</v>
      </c>
    </row>
    <row r="46" customFormat="false" ht="15" hidden="false" customHeight="false" outlineLevel="0" collapsed="false">
      <c r="B46" s="11" t="s">
        <v>45</v>
      </c>
      <c r="C46" s="12" t="n">
        <f aca="false">COUNTIF(c_Firm,$B46)</f>
        <v>1</v>
      </c>
      <c r="D46" s="12" t="n">
        <f aca="false">COUNTIFS(c_Firm,$B46,c_Met,"Yes")</f>
        <v>1</v>
      </c>
      <c r="E46" s="13" t="n">
        <f aca="false">IFERROR($D46/$C46,0)</f>
        <v>1</v>
      </c>
      <c r="F46" s="12" t="n">
        <f aca="false">SUMIF(c_Firm,$B46,c_Mtgs)</f>
        <v>1</v>
      </c>
      <c r="G46" s="25" t="n">
        <f aca="false">IF(_xlfn.MAXIFS(c_Date,c_Firm,$B46)=0,"",_xlfn.MAXIFS(c_Date,c_Firm,$B46))</f>
        <v>46134</v>
      </c>
      <c r="H46" s="12" t="n">
        <f aca="true">IF($G46="","",TODAY()-$G46)</f>
        <v>107</v>
      </c>
      <c r="I46" s="12" t="n">
        <f aca="false">COUNTIFS(c_Firm,$B46,c_EvtAtt,"&gt;0")</f>
        <v>0</v>
      </c>
    </row>
    <row r="47" customFormat="false" ht="15" hidden="false" customHeight="false" outlineLevel="0" collapsed="false">
      <c r="B47" s="15" t="s">
        <v>36</v>
      </c>
      <c r="C47" s="16" t="n">
        <f aca="false">COUNTIF(c_Firm,$B47)</f>
        <v>5</v>
      </c>
      <c r="D47" s="16" t="n">
        <f aca="false">COUNTIFS(c_Firm,$B47,c_Met,"Yes")</f>
        <v>1</v>
      </c>
      <c r="E47" s="17" t="n">
        <f aca="false">IFERROR($D47/$C47,0)</f>
        <v>0.2</v>
      </c>
      <c r="F47" s="16" t="n">
        <f aca="false">SUMIF(c_Firm,$B47,c_Mtgs)</f>
        <v>1</v>
      </c>
      <c r="G47" s="26" t="n">
        <f aca="false">IF(_xlfn.MAXIFS(c_Date,c_Firm,$B47)=0,"",_xlfn.MAXIFS(c_Date,c_Firm,$B47))</f>
        <v>45693</v>
      </c>
      <c r="H47" s="16" t="n">
        <f aca="true">IF($G47="","",TODAY()-$G47)</f>
        <v>548</v>
      </c>
      <c r="I47" s="16" t="n">
        <f aca="false">COUNTIFS(c_Firm,$B47,c_EvtAtt,"&gt;0")</f>
        <v>0</v>
      </c>
    </row>
    <row r="48" customFormat="false" ht="15" hidden="false" customHeight="false" outlineLevel="0" collapsed="false">
      <c r="B48" s="11" t="s">
        <v>37</v>
      </c>
      <c r="C48" s="12" t="n">
        <f aca="false">COUNTIF(c_Firm,$B48)</f>
        <v>3</v>
      </c>
      <c r="D48" s="12" t="n">
        <f aca="false">COUNTIFS(c_Firm,$B48,c_Met,"Yes")</f>
        <v>0</v>
      </c>
      <c r="E48" s="13" t="n">
        <f aca="false">IFERROR($D48/$C48,0)</f>
        <v>0</v>
      </c>
      <c r="F48" s="12" t="n">
        <f aca="false">SUMIF(c_Firm,$B48,c_Mtgs)</f>
        <v>0</v>
      </c>
      <c r="G48" s="25" t="str">
        <f aca="false">IF(_xlfn.MAXIFS(c_Date,c_Firm,$B48)=0,"",_xlfn.MAXIFS(c_Date,c_Firm,$B48))</f>
        <v/>
      </c>
      <c r="H48" s="12" t="str">
        <f aca="true">IF($G48="","",TODAY()-$G48)</f>
        <v/>
      </c>
      <c r="I48" s="12" t="n">
        <f aca="false">COUNTIFS(c_Firm,$B48,c_EvtAtt,"&gt;0")</f>
        <v>2</v>
      </c>
    </row>
    <row r="49" customFormat="false" ht="15" hidden="false" customHeight="false" outlineLevel="0" collapsed="false">
      <c r="B49" s="15" t="s">
        <v>39</v>
      </c>
      <c r="C49" s="16" t="n">
        <f aca="false">COUNTIF(c_Firm,$B49)</f>
        <v>1</v>
      </c>
      <c r="D49" s="16" t="n">
        <f aca="false">COUNTIFS(c_Firm,$B49,c_Met,"Yes")</f>
        <v>0</v>
      </c>
      <c r="E49" s="17" t="n">
        <f aca="false">IFERROR($D49/$C49,0)</f>
        <v>0</v>
      </c>
      <c r="F49" s="16" t="n">
        <f aca="false">SUMIF(c_Firm,$B49,c_Mtgs)</f>
        <v>0</v>
      </c>
      <c r="G49" s="26" t="str">
        <f aca="false">IF(_xlfn.MAXIFS(c_Date,c_Firm,$B49)=0,"",_xlfn.MAXIFS(c_Date,c_Firm,$B49))</f>
        <v/>
      </c>
      <c r="H49" s="16" t="str">
        <f aca="true">IF($G49="","",TODAY()-$G49)</f>
        <v/>
      </c>
      <c r="I49" s="16" t="n">
        <f aca="false">COUNTIFS(c_Firm,$B49,c_EvtAtt,"&gt;0")</f>
        <v>0</v>
      </c>
    </row>
    <row r="50" customFormat="false" ht="15" hidden="false" customHeight="false" outlineLevel="0" collapsed="false">
      <c r="B50" s="11" t="s">
        <v>41</v>
      </c>
      <c r="C50" s="12" t="n">
        <f aca="false">COUNTIF(c_Firm,$B50)</f>
        <v>1</v>
      </c>
      <c r="D50" s="12" t="n">
        <f aca="false">COUNTIFS(c_Firm,$B50,c_Met,"Yes")</f>
        <v>0</v>
      </c>
      <c r="E50" s="13" t="n">
        <f aca="false">IFERROR($D50/$C50,0)</f>
        <v>0</v>
      </c>
      <c r="F50" s="12" t="n">
        <f aca="false">SUMIF(c_Firm,$B50,c_Mtgs)</f>
        <v>0</v>
      </c>
      <c r="G50" s="25" t="str">
        <f aca="false">IF(_xlfn.MAXIFS(c_Date,c_Firm,$B50)=0,"",_xlfn.MAXIFS(c_Date,c_Firm,$B50))</f>
        <v/>
      </c>
      <c r="H50" s="12" t="str">
        <f aca="true">IF($G50="","",TODAY()-$G50)</f>
        <v/>
      </c>
      <c r="I50" s="12" t="n">
        <f aca="false">COUNTIFS(c_Firm,$B50,c_EvtAtt,"&gt;0")</f>
        <v>1</v>
      </c>
    </row>
    <row r="51" customFormat="false" ht="15" hidden="false" customHeight="false" outlineLevel="0" collapsed="false">
      <c r="B51" s="15" t="s">
        <v>35</v>
      </c>
      <c r="C51" s="16" t="n">
        <f aca="false">COUNTIF(c_Firm,$B51)</f>
        <v>11</v>
      </c>
      <c r="D51" s="16" t="n">
        <f aca="false">COUNTIFS(c_Firm,$B51,c_Met,"Yes")</f>
        <v>0</v>
      </c>
      <c r="E51" s="17" t="n">
        <f aca="false">IFERROR($D51/$C51,0)</f>
        <v>0</v>
      </c>
      <c r="F51" s="16" t="n">
        <f aca="false">SUMIF(c_Firm,$B51,c_Mtgs)</f>
        <v>0</v>
      </c>
      <c r="G51" s="26" t="str">
        <f aca="false">IF(_xlfn.MAXIFS(c_Date,c_Firm,$B51)=0,"",_xlfn.MAXIFS(c_Date,c_Firm,$B51))</f>
        <v/>
      </c>
      <c r="H51" s="16" t="str">
        <f aca="true">IF($G51="","",TODAY()-$G51)</f>
        <v/>
      </c>
      <c r="I51" s="16" t="n">
        <f aca="false">COUNTIFS(c_Firm,$B51,c_EvtAtt,"&gt;0")</f>
        <v>0</v>
      </c>
    </row>
    <row r="52" customFormat="false" ht="15" hidden="false" customHeight="false" outlineLevel="0" collapsed="false">
      <c r="B52" s="11" t="s">
        <v>28</v>
      </c>
      <c r="C52" s="12" t="n">
        <f aca="false">COUNTIF(c_Firm,$B52)</f>
        <v>38</v>
      </c>
      <c r="D52" s="12" t="n">
        <f aca="false">COUNTIFS(c_Firm,$B52,c_Met,"Yes")</f>
        <v>0</v>
      </c>
      <c r="E52" s="13" t="n">
        <f aca="false">IFERROR($D52/$C52,0)</f>
        <v>0</v>
      </c>
      <c r="F52" s="12" t="n">
        <f aca="false">SUMIF(c_Firm,$B52,c_Mtgs)</f>
        <v>0</v>
      </c>
      <c r="G52" s="25" t="str">
        <f aca="false">IF(_xlfn.MAXIFS(c_Date,c_Firm,$B52)=0,"",_xlfn.MAXIFS(c_Date,c_Firm,$B52))</f>
        <v/>
      </c>
      <c r="H52" s="12" t="str">
        <f aca="true">IF($G52="","",TODAY()-$G52)</f>
        <v/>
      </c>
      <c r="I52" s="12" t="n">
        <f aca="false">COUNTIFS(c_Firm,$B52,c_EvtAtt,"&gt;0")</f>
        <v>0</v>
      </c>
    </row>
    <row r="53" customFormat="false" ht="15" hidden="false" customHeight="false" outlineLevel="0" collapsed="false">
      <c r="B53" s="15" t="s">
        <v>44</v>
      </c>
      <c r="C53" s="16" t="n">
        <f aca="false">COUNTIF(c_Firm,$B53)</f>
        <v>1</v>
      </c>
      <c r="D53" s="16" t="n">
        <f aca="false">COUNTIFS(c_Firm,$B53,c_Met,"Yes")</f>
        <v>0</v>
      </c>
      <c r="E53" s="17" t="n">
        <f aca="false">IFERROR($D53/$C53,0)</f>
        <v>0</v>
      </c>
      <c r="F53" s="16" t="n">
        <f aca="false">SUMIF(c_Firm,$B53,c_Mtgs)</f>
        <v>0</v>
      </c>
      <c r="G53" s="26" t="str">
        <f aca="false">IF(_xlfn.MAXIFS(c_Date,c_Firm,$B53)=0,"",_xlfn.MAXIFS(c_Date,c_Firm,$B53))</f>
        <v/>
      </c>
      <c r="H53" s="16" t="str">
        <f aca="true">IF($G53="","",TODAY()-$G53)</f>
        <v/>
      </c>
      <c r="I53" s="16" t="n">
        <f aca="false">COUNTIFS(c_Firm,$B53,c_EvtAtt,"&gt;0")</f>
        <v>0</v>
      </c>
    </row>
    <row r="54" customFormat="false" ht="15" hidden="false" customHeight="false" outlineLevel="0" collapsed="false">
      <c r="B54" s="11" t="s">
        <v>46</v>
      </c>
      <c r="C54" s="12" t="n">
        <f aca="false">COUNTIF(c_Firm,$B54)</f>
        <v>1</v>
      </c>
      <c r="D54" s="12" t="n">
        <f aca="false">COUNTIFS(c_Firm,$B54,c_Met,"Yes")</f>
        <v>0</v>
      </c>
      <c r="E54" s="13" t="n">
        <f aca="false">IFERROR($D54/$C54,0)</f>
        <v>0</v>
      </c>
      <c r="F54" s="12" t="n">
        <f aca="false">SUMIF(c_Firm,$B54,c_Mtgs)</f>
        <v>0</v>
      </c>
      <c r="G54" s="25" t="str">
        <f aca="false">IF(_xlfn.MAXIFS(c_Date,c_Firm,$B54)=0,"",_xlfn.MAXIFS(c_Date,c_Firm,$B54))</f>
        <v/>
      </c>
      <c r="H54" s="12" t="str">
        <f aca="true">IF($G54="","",TODAY()-$G54)</f>
        <v/>
      </c>
      <c r="I54" s="12" t="n">
        <f aca="false">COUNTIFS(c_Firm,$B54,c_EvtAtt,"&gt;0")</f>
        <v>0</v>
      </c>
    </row>
    <row r="55" customFormat="false" ht="15" hidden="false" customHeight="false" outlineLevel="0" collapsed="false">
      <c r="B55" s="15" t="s">
        <v>47</v>
      </c>
      <c r="C55" s="16" t="n">
        <f aca="false">COUNTIF(c_Firm,$B55)</f>
        <v>1</v>
      </c>
      <c r="D55" s="16" t="n">
        <f aca="false">COUNTIFS(c_Firm,$B55,c_Met,"Yes")</f>
        <v>0</v>
      </c>
      <c r="E55" s="17" t="n">
        <f aca="false">IFERROR($D55/$C55,0)</f>
        <v>0</v>
      </c>
      <c r="F55" s="16" t="n">
        <f aca="false">SUMIF(c_Firm,$B55,c_Mtgs)</f>
        <v>0</v>
      </c>
      <c r="G55" s="26" t="str">
        <f aca="false">IF(_xlfn.MAXIFS(c_Date,c_Firm,$B55)=0,"",_xlfn.MAXIFS(c_Date,c_Firm,$B55))</f>
        <v/>
      </c>
      <c r="H55" s="16" t="str">
        <f aca="true">IF($G55="","",TODAY()-$G55)</f>
        <v/>
      </c>
      <c r="I55" s="16" t="n">
        <f aca="false">COUNTIFS(c_Firm,$B55,c_EvtAtt,"&gt;0")</f>
        <v>1</v>
      </c>
    </row>
    <row r="57" customFormat="false" ht="15" hidden="false" customHeight="false" outlineLevel="0" collapsed="false">
      <c r="B57" s="7" t="s">
        <v>94</v>
      </c>
      <c r="C57" s="8"/>
      <c r="D57" s="8"/>
      <c r="E57" s="8"/>
      <c r="F57" s="9" t="s">
        <v>95</v>
      </c>
      <c r="G57" s="8"/>
      <c r="H57" s="8"/>
      <c r="I57" s="8"/>
      <c r="J57" s="8"/>
      <c r="K57" s="8"/>
      <c r="L57" s="8"/>
      <c r="M57" s="8"/>
    </row>
    <row r="58" customFormat="false" ht="30" hidden="false" customHeight="true" outlineLevel="0" collapsed="false">
      <c r="B58" s="10" t="s">
        <v>96</v>
      </c>
      <c r="C58" s="10" t="s">
        <v>16</v>
      </c>
      <c r="D58" s="10" t="s">
        <v>91</v>
      </c>
      <c r="E58" s="10" t="s">
        <v>92</v>
      </c>
      <c r="F58" s="10" t="s">
        <v>97</v>
      </c>
      <c r="G58" s="10" t="s">
        <v>98</v>
      </c>
      <c r="H58" s="10" t="s">
        <v>99</v>
      </c>
    </row>
    <row r="59" customFormat="false" ht="15" hidden="false" customHeight="false" outlineLevel="0" collapsed="false">
      <c r="A59" s="32" t="n">
        <f aca="false">IFERROR(MATCH(1,c_FUp,0),"")</f>
        <v>79</v>
      </c>
      <c r="B59" s="11" t="str">
        <f aca="false">IF($A59="","",INDEX(c_Name,$A59))</f>
        <v>Bruce Tan</v>
      </c>
      <c r="C59" s="11" t="str">
        <f aca="false">IF($A59="","",INDEX(c_Firm,$A59))</f>
        <v>GYC Financial Advisory</v>
      </c>
      <c r="D59" s="25" t="n">
        <f aca="false">IF($A59="","",INDEX(c_Date,$A59))</f>
        <v>45412</v>
      </c>
      <c r="E59" s="33" t="n">
        <f aca="false">IF($A59="","",INDEX(c_Days,$A59))</f>
        <v>829</v>
      </c>
      <c r="F59" s="11" t="str">
        <f aca="false">IF($A59="","",INDEX(c_EvtNames,$A59)&amp;"")</f>
        <v/>
      </c>
      <c r="G59" s="34" t="str">
        <f aca="false">IF($A59="","",INDEX(c_Invested,$A59))</f>
        <v>TBC</v>
      </c>
      <c r="H59" s="11" t="str">
        <f aca="false">IF($A59="","",INDEX(c_Email,$A59)&amp;"")</f>
        <v>brucetan@gyc.com.sg</v>
      </c>
    </row>
    <row r="60" customFormat="false" ht="15" hidden="false" customHeight="false" outlineLevel="0" collapsed="false">
      <c r="A60" s="32" t="n">
        <f aca="false">IFERROR(MATCH(2,c_FUp,0),"")</f>
        <v>80</v>
      </c>
      <c r="B60" s="15" t="str">
        <f aca="false">IF($A60="","",INDEX(c_Name,$A60))</f>
        <v>Carl Chay</v>
      </c>
      <c r="C60" s="15" t="str">
        <f aca="false">IF($A60="","",INDEX(c_Firm,$A60))</f>
        <v>GYC Financial Advisory</v>
      </c>
      <c r="D60" s="26" t="n">
        <f aca="false">IF($A60="","",INDEX(c_Date,$A60))</f>
        <v>45412</v>
      </c>
      <c r="E60" s="35" t="n">
        <f aca="false">IF($A60="","",INDEX(c_Days,$A60))</f>
        <v>829</v>
      </c>
      <c r="F60" s="15" t="str">
        <f aca="false">IF($A60="","",INDEX(c_EvtNames,$A60)&amp;"")</f>
        <v/>
      </c>
      <c r="G60" s="36" t="str">
        <f aca="false">IF($A60="","",INDEX(c_Invested,$A60))</f>
        <v>TBC</v>
      </c>
      <c r="H60" s="15" t="str">
        <f aca="false">IF($A60="","",INDEX(c_Email,$A60)&amp;"")</f>
        <v>carlchay@gyc.com.sg</v>
      </c>
    </row>
    <row r="61" customFormat="false" ht="15" hidden="false" customHeight="false" outlineLevel="0" collapsed="false">
      <c r="A61" s="32" t="n">
        <f aca="false">IFERROR(MATCH(3,c_FUp,0),"")</f>
        <v>338</v>
      </c>
      <c r="B61" s="11" t="str">
        <f aca="false">IF($A61="","",INDEX(c_Name,$A61))</f>
        <v>Andrew Fong</v>
      </c>
      <c r="C61" s="11" t="str">
        <f aca="false">IF($A61="","",INDEX(c_Firm,$A61))</f>
        <v>Synergy</v>
      </c>
      <c r="D61" s="25" t="n">
        <f aca="false">IF($A61="","",INDEX(c_Date,$A61))</f>
        <v>45552</v>
      </c>
      <c r="E61" s="33" t="n">
        <f aca="false">IF($A61="","",INDEX(c_Days,$A61))</f>
        <v>689</v>
      </c>
      <c r="F61" s="11" t="str">
        <f aca="false">IF($A61="","",INDEX(c_EvtNames,$A61)&amp;"")</f>
        <v>Oct-25 Symposium, May-26 Symposium</v>
      </c>
      <c r="G61" s="34" t="str">
        <f aca="false">IF($A61="","",INDEX(c_Invested,$A61))</f>
        <v>No</v>
      </c>
      <c r="H61" s="11" t="str">
        <f aca="false">IF($A61="","",INDEX(c_Email,$A61)&amp;"")</f>
        <v>andrewfong@synergy.com.sg</v>
      </c>
    </row>
    <row r="62" customFormat="false" ht="15" hidden="false" customHeight="false" outlineLevel="0" collapsed="false">
      <c r="A62" s="32" t="n">
        <f aca="false">IFERROR(MATCH(4,c_FUp,0),"")</f>
        <v>317</v>
      </c>
      <c r="B62" s="15" t="str">
        <f aca="false">IF($A62="","",INDEX(c_Name,$A62))</f>
        <v>Lawrence Koh</v>
      </c>
      <c r="C62" s="15" t="str">
        <f aca="false">IF($A62="","",INDEX(c_Firm,$A62))</f>
        <v>PromiseLand</v>
      </c>
      <c r="D62" s="26" t="n">
        <f aca="false">IF($A62="","",INDEX(c_Date,$A62))</f>
        <v>45693</v>
      </c>
      <c r="E62" s="35" t="n">
        <f aca="false">IF($A62="","",INDEX(c_Days,$A62))</f>
        <v>548</v>
      </c>
      <c r="F62" s="15" t="str">
        <f aca="false">IF($A62="","",INDEX(c_EvtNames,$A62)&amp;"")</f>
        <v/>
      </c>
      <c r="G62" s="36" t="str">
        <f aca="false">IF($A62="","",INDEX(c_Invested,$A62))</f>
        <v>No</v>
      </c>
      <c r="H62" s="15" t="str">
        <f aca="false">IF($A62="","",INDEX(c_Email,$A62)&amp;"")</f>
        <v>lawrence.koh@promiseland.com.sg</v>
      </c>
    </row>
    <row r="63" customFormat="false" ht="15" hidden="false" customHeight="false" outlineLevel="0" collapsed="false">
      <c r="A63" s="32" t="n">
        <f aca="false">IFERROR(MATCH(5,c_FUp,0),"")</f>
        <v>341</v>
      </c>
      <c r="B63" s="11" t="str">
        <f aca="false">IF($A63="","",INDEX(c_Name,$A63))</f>
        <v>Danny Lee</v>
      </c>
      <c r="C63" s="11" t="str">
        <f aca="false">IF($A63="","",INDEX(c_Firm,$A63))</f>
        <v>Synergy</v>
      </c>
      <c r="D63" s="25" t="n">
        <f aca="false">IF($A63="","",INDEX(c_Date,$A63))</f>
        <v>45734</v>
      </c>
      <c r="E63" s="33" t="n">
        <f aca="false">IF($A63="","",INDEX(c_Days,$A63))</f>
        <v>507</v>
      </c>
      <c r="F63" s="11" t="str">
        <f aca="false">IF($A63="","",INDEX(c_EvtNames,$A63)&amp;"")</f>
        <v>Oct-25 Symposium</v>
      </c>
      <c r="G63" s="34" t="str">
        <f aca="false">IF($A63="","",INDEX(c_Invested,$A63))</f>
        <v>Yes</v>
      </c>
      <c r="H63" s="11" t="str">
        <f aca="false">IF($A63="","",INDEX(c_Email,$A63)&amp;"")</f>
        <v>dannylee@synergy.com.sg</v>
      </c>
    </row>
    <row r="64" customFormat="false" ht="15" hidden="false" customHeight="false" outlineLevel="0" collapsed="false">
      <c r="A64" s="32" t="n">
        <f aca="false">IFERROR(MATCH(6,c_FUp,0),"")</f>
        <v>330</v>
      </c>
      <c r="B64" s="15" t="str">
        <f aca="false">IF($A64="","",INDEX(c_Name,$A64))</f>
        <v>Mavis Tan</v>
      </c>
      <c r="C64" s="15" t="str">
        <f aca="false">IF($A64="","",INDEX(c_Firm,$A64))</f>
        <v>Singlife</v>
      </c>
      <c r="D64" s="26" t="n">
        <f aca="false">IF($A64="","",INDEX(c_Date,$A64))</f>
        <v>45812</v>
      </c>
      <c r="E64" s="35" t="n">
        <f aca="false">IF($A64="","",INDEX(c_Days,$A64))</f>
        <v>429</v>
      </c>
      <c r="F64" s="15" t="str">
        <f aca="false">IF($A64="","",INDEX(c_EvtNames,$A64)&amp;"")</f>
        <v/>
      </c>
      <c r="G64" s="36" t="str">
        <f aca="false">IF($A64="","",INDEX(c_Invested,$A64))</f>
        <v>No</v>
      </c>
      <c r="H64" s="15" t="str">
        <f aca="false">IF($A64="","",INDEX(c_Email,$A64)&amp;"")</f>
        <v>mavis.tan@singlife.com</v>
      </c>
    </row>
    <row r="65" customFormat="false" ht="15" hidden="false" customHeight="false" outlineLevel="0" collapsed="false">
      <c r="A65" s="32" t="n">
        <f aca="false">IFERROR(MATCH(7,c_FUp,0),"")</f>
        <v>21</v>
      </c>
      <c r="B65" s="11" t="str">
        <f aca="false">IF($A65="","",INDEX(c_Name,$A65))</f>
        <v>Sani Amid</v>
      </c>
      <c r="C65" s="11" t="str">
        <f aca="false">IF($A65="","",INDEX(c_Firm,$A65))</f>
        <v>Financial Alliance</v>
      </c>
      <c r="D65" s="25" t="n">
        <f aca="false">IF($A65="","",INDEX(c_Date,$A65))</f>
        <v>45819</v>
      </c>
      <c r="E65" s="33" t="n">
        <f aca="false">IF($A65="","",INDEX(c_Days,$A65))</f>
        <v>422</v>
      </c>
      <c r="F65" s="11" t="str">
        <f aca="false">IF($A65="","",INDEX(c_EvtNames,$A65)&amp;"")</f>
        <v>Oct-25 Symposium</v>
      </c>
      <c r="G65" s="34" t="str">
        <f aca="false">IF($A65="","",INDEX(c_Invested,$A65))</f>
        <v>No</v>
      </c>
      <c r="H65" s="11" t="str">
        <f aca="false">IF($A65="","",INDEX(c_Email,$A65)&amp;"")</f>
        <v>sanihamid@fa.sg</v>
      </c>
    </row>
    <row r="66" customFormat="false" ht="15" hidden="false" customHeight="false" outlineLevel="0" collapsed="false">
      <c r="A66" s="32" t="n">
        <f aca="false">IFERROR(MATCH(8,c_FUp,0),"")</f>
        <v>19</v>
      </c>
      <c r="B66" s="15" t="str">
        <f aca="false">IF($A66="","",INDEX(c_Name,$A66))</f>
        <v>Raymund Ng</v>
      </c>
      <c r="C66" s="15" t="str">
        <f aca="false">IF($A66="","",INDEX(c_Firm,$A66))</f>
        <v>Financial Alliance</v>
      </c>
      <c r="D66" s="26" t="n">
        <f aca="false">IF($A66="","",INDEX(c_Date,$A66))</f>
        <v>45829</v>
      </c>
      <c r="E66" s="35" t="n">
        <f aca="false">IF($A66="","",INDEX(c_Days,$A66))</f>
        <v>412</v>
      </c>
      <c r="F66" s="15" t="str">
        <f aca="false">IF($A66="","",INDEX(c_EvtNames,$A66)&amp;"")</f>
        <v/>
      </c>
      <c r="G66" s="36" t="str">
        <f aca="false">IF($A66="","",INDEX(c_Invested,$A66))</f>
        <v>Yes</v>
      </c>
      <c r="H66" s="15" t="str">
        <f aca="false">IF($A66="","",INDEX(c_Email,$A66)&amp;"")</f>
        <v>raymundng@fapl.sg</v>
      </c>
    </row>
    <row r="67" customFormat="false" ht="15" hidden="false" customHeight="false" outlineLevel="0" collapsed="false">
      <c r="A67" s="32" t="n">
        <f aca="false">IFERROR(MATCH(9,c_FUp,0),"")</f>
        <v>272</v>
      </c>
      <c r="B67" s="11" t="str">
        <f aca="false">IF($A67="","",INDEX(c_Name,$A67))</f>
        <v>Moses Lim</v>
      </c>
      <c r="C67" s="11" t="str">
        <f aca="false">IF($A67="","",INDEX(c_Firm,$A67))</f>
        <v>PIAS</v>
      </c>
      <c r="D67" s="25" t="n">
        <f aca="false">IF($A67="","",INDEX(c_Date,$A67))</f>
        <v>45838</v>
      </c>
      <c r="E67" s="33" t="n">
        <f aca="false">IF($A67="","",INDEX(c_Days,$A67))</f>
        <v>403</v>
      </c>
      <c r="F67" s="11" t="str">
        <f aca="false">IF($A67="","",INDEX(c_EvtNames,$A67)&amp;"")</f>
        <v/>
      </c>
      <c r="G67" s="34" t="str">
        <f aca="false">IF($A67="","",INDEX(c_Invested,$A67))</f>
        <v>No</v>
      </c>
      <c r="H67" s="11" t="str">
        <f aca="false">IF($A67="","",INDEX(c_Email,$A67)&amp;"")</f>
        <v>moses.lim@promiseland.com.sg</v>
      </c>
    </row>
    <row r="68" customFormat="false" ht="15" hidden="false" customHeight="false" outlineLevel="0" collapsed="false">
      <c r="A68" s="32" t="n">
        <f aca="false">IFERROR(MATCH(10,c_FUp,0),"")</f>
        <v>323</v>
      </c>
      <c r="B68" s="15" t="str">
        <f aca="false">IF($A68="","",INDEX(c_Name,$A68))</f>
        <v>Claire Tan</v>
      </c>
      <c r="C68" s="15" t="str">
        <f aca="false">IF($A68="","",INDEX(c_Firm,$A68))</f>
        <v>Singlife</v>
      </c>
      <c r="D68" s="26" t="n">
        <f aca="false">IF($A68="","",INDEX(c_Date,$A68))</f>
        <v>45897</v>
      </c>
      <c r="E68" s="35" t="n">
        <f aca="false">IF($A68="","",INDEX(c_Days,$A68))</f>
        <v>344</v>
      </c>
      <c r="F68" s="15" t="str">
        <f aca="false">IF($A68="","",INDEX(c_EvtNames,$A68)&amp;"")</f>
        <v>Oct-25 Symposium</v>
      </c>
      <c r="G68" s="36" t="str">
        <f aca="false">IF($A68="","",INDEX(c_Invested,$A68))</f>
        <v>No</v>
      </c>
      <c r="H68" s="15" t="str">
        <f aca="false">IF($A68="","",INDEX(c_Email,$A68)&amp;"")</f>
        <v>claire.tan@singlife.com</v>
      </c>
    </row>
    <row r="69" customFormat="false" ht="15" hidden="false" customHeight="false" outlineLevel="0" collapsed="false">
      <c r="A69" s="32" t="n">
        <f aca="false">IFERROR(MATCH(11,c_FUp,0),"")</f>
        <v>331</v>
      </c>
      <c r="B69" s="11" t="str">
        <f aca="false">IF($A69="","",INDEX(c_Name,$A69))</f>
        <v>Reuben Sim</v>
      </c>
      <c r="C69" s="11" t="str">
        <f aca="false">IF($A69="","",INDEX(c_Firm,$A69))</f>
        <v>Singlife</v>
      </c>
      <c r="D69" s="25" t="n">
        <f aca="false">IF($A69="","",INDEX(c_Date,$A69))</f>
        <v>45897</v>
      </c>
      <c r="E69" s="33" t="n">
        <f aca="false">IF($A69="","",INDEX(c_Days,$A69))</f>
        <v>344</v>
      </c>
      <c r="F69" s="11" t="str">
        <f aca="false">IF($A69="","",INDEX(c_EvtNames,$A69)&amp;"")</f>
        <v>Oct-25 Symposium, May-26 Symposium</v>
      </c>
      <c r="G69" s="34" t="str">
        <f aca="false">IF($A69="","",INDEX(c_Invested,$A69))</f>
        <v>No</v>
      </c>
      <c r="H69" s="11" t="str">
        <f aca="false">IF($A69="","",INDEX(c_Email,$A69)&amp;"")</f>
        <v>reuben_sim@singlife.com</v>
      </c>
    </row>
    <row r="70" customFormat="false" ht="15" hidden="false" customHeight="false" outlineLevel="0" collapsed="false">
      <c r="A70" s="32" t="n">
        <f aca="false">IFERROR(MATCH(12,c_FUp,0),"")</f>
        <v>357</v>
      </c>
      <c r="B70" s="15" t="str">
        <f aca="false">IF($A70="","",INDEX(c_Name,$A70))</f>
        <v>Nick Anderson</v>
      </c>
      <c r="C70" s="15" t="str">
        <f aca="false">IF($A70="","",INDEX(c_Firm,$A70))</f>
        <v>Synergy</v>
      </c>
      <c r="D70" s="26" t="n">
        <f aca="false">IF($A70="","",INDEX(c_Date,$A70))</f>
        <v>45902</v>
      </c>
      <c r="E70" s="35" t="n">
        <f aca="false">IF($A70="","",INDEX(c_Days,$A70))</f>
        <v>339</v>
      </c>
      <c r="F70" s="15" t="str">
        <f aca="false">IF($A70="","",INDEX(c_EvtNames,$A70)&amp;"")</f>
        <v/>
      </c>
      <c r="G70" s="36" t="str">
        <f aca="false">IF($A70="","",INDEX(c_Invested,$A70))</f>
        <v>No</v>
      </c>
      <c r="H70" s="15" t="str">
        <f aca="false">IF($A70="","",INDEX(c_Email,$A70)&amp;"")</f>
        <v>nick@aam-advisory.com</v>
      </c>
    </row>
    <row r="71" customFormat="false" ht="15" hidden="false" customHeight="false" outlineLevel="0" collapsed="false">
      <c r="A71" s="32" t="n">
        <f aca="false">IFERROR(MATCH(13,c_FUp,0),"")</f>
        <v>178</v>
      </c>
      <c r="B71" s="11" t="str">
        <f aca="false">IF($A71="","",INDEX(c_Name,$A71))</f>
        <v>Brian See Toh</v>
      </c>
      <c r="C71" s="11" t="str">
        <f aca="false">IF($A71="","",INDEX(c_Firm,$A71))</f>
        <v>Phillip Capital</v>
      </c>
      <c r="D71" s="25" t="n">
        <f aca="false">IF($A71="","",INDEX(c_Date,$A71))</f>
        <v>45912</v>
      </c>
      <c r="E71" s="33" t="n">
        <f aca="false">IF($A71="","",INDEX(c_Days,$A71))</f>
        <v>329</v>
      </c>
      <c r="F71" s="11" t="str">
        <f aca="false">IF($A71="","",INDEX(c_EvtNames,$A71)&amp;"")</f>
        <v>May-26 Symposium</v>
      </c>
      <c r="G71" s="34" t="str">
        <f aca="false">IF($A71="","",INDEX(c_Invested,$A71))</f>
        <v>No</v>
      </c>
      <c r="H71" s="11" t="str">
        <f aca="false">IF($A71="","",INDEX(c_Email,$A71)&amp;"")</f>
        <v>brianst@phillip.com.sg</v>
      </c>
    </row>
    <row r="72" customFormat="false" ht="15" hidden="false" customHeight="false" outlineLevel="0" collapsed="false">
      <c r="A72" s="32" t="n">
        <f aca="false">IFERROR(MATCH(14,c_FUp,0),"")</f>
        <v>4</v>
      </c>
      <c r="B72" s="15" t="str">
        <f aca="false">IF($A72="","",INDEX(c_Name,$A72))</f>
        <v>Alvin Low</v>
      </c>
      <c r="C72" s="15" t="str">
        <f aca="false">IF($A72="","",INDEX(c_Firm,$A72))</f>
        <v>Financial Alliance</v>
      </c>
      <c r="D72" s="26" t="n">
        <f aca="false">IF($A72="","",INDEX(c_Date,$A72))</f>
        <v>45918</v>
      </c>
      <c r="E72" s="35" t="n">
        <f aca="false">IF($A72="","",INDEX(c_Days,$A72))</f>
        <v>323</v>
      </c>
      <c r="F72" s="15" t="str">
        <f aca="false">IF($A72="","",INDEX(c_EvtNames,$A72)&amp;"")</f>
        <v/>
      </c>
      <c r="G72" s="36" t="str">
        <f aca="false">IF($A72="","",INDEX(c_Invested,$A72))</f>
        <v>No</v>
      </c>
      <c r="H72" s="15" t="str">
        <f aca="false">IF($A72="","",INDEX(c_Email,$A72)&amp;"")</f>
        <v>alvinlow@fapl.sg</v>
      </c>
    </row>
    <row r="73" customFormat="false" ht="15" hidden="false" customHeight="false" outlineLevel="0" collapsed="false">
      <c r="A73" s="32" t="n">
        <f aca="false">IFERROR(MATCH(15,c_FUp,0),"")</f>
        <v>6</v>
      </c>
      <c r="B73" s="11" t="str">
        <f aca="false">IF($A73="","",INDEX(c_Name,$A73))</f>
        <v>Edmond Goh</v>
      </c>
      <c r="C73" s="11" t="str">
        <f aca="false">IF($A73="","",INDEX(c_Firm,$A73))</f>
        <v>Financial Alliance</v>
      </c>
      <c r="D73" s="25" t="n">
        <f aca="false">IF($A73="","",INDEX(c_Date,$A73))</f>
        <v>45918</v>
      </c>
      <c r="E73" s="33" t="n">
        <f aca="false">IF($A73="","",INDEX(c_Days,$A73))</f>
        <v>323</v>
      </c>
      <c r="F73" s="11" t="str">
        <f aca="false">IF($A73="","",INDEX(c_EvtNames,$A73)&amp;"")</f>
        <v>Oct-25 Symposium, May-26 Symposium</v>
      </c>
      <c r="G73" s="34" t="str">
        <f aca="false">IF($A73="","",INDEX(c_Invested,$A73))</f>
        <v>No</v>
      </c>
      <c r="H73" s="11" t="str">
        <f aca="false">IF($A73="","",INDEX(c_Email,$A73)&amp;"")</f>
        <v>edmondgoh@fapl.sg</v>
      </c>
    </row>
  </sheetData>
  <mergeCells count="18">
    <mergeCell ref="B1:M1"/>
    <mergeCell ref="B2:M2"/>
    <mergeCell ref="B5:D5"/>
    <mergeCell ref="E5:G5"/>
    <mergeCell ref="H5:J5"/>
    <mergeCell ref="K5:M5"/>
    <mergeCell ref="B6:D6"/>
    <mergeCell ref="E6:G6"/>
    <mergeCell ref="H6:J6"/>
    <mergeCell ref="K6:M6"/>
    <mergeCell ref="B8:D8"/>
    <mergeCell ref="E8:G8"/>
    <mergeCell ref="H8:J8"/>
    <mergeCell ref="K8:M8"/>
    <mergeCell ref="B9:D9"/>
    <mergeCell ref="E9:G9"/>
    <mergeCell ref="H9:J9"/>
    <mergeCell ref="K9:M9"/>
  </mergeCells>
  <conditionalFormatting sqref="E34:E55">
    <cfRule type="colorScale" priority="2">
      <colorScale>
        <cfvo type="num" val="0"/>
        <cfvo type="num" val="1"/>
        <color rgb="FFFFFFFF"/>
        <color rgb="FF8ED18E"/>
      </colorScale>
    </cfRule>
  </conditionalFormatting>
  <conditionalFormatting sqref="H34:H55">
    <cfRule type="cellIs" priority="3" operator="greaterThan" aboveAverage="0" equalAverage="0" bottom="0" percent="0" rank="0" text="" dxfId="0">
      <formula>120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true"/>
  </sheetPr>
  <dimension ref="A1:N6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tru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5" min="5" style="0" width="30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32"/>
    <col collapsed="false" customWidth="true" hidden="false" outlineLevel="0" max="11" min="11" style="0" width="9"/>
    <col collapsed="false" customWidth="true" hidden="false" outlineLevel="0" max="12" min="12" style="0" width="13"/>
    <col collapsed="false" customWidth="true" hidden="false" outlineLevel="0" max="13" min="13" style="0" width="24"/>
    <col collapsed="false" customWidth="true" hidden="false" outlineLevel="0" max="14" min="14" style="0" width="46"/>
  </cols>
  <sheetData>
    <row r="1" customFormat="false" ht="25.5" hidden="false" customHeight="true" outlineLevel="0" collapsed="false">
      <c r="B1" s="1" t="s">
        <v>100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B2" s="2" t="s">
        <v>101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9.5" hidden="false" customHeight="true" outlineLevel="0" collapsed="false">
      <c r="B3" s="37" t="s">
        <v>102</v>
      </c>
      <c r="C3" s="38" t="s">
        <v>103</v>
      </c>
      <c r="D3" s="37" t="s">
        <v>104</v>
      </c>
      <c r="E3" s="38" t="s">
        <v>103</v>
      </c>
      <c r="F3" s="37" t="s">
        <v>105</v>
      </c>
      <c r="G3" s="38" t="s">
        <v>103</v>
      </c>
      <c r="H3" s="37" t="s">
        <v>106</v>
      </c>
      <c r="I3" s="38" t="s">
        <v>103</v>
      </c>
      <c r="J3" s="37" t="s">
        <v>107</v>
      </c>
      <c r="K3" s="38"/>
      <c r="M3" s="39" t="str">
        <f aca="false">TEXT(COUNTIF(c_Pass,1),"#,##0")&amp;" of "&amp;TEXT(COUNTA(c_Name),"#,##0")&amp;" contacts shown"</f>
        <v>369 of 369 contacts shown</v>
      </c>
    </row>
    <row r="5" customFormat="false" ht="30" hidden="false" customHeight="true" outlineLevel="0" collapsed="false">
      <c r="B5" s="10" t="s">
        <v>96</v>
      </c>
      <c r="C5" s="10" t="s">
        <v>16</v>
      </c>
      <c r="D5" s="10" t="s">
        <v>108</v>
      </c>
      <c r="E5" s="10" t="s">
        <v>99</v>
      </c>
      <c r="F5" s="10" t="s">
        <v>109</v>
      </c>
      <c r="G5" s="10" t="s">
        <v>91</v>
      </c>
      <c r="H5" s="10" t="s">
        <v>92</v>
      </c>
      <c r="I5" s="10" t="s">
        <v>110</v>
      </c>
      <c r="J5" s="10" t="s">
        <v>97</v>
      </c>
      <c r="K5" s="10" t="s">
        <v>98</v>
      </c>
      <c r="L5" s="10" t="s">
        <v>111</v>
      </c>
      <c r="M5" s="10" t="s">
        <v>112</v>
      </c>
      <c r="N5" s="10" t="s">
        <v>113</v>
      </c>
    </row>
    <row r="6" customFormat="false" ht="15" hidden="false" customHeight="false" outlineLevel="0" collapsed="false">
      <c r="A6" s="32" t="n">
        <f aca="false">IFERROR(MATCH(ROW()-5,c_Seq,0),"")</f>
        <v>1</v>
      </c>
      <c r="B6" s="11" t="str">
        <f aca="false">IF($A6="","",INDEX(c_Name,$A6)&amp;"")</f>
        <v>Ang hui</v>
      </c>
      <c r="C6" s="11" t="str">
        <f aca="false">IF($A6="","",INDEX(c_Firm,$A6)&amp;"")</f>
        <v>Alpha Wealth</v>
      </c>
      <c r="D6" s="11" t="str">
        <f aca="false">IF($A6="","",INDEX(c_Type,$A6)&amp;"")</f>
        <v>Adviser</v>
      </c>
      <c r="E6" s="11" t="str">
        <f aca="false">IF($A6="","",INDEX(c_Email,$A6)&amp;"")</f>
        <v>anghuichin@awfa.com.sg</v>
      </c>
      <c r="F6" s="34" t="str">
        <f aca="false">IF($A6="","",INDEX(c_Met,$A6)&amp;"")</f>
        <v>No</v>
      </c>
      <c r="G6" s="25" t="str">
        <f aca="false">IF($A6="","",IF(INDEX(c_Date,$A6)="","",INDEX(c_Date,$A6)))</f>
        <v/>
      </c>
      <c r="H6" s="33" t="str">
        <f aca="false">IF($A6="","",IF(INDEX(c_Days,$A6)="","",INDEX(c_Days,$A6)))</f>
        <v/>
      </c>
      <c r="I6" s="40" t="n">
        <f aca="false">IF($A6="","",IF(INDEX(c_Mtgs,$A6)="","",INDEX(c_Mtgs,$A6)))</f>
        <v>0</v>
      </c>
      <c r="J6" s="11" t="str">
        <f aca="false">IF($A6="","",INDEX(c_EvtNames,$A6)&amp;"")</f>
        <v/>
      </c>
      <c r="K6" s="34" t="str">
        <f aca="false">IF($A6="","",INDEX(c_Invested,$A6)&amp;"")</f>
        <v>No</v>
      </c>
      <c r="L6" s="12" t="str">
        <f aca="false">IF($A6="","",IF(INDEX(c_AUM,$A6)="","",INDEX(c_AUM,$A6)))</f>
        <v/>
      </c>
      <c r="M6" s="11" t="str">
        <f aca="false">IF($A6="","",INDEX(c_Source,$A6)&amp;"")</f>
        <v>Meeting List</v>
      </c>
      <c r="N6" s="11" t="str">
        <f aca="false">IF($A6="","",INDEX(c_Notes,$A6)&amp;"")</f>
        <v/>
      </c>
    </row>
    <row r="7" customFormat="false" ht="15" hidden="false" customHeight="false" outlineLevel="0" collapsed="false">
      <c r="A7" s="32" t="n">
        <f aca="false">IFERROR(MATCH(ROW()-5,c_Seq,0),"")</f>
        <v>2</v>
      </c>
      <c r="B7" s="15" t="str">
        <f aca="false">IF($A7="","",INDEX(c_Name,$A7)&amp;"")</f>
        <v>Jason Yin</v>
      </c>
      <c r="C7" s="15" t="str">
        <f aca="false">IF($A7="","",INDEX(c_Firm,$A7)&amp;"")</f>
        <v>Alpha Wealth</v>
      </c>
      <c r="D7" s="15" t="str">
        <f aca="false">IF($A7="","",INDEX(c_Type,$A7)&amp;"")</f>
        <v>Adviser</v>
      </c>
      <c r="E7" s="15" t="str">
        <f aca="false">IF($A7="","",INDEX(c_Email,$A7)&amp;"")</f>
        <v>jasonyin@awfa.com.sg</v>
      </c>
      <c r="F7" s="36" t="str">
        <f aca="false">IF($A7="","",INDEX(c_Met,$A7)&amp;"")</f>
        <v>No</v>
      </c>
      <c r="G7" s="26" t="str">
        <f aca="false">IF($A7="","",IF(INDEX(c_Date,$A7)="","",INDEX(c_Date,$A7)))</f>
        <v/>
      </c>
      <c r="H7" s="35" t="str">
        <f aca="false">IF($A7="","",IF(INDEX(c_Days,$A7)="","",INDEX(c_Days,$A7)))</f>
        <v/>
      </c>
      <c r="I7" s="41" t="n">
        <f aca="false">IF($A7="","",IF(INDEX(c_Mtgs,$A7)="","",INDEX(c_Mtgs,$A7)))</f>
        <v>0</v>
      </c>
      <c r="J7" s="15" t="str">
        <f aca="false">IF($A7="","",INDEX(c_EvtNames,$A7)&amp;"")</f>
        <v>May-26 Symposium</v>
      </c>
      <c r="K7" s="36" t="str">
        <f aca="false">IF($A7="","",INDEX(c_Invested,$A7)&amp;"")</f>
        <v>No</v>
      </c>
      <c r="L7" s="16" t="str">
        <f aca="false">IF($A7="","",IF(INDEX(c_AUM,$A7)="","",INDEX(c_AUM,$A7)))</f>
        <v/>
      </c>
      <c r="M7" s="15" t="str">
        <f aca="false">IF($A7="","",INDEX(c_Source,$A7)&amp;"")</f>
        <v>Meeting List</v>
      </c>
      <c r="N7" s="15" t="str">
        <f aca="false">IF($A7="","",INDEX(c_Notes,$A7)&amp;"")</f>
        <v/>
      </c>
    </row>
    <row r="8" customFormat="false" ht="15" hidden="false" customHeight="false" outlineLevel="0" collapsed="false">
      <c r="A8" s="32" t="n">
        <f aca="false">IFERROR(MATCH(ROW()-5,c_Seq,0),"")</f>
        <v>3</v>
      </c>
      <c r="B8" s="11" t="str">
        <f aca="false">IF($A8="","",INDEX(c_Name,$A8)&amp;"")</f>
        <v>Lee Jia Hao</v>
      </c>
      <c r="C8" s="11" t="str">
        <f aca="false">IF($A8="","",INDEX(c_Firm,$A8)&amp;"")</f>
        <v>Alpha Wealth</v>
      </c>
      <c r="D8" s="11" t="str">
        <f aca="false">IF($A8="","",INDEX(c_Type,$A8)&amp;"")</f>
        <v>Adviser</v>
      </c>
      <c r="E8" s="11" t="str">
        <f aca="false">IF($A8="","",INDEX(c_Email,$A8)&amp;"")</f>
        <v>leejiahao@awfa.com.sg</v>
      </c>
      <c r="F8" s="34" t="str">
        <f aca="false">IF($A8="","",INDEX(c_Met,$A8)&amp;"")</f>
        <v>No</v>
      </c>
      <c r="G8" s="25" t="str">
        <f aca="false">IF($A8="","",IF(INDEX(c_Date,$A8)="","",INDEX(c_Date,$A8)))</f>
        <v/>
      </c>
      <c r="H8" s="33" t="str">
        <f aca="false">IF($A8="","",IF(INDEX(c_Days,$A8)="","",INDEX(c_Days,$A8)))</f>
        <v/>
      </c>
      <c r="I8" s="40" t="n">
        <f aca="false">IF($A8="","",IF(INDEX(c_Mtgs,$A8)="","",INDEX(c_Mtgs,$A8)))</f>
        <v>0</v>
      </c>
      <c r="J8" s="11" t="str">
        <f aca="false">IF($A8="","",INDEX(c_EvtNames,$A8)&amp;"")</f>
        <v>May-26 Symposium</v>
      </c>
      <c r="K8" s="34" t="str">
        <f aca="false">IF($A8="","",INDEX(c_Invested,$A8)&amp;"")</f>
        <v>No</v>
      </c>
      <c r="L8" s="12" t="str">
        <f aca="false">IF($A8="","",IF(INDEX(c_AUM,$A8)="","",INDEX(c_AUM,$A8)))</f>
        <v/>
      </c>
      <c r="M8" s="11" t="str">
        <f aca="false">IF($A8="","",INDEX(c_Source,$A8)&amp;"")</f>
        <v>Meeting List</v>
      </c>
      <c r="N8" s="11" t="str">
        <f aca="false">IF($A8="","",INDEX(c_Notes,$A8)&amp;"")</f>
        <v/>
      </c>
    </row>
    <row r="9" customFormat="false" ht="15" hidden="false" customHeight="false" outlineLevel="0" collapsed="false">
      <c r="A9" s="32" t="n">
        <f aca="false">IFERROR(MATCH(ROW()-5,c_Seq,0),"")</f>
        <v>4</v>
      </c>
      <c r="B9" s="15" t="str">
        <f aca="false">IF($A9="","",INDEX(c_Name,$A9)&amp;"")</f>
        <v>Alvin Low</v>
      </c>
      <c r="C9" s="15" t="str">
        <f aca="false">IF($A9="","",INDEX(c_Firm,$A9)&amp;"")</f>
        <v>Financial Alliance</v>
      </c>
      <c r="D9" s="15" t="str">
        <f aca="false">IF($A9="","",INDEX(c_Type,$A9)&amp;"")</f>
        <v>Adviser</v>
      </c>
      <c r="E9" s="15" t="str">
        <f aca="false">IF($A9="","",INDEX(c_Email,$A9)&amp;"")</f>
        <v>alvinlow@fapl.sg</v>
      </c>
      <c r="F9" s="36" t="str">
        <f aca="false">IF($A9="","",INDEX(c_Met,$A9)&amp;"")</f>
        <v>Yes</v>
      </c>
      <c r="G9" s="26" t="n">
        <f aca="false">IF($A9="","",IF(INDEX(c_Date,$A9)="","",INDEX(c_Date,$A9)))</f>
        <v>45918</v>
      </c>
      <c r="H9" s="35" t="n">
        <f aca="false">IF($A9="","",IF(INDEX(c_Days,$A9)="","",INDEX(c_Days,$A9)))</f>
        <v>323</v>
      </c>
      <c r="I9" s="41" t="n">
        <f aca="false">IF($A9="","",IF(INDEX(c_Mtgs,$A9)="","",INDEX(c_Mtgs,$A9)))</f>
        <v>1</v>
      </c>
      <c r="J9" s="15" t="str">
        <f aca="false">IF($A9="","",INDEX(c_EvtNames,$A9)&amp;"")</f>
        <v/>
      </c>
      <c r="K9" s="36" t="str">
        <f aca="false">IF($A9="","",INDEX(c_Invested,$A9)&amp;"")</f>
        <v>No</v>
      </c>
      <c r="L9" s="16" t="n">
        <f aca="false">IF($A9="","",IF(INDEX(c_AUM,$A9)="","",INDEX(c_AUM,$A9)))</f>
        <v>5000000</v>
      </c>
      <c r="M9" s="15" t="str">
        <f aca="false">IF($A9="","",INDEX(c_Source,$A9)&amp;"")</f>
        <v>Meeting List + ILP Data</v>
      </c>
      <c r="N9" s="15" t="str">
        <f aca="false">IF($A9="","",INDEX(c_Notes,$A9)&amp;"")</f>
        <v/>
      </c>
    </row>
    <row r="10" customFormat="false" ht="15" hidden="false" customHeight="false" outlineLevel="0" collapsed="false">
      <c r="A10" s="32" t="n">
        <f aca="false">IFERROR(MATCH(ROW()-5,c_Seq,0),"")</f>
        <v>5</v>
      </c>
      <c r="B10" s="11" t="str">
        <f aca="false">IF($A10="","",INDEX(c_Name,$A10)&amp;"")</f>
        <v>Chenise Lim</v>
      </c>
      <c r="C10" s="11" t="str">
        <f aca="false">IF($A10="","",INDEX(c_Firm,$A10)&amp;"")</f>
        <v>Financial Alliance</v>
      </c>
      <c r="D10" s="11" t="str">
        <f aca="false">IF($A10="","",INDEX(c_Type,$A10)&amp;"")</f>
        <v>Adviser</v>
      </c>
      <c r="E10" s="11" t="str">
        <f aca="false">IF($A10="","",INDEX(c_Email,$A10)&amp;"")</f>
        <v>cheniselim@fapl.sg</v>
      </c>
      <c r="F10" s="34" t="str">
        <f aca="false">IF($A10="","",INDEX(c_Met,$A10)&amp;"")</f>
        <v>Yes</v>
      </c>
      <c r="G10" s="25" t="n">
        <f aca="false">IF($A10="","",IF(INDEX(c_Date,$A10)="","",INDEX(c_Date,$A10)))</f>
        <v>45923</v>
      </c>
      <c r="H10" s="33" t="n">
        <f aca="false">IF($A10="","",IF(INDEX(c_Days,$A10)="","",INDEX(c_Days,$A10)))</f>
        <v>318</v>
      </c>
      <c r="I10" s="40" t="n">
        <f aca="false">IF($A10="","",IF(INDEX(c_Mtgs,$A10)="","",INDEX(c_Mtgs,$A10)))</f>
        <v>1</v>
      </c>
      <c r="J10" s="11" t="str">
        <f aca="false">IF($A10="","",INDEX(c_EvtNames,$A10)&amp;"")</f>
        <v/>
      </c>
      <c r="K10" s="34" t="str">
        <f aca="false">IF($A10="","",INDEX(c_Invested,$A10)&amp;"")</f>
        <v>No</v>
      </c>
      <c r="L10" s="12" t="n">
        <f aca="false">IF($A10="","",IF(INDEX(c_AUM,$A10)="","",INDEX(c_AUM,$A10)))</f>
        <v>32000000</v>
      </c>
      <c r="M10" s="11" t="str">
        <f aca="false">IF($A10="","",INDEX(c_Source,$A10)&amp;"")</f>
        <v>Meeting List + ILP Data</v>
      </c>
      <c r="N10" s="11" t="str">
        <f aca="false">IF($A10="","",INDEX(c_Notes,$A10)&amp;"")</f>
        <v>May-26: not available</v>
      </c>
    </row>
    <row r="11" customFormat="false" ht="15" hidden="false" customHeight="false" outlineLevel="0" collapsed="false">
      <c r="A11" s="32" t="n">
        <f aca="false">IFERROR(MATCH(ROW()-5,c_Seq,0),"")</f>
        <v>6</v>
      </c>
      <c r="B11" s="15" t="str">
        <f aca="false">IF($A11="","",INDEX(c_Name,$A11)&amp;"")</f>
        <v>Edmond Goh</v>
      </c>
      <c r="C11" s="15" t="str">
        <f aca="false">IF($A11="","",INDEX(c_Firm,$A11)&amp;"")</f>
        <v>Financial Alliance</v>
      </c>
      <c r="D11" s="15" t="str">
        <f aca="false">IF($A11="","",INDEX(c_Type,$A11)&amp;"")</f>
        <v>Adviser</v>
      </c>
      <c r="E11" s="15" t="str">
        <f aca="false">IF($A11="","",INDEX(c_Email,$A11)&amp;"")</f>
        <v>edmondgoh@fapl.sg</v>
      </c>
      <c r="F11" s="36" t="str">
        <f aca="false">IF($A11="","",INDEX(c_Met,$A11)&amp;"")</f>
        <v>Yes</v>
      </c>
      <c r="G11" s="26" t="n">
        <f aca="false">IF($A11="","",IF(INDEX(c_Date,$A11)="","",INDEX(c_Date,$A11)))</f>
        <v>45918</v>
      </c>
      <c r="H11" s="35" t="n">
        <f aca="false">IF($A11="","",IF(INDEX(c_Days,$A11)="","",INDEX(c_Days,$A11)))</f>
        <v>323</v>
      </c>
      <c r="I11" s="41" t="n">
        <f aca="false">IF($A11="","",IF(INDEX(c_Mtgs,$A11)="","",INDEX(c_Mtgs,$A11)))</f>
        <v>1</v>
      </c>
      <c r="J11" s="15" t="str">
        <f aca="false">IF($A11="","",INDEX(c_EvtNames,$A11)&amp;"")</f>
        <v>Oct-25 Symposium, May-26 Symposium</v>
      </c>
      <c r="K11" s="36" t="str">
        <f aca="false">IF($A11="","",INDEX(c_Invested,$A11)&amp;"")</f>
        <v>No</v>
      </c>
      <c r="L11" s="16" t="n">
        <f aca="false">IF($A11="","",IF(INDEX(c_AUM,$A11)="","",INDEX(c_AUM,$A11)))</f>
        <v>6000000</v>
      </c>
      <c r="M11" s="15" t="str">
        <f aca="false">IF($A11="","",INDEX(c_Source,$A11)&amp;"")</f>
        <v>Meeting List + ILP Data</v>
      </c>
      <c r="N11" s="15" t="str">
        <f aca="false">IF($A11="","",INDEX(c_Notes,$A11)&amp;"")</f>
        <v/>
      </c>
    </row>
    <row r="12" customFormat="false" ht="15" hidden="false" customHeight="false" outlineLevel="0" collapsed="false">
      <c r="A12" s="32" t="n">
        <f aca="false">IFERROR(MATCH(ROW()-5,c_Seq,0),"")</f>
        <v>7</v>
      </c>
      <c r="B12" s="11" t="str">
        <f aca="false">IF($A12="","",INDEX(c_Name,$A12)&amp;"")</f>
        <v>Edwin Tan</v>
      </c>
      <c r="C12" s="11" t="str">
        <f aca="false">IF($A12="","",INDEX(c_Firm,$A12)&amp;"")</f>
        <v>Financial Alliance</v>
      </c>
      <c r="D12" s="11" t="str">
        <f aca="false">IF($A12="","",INDEX(c_Type,$A12)&amp;"")</f>
        <v>Adviser</v>
      </c>
      <c r="E12" s="11" t="str">
        <f aca="false">IF($A12="","",INDEX(c_Email,$A12)&amp;"")</f>
        <v>edwintan@fapl.sg</v>
      </c>
      <c r="F12" s="34" t="str">
        <f aca="false">IF($A12="","",INDEX(c_Met,$A12)&amp;"")</f>
        <v>No</v>
      </c>
      <c r="G12" s="25" t="str">
        <f aca="false">IF($A12="","",IF(INDEX(c_Date,$A12)="","",INDEX(c_Date,$A12)))</f>
        <v/>
      </c>
      <c r="H12" s="33" t="str">
        <f aca="false">IF($A12="","",IF(INDEX(c_Days,$A12)="","",INDEX(c_Days,$A12)))</f>
        <v/>
      </c>
      <c r="I12" s="40" t="n">
        <f aca="false">IF($A12="","",IF(INDEX(c_Mtgs,$A12)="","",INDEX(c_Mtgs,$A12)))</f>
        <v>0</v>
      </c>
      <c r="J12" s="11" t="str">
        <f aca="false">IF($A12="","",INDEX(c_EvtNames,$A12)&amp;"")</f>
        <v>May-26 Symposium</v>
      </c>
      <c r="K12" s="34" t="str">
        <f aca="false">IF($A12="","",INDEX(c_Invested,$A12)&amp;"")</f>
        <v>No</v>
      </c>
      <c r="L12" s="12" t="str">
        <f aca="false">IF($A12="","",IF(INDEX(c_AUM,$A12)="","",INDEX(c_AUM,$A12)))</f>
        <v/>
      </c>
      <c r="M12" s="11" t="str">
        <f aca="false">IF($A12="","",INDEX(c_Source,$A12)&amp;"")</f>
        <v>Meeting List</v>
      </c>
      <c r="N12" s="11" t="str">
        <f aca="false">IF($A12="","",INDEX(c_Notes,$A12)&amp;"")</f>
        <v/>
      </c>
    </row>
    <row r="13" customFormat="false" ht="15" hidden="false" customHeight="false" outlineLevel="0" collapsed="false">
      <c r="A13" s="32" t="n">
        <f aca="false">IFERROR(MATCH(ROW()-5,c_Seq,0),"")</f>
        <v>8</v>
      </c>
      <c r="B13" s="15" t="str">
        <f aca="false">IF($A13="","",INDEX(c_Name,$A13)&amp;"")</f>
        <v>Francis Hoan</v>
      </c>
      <c r="C13" s="15" t="str">
        <f aca="false">IF($A13="","",INDEX(c_Firm,$A13)&amp;"")</f>
        <v>Financial Alliance</v>
      </c>
      <c r="D13" s="15" t="str">
        <f aca="false">IF($A13="","",INDEX(c_Type,$A13)&amp;"")</f>
        <v>Adviser</v>
      </c>
      <c r="E13" s="15" t="str">
        <f aca="false">IF($A13="","",INDEX(c_Email,$A13)&amp;"")</f>
        <v>francishoan@fapl.sg</v>
      </c>
      <c r="F13" s="36" t="str">
        <f aca="false">IF($A13="","",INDEX(c_Met,$A13)&amp;"")</f>
        <v>No</v>
      </c>
      <c r="G13" s="26" t="str">
        <f aca="false">IF($A13="","",IF(INDEX(c_Date,$A13)="","",INDEX(c_Date,$A13)))</f>
        <v/>
      </c>
      <c r="H13" s="35" t="str">
        <f aca="false">IF($A13="","",IF(INDEX(c_Days,$A13)="","",INDEX(c_Days,$A13)))</f>
        <v/>
      </c>
      <c r="I13" s="41" t="n">
        <f aca="false">IF($A13="","",IF(INDEX(c_Mtgs,$A13)="","",INDEX(c_Mtgs,$A13)))</f>
        <v>0</v>
      </c>
      <c r="J13" s="15" t="str">
        <f aca="false">IF($A13="","",INDEX(c_EvtNames,$A13)&amp;"")</f>
        <v/>
      </c>
      <c r="K13" s="36" t="str">
        <f aca="false">IF($A13="","",INDEX(c_Invested,$A13)&amp;"")</f>
        <v>No</v>
      </c>
      <c r="L13" s="16" t="str">
        <f aca="false">IF($A13="","",IF(INDEX(c_AUM,$A13)="","",INDEX(c_AUM,$A13)))</f>
        <v/>
      </c>
      <c r="M13" s="15" t="str">
        <f aca="false">IF($A13="","",INDEX(c_Source,$A13)&amp;"")</f>
        <v>Meeting List</v>
      </c>
      <c r="N13" s="15" t="str">
        <f aca="false">IF($A13="","",INDEX(c_Notes,$A13)&amp;"")</f>
        <v/>
      </c>
    </row>
    <row r="14" customFormat="false" ht="15" hidden="false" customHeight="false" outlineLevel="0" collapsed="false">
      <c r="A14" s="32" t="n">
        <f aca="false">IFERROR(MATCH(ROW()-5,c_Seq,0),"")</f>
        <v>9</v>
      </c>
      <c r="B14" s="11" t="str">
        <f aca="false">IF($A14="","",INDEX(c_Name,$A14)&amp;"")</f>
        <v>Gary Lim</v>
      </c>
      <c r="C14" s="11" t="str">
        <f aca="false">IF($A14="","",INDEX(c_Firm,$A14)&amp;"")</f>
        <v>Financial Alliance</v>
      </c>
      <c r="D14" s="11" t="str">
        <f aca="false">IF($A14="","",INDEX(c_Type,$A14)&amp;"")</f>
        <v>Adviser</v>
      </c>
      <c r="E14" s="11" t="str">
        <f aca="false">IF($A14="","",INDEX(c_Email,$A14)&amp;"")</f>
        <v>garylim@fapl.sg</v>
      </c>
      <c r="F14" s="34" t="str">
        <f aca="false">IF($A14="","",INDEX(c_Met,$A14)&amp;"")</f>
        <v>No</v>
      </c>
      <c r="G14" s="25" t="str">
        <f aca="false">IF($A14="","",IF(INDEX(c_Date,$A14)="","",INDEX(c_Date,$A14)))</f>
        <v/>
      </c>
      <c r="H14" s="33" t="str">
        <f aca="false">IF($A14="","",IF(INDEX(c_Days,$A14)="","",INDEX(c_Days,$A14)))</f>
        <v/>
      </c>
      <c r="I14" s="40" t="n">
        <f aca="false">IF($A14="","",IF(INDEX(c_Mtgs,$A14)="","",INDEX(c_Mtgs,$A14)))</f>
        <v>0</v>
      </c>
      <c r="J14" s="11" t="str">
        <f aca="false">IF($A14="","",INDEX(c_EvtNames,$A14)&amp;"")</f>
        <v>Oct-25 Symposium</v>
      </c>
      <c r="K14" s="34" t="str">
        <f aca="false">IF($A14="","",INDEX(c_Invested,$A14)&amp;"")</f>
        <v>No</v>
      </c>
      <c r="L14" s="12" t="n">
        <f aca="false">IF($A14="","",IF(INDEX(c_AUM,$A14)="","",INDEX(c_AUM,$A14)))</f>
        <v>10000000</v>
      </c>
      <c r="M14" s="11" t="str">
        <f aca="false">IF($A14="","",INDEX(c_Source,$A14)&amp;"")</f>
        <v>Meeting List + ILP Data</v>
      </c>
      <c r="N14" s="11" t="str">
        <f aca="false">IF($A14="","",INDEX(c_Notes,$A14)&amp;"")</f>
        <v/>
      </c>
    </row>
    <row r="15" customFormat="false" ht="15" hidden="false" customHeight="false" outlineLevel="0" collapsed="false">
      <c r="A15" s="32" t="n">
        <f aca="false">IFERROR(MATCH(ROW()-5,c_Seq,0),"")</f>
        <v>10</v>
      </c>
      <c r="B15" s="15" t="str">
        <f aca="false">IF($A15="","",INDEX(c_Name,$A15)&amp;"")</f>
        <v>Guek Choo</v>
      </c>
      <c r="C15" s="15" t="str">
        <f aca="false">IF($A15="","",INDEX(c_Firm,$A15)&amp;"")</f>
        <v>Financial Alliance</v>
      </c>
      <c r="D15" s="15" t="str">
        <f aca="false">IF($A15="","",INDEX(c_Type,$A15)&amp;"")</f>
        <v>Adviser</v>
      </c>
      <c r="E15" s="15" t="str">
        <f aca="false">IF($A15="","",INDEX(c_Email,$A15)&amp;"")</f>
        <v>guekchoo@fapl.sg</v>
      </c>
      <c r="F15" s="36" t="str">
        <f aca="false">IF($A15="","",INDEX(c_Met,$A15)&amp;"")</f>
        <v>Yes</v>
      </c>
      <c r="G15" s="26" t="n">
        <f aca="false">IF($A15="","",IF(INDEX(c_Date,$A15)="","",INDEX(c_Date,$A15)))</f>
        <v>45923</v>
      </c>
      <c r="H15" s="35" t="n">
        <f aca="false">IF($A15="","",IF(INDEX(c_Days,$A15)="","",INDEX(c_Days,$A15)))</f>
        <v>318</v>
      </c>
      <c r="I15" s="41" t="n">
        <f aca="false">IF($A15="","",IF(INDEX(c_Mtgs,$A15)="","",INDEX(c_Mtgs,$A15)))</f>
        <v>1</v>
      </c>
      <c r="J15" s="15" t="str">
        <f aca="false">IF($A15="","",INDEX(c_EvtNames,$A15)&amp;"")</f>
        <v/>
      </c>
      <c r="K15" s="36" t="str">
        <f aca="false">IF($A15="","",INDEX(c_Invested,$A15)&amp;"")</f>
        <v>No</v>
      </c>
      <c r="L15" s="16" t="n">
        <f aca="false">IF($A15="","",IF(INDEX(c_AUM,$A15)="","",INDEX(c_AUM,$A15)))</f>
        <v>4000000</v>
      </c>
      <c r="M15" s="15" t="str">
        <f aca="false">IF($A15="","",INDEX(c_Source,$A15)&amp;"")</f>
        <v>Meeting List + ILP Data</v>
      </c>
      <c r="N15" s="15" t="str">
        <f aca="false">IF($A15="","",INDEX(c_Notes,$A15)&amp;"")</f>
        <v>May-26: not available</v>
      </c>
    </row>
    <row r="16" customFormat="false" ht="15" hidden="false" customHeight="false" outlineLevel="0" collapsed="false">
      <c r="A16" s="32" t="n">
        <f aca="false">IFERROR(MATCH(ROW()-5,c_Seq,0),"")</f>
        <v>11</v>
      </c>
      <c r="B16" s="11" t="str">
        <f aca="false">IF($A16="","",INDEX(c_Name,$A16)&amp;"")</f>
        <v>Hadi Wijaya</v>
      </c>
      <c r="C16" s="11" t="str">
        <f aca="false">IF($A16="","",INDEX(c_Firm,$A16)&amp;"")</f>
        <v>Financial Alliance</v>
      </c>
      <c r="D16" s="11" t="str">
        <f aca="false">IF($A16="","",INDEX(c_Type,$A16)&amp;"")</f>
        <v>Adviser</v>
      </c>
      <c r="E16" s="11" t="str">
        <f aca="false">IF($A16="","",INDEX(c_Email,$A16)&amp;"")</f>
        <v>hadiwijaya@fapl.sg</v>
      </c>
      <c r="F16" s="34" t="str">
        <f aca="false">IF($A16="","",INDEX(c_Met,$A16)&amp;"")</f>
        <v>No</v>
      </c>
      <c r="G16" s="25" t="str">
        <f aca="false">IF($A16="","",IF(INDEX(c_Date,$A16)="","",INDEX(c_Date,$A16)))</f>
        <v/>
      </c>
      <c r="H16" s="33" t="str">
        <f aca="false">IF($A16="","",IF(INDEX(c_Days,$A16)="","",INDEX(c_Days,$A16)))</f>
        <v/>
      </c>
      <c r="I16" s="40" t="n">
        <f aca="false">IF($A16="","",IF(INDEX(c_Mtgs,$A16)="","",INDEX(c_Mtgs,$A16)))</f>
        <v>0</v>
      </c>
      <c r="J16" s="11" t="str">
        <f aca="false">IF($A16="","",INDEX(c_EvtNames,$A16)&amp;"")</f>
        <v/>
      </c>
      <c r="K16" s="34" t="str">
        <f aca="false">IF($A16="","",INDEX(c_Invested,$A16)&amp;"")</f>
        <v>No</v>
      </c>
      <c r="L16" s="12" t="str">
        <f aca="false">IF($A16="","",IF(INDEX(c_AUM,$A16)="","",INDEX(c_AUM,$A16)))</f>
        <v/>
      </c>
      <c r="M16" s="11" t="str">
        <f aca="false">IF($A16="","",INDEX(c_Source,$A16)&amp;"")</f>
        <v>Meeting List</v>
      </c>
      <c r="N16" s="11" t="str">
        <f aca="false">IF($A16="","",INDEX(c_Notes,$A16)&amp;"")</f>
        <v/>
      </c>
    </row>
    <row r="17" customFormat="false" ht="15" hidden="false" customHeight="false" outlineLevel="0" collapsed="false">
      <c r="A17" s="32" t="n">
        <f aca="false">IFERROR(MATCH(ROW()-5,c_Seq,0),"")</f>
        <v>12</v>
      </c>
      <c r="B17" s="15" t="str">
        <f aca="false">IF($A17="","",INDEX(c_Name,$A17)&amp;"")</f>
        <v>Isaac Tang</v>
      </c>
      <c r="C17" s="15" t="str">
        <f aca="false">IF($A17="","",INDEX(c_Firm,$A17)&amp;"")</f>
        <v>Financial Alliance</v>
      </c>
      <c r="D17" s="15" t="str">
        <f aca="false">IF($A17="","",INDEX(c_Type,$A17)&amp;"")</f>
        <v>Adviser</v>
      </c>
      <c r="E17" s="15" t="str">
        <f aca="false">IF($A17="","",INDEX(c_Email,$A17)&amp;"")</f>
        <v>isaactang@fa.sg</v>
      </c>
      <c r="F17" s="36" t="str">
        <f aca="false">IF($A17="","",INDEX(c_Met,$A17)&amp;"")</f>
        <v>No</v>
      </c>
      <c r="G17" s="26" t="str">
        <f aca="false">IF($A17="","",IF(INDEX(c_Date,$A17)="","",INDEX(c_Date,$A17)))</f>
        <v/>
      </c>
      <c r="H17" s="35" t="str">
        <f aca="false">IF($A17="","",IF(INDEX(c_Days,$A17)="","",INDEX(c_Days,$A17)))</f>
        <v/>
      </c>
      <c r="I17" s="41" t="n">
        <f aca="false">IF($A17="","",IF(INDEX(c_Mtgs,$A17)="","",INDEX(c_Mtgs,$A17)))</f>
        <v>0</v>
      </c>
      <c r="J17" s="15" t="str">
        <f aca="false">IF($A17="","",INDEX(c_EvtNames,$A17)&amp;"")</f>
        <v>May-26 Symposium</v>
      </c>
      <c r="K17" s="36" t="str">
        <f aca="false">IF($A17="","",INDEX(c_Invested,$A17)&amp;"")</f>
        <v>No</v>
      </c>
      <c r="L17" s="16" t="str">
        <f aca="false">IF($A17="","",IF(INDEX(c_AUM,$A17)="","",INDEX(c_AUM,$A17)))</f>
        <v/>
      </c>
      <c r="M17" s="15" t="str">
        <f aca="false">IF($A17="","",INDEX(c_Source,$A17)&amp;"")</f>
        <v>Meeting List</v>
      </c>
      <c r="N17" s="15" t="str">
        <f aca="false">IF($A17="","",INDEX(c_Notes,$A17)&amp;"")</f>
        <v/>
      </c>
    </row>
    <row r="18" customFormat="false" ht="15" hidden="false" customHeight="false" outlineLevel="0" collapsed="false">
      <c r="A18" s="32" t="n">
        <f aca="false">IFERROR(MATCH(ROW()-5,c_Seq,0),"")</f>
        <v>13</v>
      </c>
      <c r="B18" s="11" t="str">
        <f aca="false">IF($A18="","",INDEX(c_Name,$A18)&amp;"")</f>
        <v>Kelvin  Teng</v>
      </c>
      <c r="C18" s="11" t="str">
        <f aca="false">IF($A18="","",INDEX(c_Firm,$A18)&amp;"")</f>
        <v>Financial Alliance</v>
      </c>
      <c r="D18" s="11" t="str">
        <f aca="false">IF($A18="","",INDEX(c_Type,$A18)&amp;"")</f>
        <v>Adviser</v>
      </c>
      <c r="E18" s="11" t="str">
        <f aca="false">IF($A18="","",INDEX(c_Email,$A18)&amp;"")</f>
        <v>kelvinteng@fapl.sg</v>
      </c>
      <c r="F18" s="34" t="str">
        <f aca="false">IF($A18="","",INDEX(c_Met,$A18)&amp;"")</f>
        <v>No</v>
      </c>
      <c r="G18" s="25" t="str">
        <f aca="false">IF($A18="","",IF(INDEX(c_Date,$A18)="","",INDEX(c_Date,$A18)))</f>
        <v/>
      </c>
      <c r="H18" s="33" t="str">
        <f aca="false">IF($A18="","",IF(INDEX(c_Days,$A18)="","",INDEX(c_Days,$A18)))</f>
        <v/>
      </c>
      <c r="I18" s="40" t="n">
        <f aca="false">IF($A18="","",IF(INDEX(c_Mtgs,$A18)="","",INDEX(c_Mtgs,$A18)))</f>
        <v>0</v>
      </c>
      <c r="J18" s="11" t="str">
        <f aca="false">IF($A18="","",INDEX(c_EvtNames,$A18)&amp;"")</f>
        <v>May-26 Symposium</v>
      </c>
      <c r="K18" s="34" t="str">
        <f aca="false">IF($A18="","",INDEX(c_Invested,$A18)&amp;"")</f>
        <v>No</v>
      </c>
      <c r="L18" s="12" t="str">
        <f aca="false">IF($A18="","",IF(INDEX(c_AUM,$A18)="","",INDEX(c_AUM,$A18)))</f>
        <v/>
      </c>
      <c r="M18" s="11" t="str">
        <f aca="false">IF($A18="","",INDEX(c_Source,$A18)&amp;"")</f>
        <v>Meeting List</v>
      </c>
      <c r="N18" s="11" t="str">
        <f aca="false">IF($A18="","",INDEX(c_Notes,$A18)&amp;"")</f>
        <v/>
      </c>
    </row>
    <row r="19" customFormat="false" ht="15" hidden="false" customHeight="false" outlineLevel="0" collapsed="false">
      <c r="A19" s="32" t="n">
        <f aca="false">IFERROR(MATCH(ROW()-5,c_Seq,0),"")</f>
        <v>14</v>
      </c>
      <c r="B19" s="15" t="str">
        <f aca="false">IF($A19="","",INDEX(c_Name,$A19)&amp;"")</f>
        <v>Khairuddin Sukor</v>
      </c>
      <c r="C19" s="15" t="str">
        <f aca="false">IF($A19="","",INDEX(c_Firm,$A19)&amp;"")</f>
        <v>Financial Alliance</v>
      </c>
      <c r="D19" s="15" t="str">
        <f aca="false">IF($A19="","",INDEX(c_Type,$A19)&amp;"")</f>
        <v>Adviser</v>
      </c>
      <c r="E19" s="15" t="str">
        <f aca="false">IF($A19="","",INDEX(c_Email,$A19)&amp;"")</f>
        <v>khairuddin@fapl.sg</v>
      </c>
      <c r="F19" s="36" t="str">
        <f aca="false">IF($A19="","",INDEX(c_Met,$A19)&amp;"")</f>
        <v>Yes</v>
      </c>
      <c r="G19" s="26" t="n">
        <f aca="false">IF($A19="","",IF(INDEX(c_Date,$A19)="","",INDEX(c_Date,$A19)))</f>
        <v>45919</v>
      </c>
      <c r="H19" s="35" t="n">
        <f aca="false">IF($A19="","",IF(INDEX(c_Days,$A19)="","",INDEX(c_Days,$A19)))</f>
        <v>322</v>
      </c>
      <c r="I19" s="41" t="n">
        <f aca="false">IF($A19="","",IF(INDEX(c_Mtgs,$A19)="","",INDEX(c_Mtgs,$A19)))</f>
        <v>1</v>
      </c>
      <c r="J19" s="15" t="str">
        <f aca="false">IF($A19="","",INDEX(c_EvtNames,$A19)&amp;"")</f>
        <v>Oct-25 Symposium</v>
      </c>
      <c r="K19" s="36" t="str">
        <f aca="false">IF($A19="","",INDEX(c_Invested,$A19)&amp;"")</f>
        <v>No</v>
      </c>
      <c r="L19" s="16" t="n">
        <f aca="false">IF($A19="","",IF(INDEX(c_AUM,$A19)="","",INDEX(c_AUM,$A19)))</f>
        <v>5000000</v>
      </c>
      <c r="M19" s="15" t="str">
        <f aca="false">IF($A19="","",INDEX(c_Source,$A19)&amp;"")</f>
        <v>Meeting List + ILP Data</v>
      </c>
      <c r="N19" s="15" t="str">
        <f aca="false">IF($A19="","",INDEX(c_Notes,$A19)&amp;"")</f>
        <v/>
      </c>
    </row>
    <row r="20" customFormat="false" ht="15" hidden="false" customHeight="false" outlineLevel="0" collapsed="false">
      <c r="A20" s="32" t="n">
        <f aca="false">IFERROR(MATCH(ROW()-5,c_Seq,0),"")</f>
        <v>15</v>
      </c>
      <c r="B20" s="11" t="str">
        <f aca="false">IF($A20="","",INDEX(c_Name,$A20)&amp;"")</f>
        <v>Mithun Malani</v>
      </c>
      <c r="C20" s="11" t="str">
        <f aca="false">IF($A20="","",INDEX(c_Firm,$A20)&amp;"")</f>
        <v>Financial Alliance</v>
      </c>
      <c r="D20" s="11" t="str">
        <f aca="false">IF($A20="","",INDEX(c_Type,$A20)&amp;"")</f>
        <v>Adviser</v>
      </c>
      <c r="E20" s="11" t="str">
        <f aca="false">IF($A20="","",INDEX(c_Email,$A20)&amp;"")</f>
        <v>mithunmalani@fapl.sg</v>
      </c>
      <c r="F20" s="34" t="str">
        <f aca="false">IF($A20="","",INDEX(c_Met,$A20)&amp;"")</f>
        <v>Yes</v>
      </c>
      <c r="G20" s="25" t="n">
        <f aca="false">IF($A20="","",IF(INDEX(c_Date,$A20)="","",INDEX(c_Date,$A20)))</f>
        <v>45965</v>
      </c>
      <c r="H20" s="33" t="n">
        <f aca="false">IF($A20="","",IF(INDEX(c_Days,$A20)="","",INDEX(c_Days,$A20)))</f>
        <v>276</v>
      </c>
      <c r="I20" s="40" t="n">
        <f aca="false">IF($A20="","",IF(INDEX(c_Mtgs,$A20)="","",INDEX(c_Mtgs,$A20)))</f>
        <v>1</v>
      </c>
      <c r="J20" s="11" t="str">
        <f aca="false">IF($A20="","",INDEX(c_EvtNames,$A20)&amp;"")</f>
        <v>May-26 Symposium</v>
      </c>
      <c r="K20" s="34" t="str">
        <f aca="false">IF($A20="","",INDEX(c_Invested,$A20)&amp;"")</f>
        <v>No</v>
      </c>
      <c r="L20" s="12" t="n">
        <f aca="false">IF($A20="","",IF(INDEX(c_AUM,$A20)="","",INDEX(c_AUM,$A20)))</f>
        <v>3000000</v>
      </c>
      <c r="M20" s="11" t="str">
        <f aca="false">IF($A20="","",INDEX(c_Source,$A20)&amp;"")</f>
        <v>Meeting List + ILP Data</v>
      </c>
      <c r="N20" s="11" t="str">
        <f aca="false">IF($A20="","",INDEX(c_Notes,$A20)&amp;"")</f>
        <v/>
      </c>
    </row>
    <row r="21" customFormat="false" ht="15" hidden="false" customHeight="false" outlineLevel="0" collapsed="false">
      <c r="A21" s="32" t="n">
        <f aca="false">IFERROR(MATCH(ROW()-5,c_Seq,0),"")</f>
        <v>16</v>
      </c>
      <c r="B21" s="15" t="str">
        <f aca="false">IF($A21="","",INDEX(c_Name,$A21)&amp;"")</f>
        <v>Nicholas Low</v>
      </c>
      <c r="C21" s="15" t="str">
        <f aca="false">IF($A21="","",INDEX(c_Firm,$A21)&amp;"")</f>
        <v>Financial Alliance</v>
      </c>
      <c r="D21" s="15" t="str">
        <f aca="false">IF($A21="","",INDEX(c_Type,$A21)&amp;"")</f>
        <v>Adviser</v>
      </c>
      <c r="E21" s="15" t="str">
        <f aca="false">IF($A21="","",INDEX(c_Email,$A21)&amp;"")</f>
        <v>lownicholas@fa.sg</v>
      </c>
      <c r="F21" s="36" t="str">
        <f aca="false">IF($A21="","",INDEX(c_Met,$A21)&amp;"")</f>
        <v>No</v>
      </c>
      <c r="G21" s="26" t="str">
        <f aca="false">IF($A21="","",IF(INDEX(c_Date,$A21)="","",INDEX(c_Date,$A21)))</f>
        <v/>
      </c>
      <c r="H21" s="35" t="str">
        <f aca="false">IF($A21="","",IF(INDEX(c_Days,$A21)="","",INDEX(c_Days,$A21)))</f>
        <v/>
      </c>
      <c r="I21" s="41" t="n">
        <f aca="false">IF($A21="","",IF(INDEX(c_Mtgs,$A21)="","",INDEX(c_Mtgs,$A21)))</f>
        <v>0</v>
      </c>
      <c r="J21" s="15" t="str">
        <f aca="false">IF($A21="","",INDEX(c_EvtNames,$A21)&amp;"")</f>
        <v>Oct-25 Symposium</v>
      </c>
      <c r="K21" s="36" t="str">
        <f aca="false">IF($A21="","",INDEX(c_Invested,$A21)&amp;"")</f>
        <v>No</v>
      </c>
      <c r="L21" s="16" t="str">
        <f aca="false">IF($A21="","",IF(INDEX(c_AUM,$A21)="","",INDEX(c_AUM,$A21)))</f>
        <v/>
      </c>
      <c r="M21" s="15" t="str">
        <f aca="false">IF($A21="","",INDEX(c_Source,$A21)&amp;"")</f>
        <v>Meeting List + ILP Data</v>
      </c>
      <c r="N21" s="15" t="str">
        <f aca="false">IF($A21="","",INDEX(c_Notes,$A21)&amp;"")</f>
        <v>May-26: email bounced back; ILP: Investment</v>
      </c>
    </row>
    <row r="22" customFormat="false" ht="15" hidden="false" customHeight="false" outlineLevel="0" collapsed="false">
      <c r="A22" s="32" t="n">
        <f aca="false">IFERROR(MATCH(ROW()-5,c_Seq,0),"")</f>
        <v>17</v>
      </c>
      <c r="B22" s="11" t="str">
        <f aca="false">IF($A22="","",INDEX(c_Name,$A22)&amp;"")</f>
        <v>Norman Ngai</v>
      </c>
      <c r="C22" s="11" t="str">
        <f aca="false">IF($A22="","",INDEX(c_Firm,$A22)&amp;"")</f>
        <v>Financial Alliance</v>
      </c>
      <c r="D22" s="11" t="str">
        <f aca="false">IF($A22="","",INDEX(c_Type,$A22)&amp;"")</f>
        <v>Adviser</v>
      </c>
      <c r="E22" s="11" t="str">
        <f aca="false">IF($A22="","",INDEX(c_Email,$A22)&amp;"")</f>
        <v>normanngai@fapl.sg</v>
      </c>
      <c r="F22" s="34" t="str">
        <f aca="false">IF($A22="","",INDEX(c_Met,$A22)&amp;"")</f>
        <v>Yes</v>
      </c>
      <c r="G22" s="25" t="n">
        <f aca="false">IF($A22="","",IF(INDEX(c_Date,$A22)="","",INDEX(c_Date,$A22)))</f>
        <v>46043</v>
      </c>
      <c r="H22" s="33" t="n">
        <f aca="false">IF($A22="","",IF(INDEX(c_Days,$A22)="","",INDEX(c_Days,$A22)))</f>
        <v>198</v>
      </c>
      <c r="I22" s="40" t="n">
        <f aca="false">IF($A22="","",IF(INDEX(c_Mtgs,$A22)="","",INDEX(c_Mtgs,$A22)))</f>
        <v>1</v>
      </c>
      <c r="J22" s="11" t="str">
        <f aca="false">IF($A22="","",INDEX(c_EvtNames,$A22)&amp;"")</f>
        <v/>
      </c>
      <c r="K22" s="34" t="str">
        <f aca="false">IF($A22="","",INDEX(c_Invested,$A22)&amp;"")</f>
        <v>No</v>
      </c>
      <c r="L22" s="12" t="n">
        <f aca="false">IF($A22="","",IF(INDEX(c_AUM,$A22)="","",INDEX(c_AUM,$A22)))</f>
        <v>5000000</v>
      </c>
      <c r="M22" s="11" t="str">
        <f aca="false">IF($A22="","",INDEX(c_Source,$A22)&amp;"")</f>
        <v>Meeting List + ILP Data</v>
      </c>
      <c r="N22" s="11" t="str">
        <f aca="false">IF($A22="","",INDEX(c_Notes,$A22)&amp;"")</f>
        <v/>
      </c>
    </row>
    <row r="23" customFormat="false" ht="15" hidden="false" customHeight="false" outlineLevel="0" collapsed="false">
      <c r="A23" s="32" t="n">
        <f aca="false">IFERROR(MATCH(ROW()-5,c_Seq,0),"")</f>
        <v>18</v>
      </c>
      <c r="B23" s="15" t="str">
        <f aca="false">IF($A23="","",INDEX(c_Name,$A23)&amp;"")</f>
        <v>Paul Chiam</v>
      </c>
      <c r="C23" s="15" t="str">
        <f aca="false">IF($A23="","",INDEX(c_Firm,$A23)&amp;"")</f>
        <v>Financial Alliance</v>
      </c>
      <c r="D23" s="15" t="str">
        <f aca="false">IF($A23="","",INDEX(c_Type,$A23)&amp;"")</f>
        <v>Adviser</v>
      </c>
      <c r="E23" s="15" t="str">
        <f aca="false">IF($A23="","",INDEX(c_Email,$A23)&amp;"")</f>
        <v>paulchiam@fapl.sg</v>
      </c>
      <c r="F23" s="36" t="str">
        <f aca="false">IF($A23="","",INDEX(c_Met,$A23)&amp;"")</f>
        <v>No</v>
      </c>
      <c r="G23" s="26" t="str">
        <f aca="false">IF($A23="","",IF(INDEX(c_Date,$A23)="","",INDEX(c_Date,$A23)))</f>
        <v/>
      </c>
      <c r="H23" s="35" t="str">
        <f aca="false">IF($A23="","",IF(INDEX(c_Days,$A23)="","",INDEX(c_Days,$A23)))</f>
        <v/>
      </c>
      <c r="I23" s="41" t="n">
        <f aca="false">IF($A23="","",IF(INDEX(c_Mtgs,$A23)="","",INDEX(c_Mtgs,$A23)))</f>
        <v>0</v>
      </c>
      <c r="J23" s="15" t="str">
        <f aca="false">IF($A23="","",INDEX(c_EvtNames,$A23)&amp;"")</f>
        <v>May-26 Symposium</v>
      </c>
      <c r="K23" s="36" t="str">
        <f aca="false">IF($A23="","",INDEX(c_Invested,$A23)&amp;"")</f>
        <v>No</v>
      </c>
      <c r="L23" s="16" t="str">
        <f aca="false">IF($A23="","",IF(INDEX(c_AUM,$A23)="","",INDEX(c_AUM,$A23)))</f>
        <v/>
      </c>
      <c r="M23" s="15" t="str">
        <f aca="false">IF($A23="","",INDEX(c_Source,$A23)&amp;"")</f>
        <v>Meeting List</v>
      </c>
      <c r="N23" s="15" t="str">
        <f aca="false">IF($A23="","",INDEX(c_Notes,$A23)&amp;"")</f>
        <v/>
      </c>
    </row>
    <row r="24" customFormat="false" ht="15" hidden="false" customHeight="false" outlineLevel="0" collapsed="false">
      <c r="A24" s="32" t="n">
        <f aca="false">IFERROR(MATCH(ROW()-5,c_Seq,0),"")</f>
        <v>19</v>
      </c>
      <c r="B24" s="11" t="str">
        <f aca="false">IF($A24="","",INDEX(c_Name,$A24)&amp;"")</f>
        <v>Raymund Ng</v>
      </c>
      <c r="C24" s="11" t="str">
        <f aca="false">IF($A24="","",INDEX(c_Firm,$A24)&amp;"")</f>
        <v>Financial Alliance</v>
      </c>
      <c r="D24" s="11" t="str">
        <f aca="false">IF($A24="","",INDEX(c_Type,$A24)&amp;"")</f>
        <v>Adviser</v>
      </c>
      <c r="E24" s="11" t="str">
        <f aca="false">IF($A24="","",INDEX(c_Email,$A24)&amp;"")</f>
        <v>raymundng@fapl.sg</v>
      </c>
      <c r="F24" s="34" t="str">
        <f aca="false">IF($A24="","",INDEX(c_Met,$A24)&amp;"")</f>
        <v>Yes</v>
      </c>
      <c r="G24" s="25" t="n">
        <f aca="false">IF($A24="","",IF(INDEX(c_Date,$A24)="","",INDEX(c_Date,$A24)))</f>
        <v>45829</v>
      </c>
      <c r="H24" s="33" t="n">
        <f aca="false">IF($A24="","",IF(INDEX(c_Days,$A24)="","",INDEX(c_Days,$A24)))</f>
        <v>412</v>
      </c>
      <c r="I24" s="40" t="n">
        <f aca="false">IF($A24="","",IF(INDEX(c_Mtgs,$A24)="","",INDEX(c_Mtgs,$A24)))</f>
        <v>1</v>
      </c>
      <c r="J24" s="11" t="str">
        <f aca="false">IF($A24="","",INDEX(c_EvtNames,$A24)&amp;"")</f>
        <v/>
      </c>
      <c r="K24" s="34" t="str">
        <f aca="false">IF($A24="","",INDEX(c_Invested,$A24)&amp;"")</f>
        <v>Yes</v>
      </c>
      <c r="L24" s="12" t="n">
        <f aca="false">IF($A24="","",IF(INDEX(c_AUM,$A24)="","",INDEX(c_AUM,$A24)))</f>
        <v>5000000</v>
      </c>
      <c r="M24" s="11" t="str">
        <f aca="false">IF($A24="","",INDEX(c_Source,$A24)&amp;"")</f>
        <v>Meeting List + ILP Data</v>
      </c>
      <c r="N24" s="11" t="str">
        <f aca="false">IF($A24="","",INDEX(c_Notes,$A24)&amp;"")</f>
        <v>May-26: not available</v>
      </c>
    </row>
    <row r="25" customFormat="false" ht="15" hidden="false" customHeight="false" outlineLevel="0" collapsed="false">
      <c r="A25" s="32" t="n">
        <f aca="false">IFERROR(MATCH(ROW()-5,c_Seq,0),"")</f>
        <v>20</v>
      </c>
      <c r="B25" s="15" t="str">
        <f aca="false">IF($A25="","",INDEX(c_Name,$A25)&amp;"")</f>
        <v>Riyaz Tadjoudine</v>
      </c>
      <c r="C25" s="15" t="str">
        <f aca="false">IF($A25="","",INDEX(c_Firm,$A25)&amp;"")</f>
        <v>Financial Alliance</v>
      </c>
      <c r="D25" s="15" t="str">
        <f aca="false">IF($A25="","",INDEX(c_Type,$A25)&amp;"")</f>
        <v>Adviser</v>
      </c>
      <c r="E25" s="15" t="str">
        <f aca="false">IF($A25="","",INDEX(c_Email,$A25)&amp;"")</f>
        <v>riyazahmad@fa.sg</v>
      </c>
      <c r="F25" s="36" t="str">
        <f aca="false">IF($A25="","",INDEX(c_Met,$A25)&amp;"")</f>
        <v>No</v>
      </c>
      <c r="G25" s="26" t="str">
        <f aca="false">IF($A25="","",IF(INDEX(c_Date,$A25)="","",INDEX(c_Date,$A25)))</f>
        <v/>
      </c>
      <c r="H25" s="35" t="str">
        <f aca="false">IF($A25="","",IF(INDEX(c_Days,$A25)="","",INDEX(c_Days,$A25)))</f>
        <v/>
      </c>
      <c r="I25" s="41" t="n">
        <f aca="false">IF($A25="","",IF(INDEX(c_Mtgs,$A25)="","",INDEX(c_Mtgs,$A25)))</f>
        <v>0</v>
      </c>
      <c r="J25" s="15" t="str">
        <f aca="false">IF($A25="","",INDEX(c_EvtNames,$A25)&amp;"")</f>
        <v>Oct-25 Symposium, May-26 Symposium</v>
      </c>
      <c r="K25" s="36" t="str">
        <f aca="false">IF($A25="","",INDEX(c_Invested,$A25)&amp;"")</f>
        <v>No</v>
      </c>
      <c r="L25" s="16" t="str">
        <f aca="false">IF($A25="","",IF(INDEX(c_AUM,$A25)="","",INDEX(c_AUM,$A25)))</f>
        <v/>
      </c>
      <c r="M25" s="15" t="str">
        <f aca="false">IF($A25="","",INDEX(c_Source,$A25)&amp;"")</f>
        <v>Meeting List + ILP Data</v>
      </c>
      <c r="N25" s="15" t="str">
        <f aca="false">IF($A25="","",INDEX(c_Notes,$A25)&amp;"")</f>
        <v>ILP: Investment</v>
      </c>
    </row>
    <row r="26" customFormat="false" ht="15" hidden="false" customHeight="false" outlineLevel="0" collapsed="false">
      <c r="A26" s="32" t="n">
        <f aca="false">IFERROR(MATCH(ROW()-5,c_Seq,0),"")</f>
        <v>21</v>
      </c>
      <c r="B26" s="11" t="str">
        <f aca="false">IF($A26="","",INDEX(c_Name,$A26)&amp;"")</f>
        <v>Sani Amid</v>
      </c>
      <c r="C26" s="11" t="str">
        <f aca="false">IF($A26="","",INDEX(c_Firm,$A26)&amp;"")</f>
        <v>Financial Alliance</v>
      </c>
      <c r="D26" s="11" t="str">
        <f aca="false">IF($A26="","",INDEX(c_Type,$A26)&amp;"")</f>
        <v>Adviser</v>
      </c>
      <c r="E26" s="11" t="str">
        <f aca="false">IF($A26="","",INDEX(c_Email,$A26)&amp;"")</f>
        <v>sanihamid@fa.sg</v>
      </c>
      <c r="F26" s="34" t="str">
        <f aca="false">IF($A26="","",INDEX(c_Met,$A26)&amp;"")</f>
        <v>Yes</v>
      </c>
      <c r="G26" s="25" t="n">
        <f aca="false">IF($A26="","",IF(INDEX(c_Date,$A26)="","",INDEX(c_Date,$A26)))</f>
        <v>45819</v>
      </c>
      <c r="H26" s="33" t="n">
        <f aca="false">IF($A26="","",IF(INDEX(c_Days,$A26)="","",INDEX(c_Days,$A26)))</f>
        <v>422</v>
      </c>
      <c r="I26" s="40" t="n">
        <f aca="false">IF($A26="","",IF(INDEX(c_Mtgs,$A26)="","",INDEX(c_Mtgs,$A26)))</f>
        <v>1</v>
      </c>
      <c r="J26" s="11" t="str">
        <f aca="false">IF($A26="","",INDEX(c_EvtNames,$A26)&amp;"")</f>
        <v>Oct-25 Symposium</v>
      </c>
      <c r="K26" s="34" t="str">
        <f aca="false">IF($A26="","",INDEX(c_Invested,$A26)&amp;"")</f>
        <v>No</v>
      </c>
      <c r="L26" s="12" t="str">
        <f aca="false">IF($A26="","",IF(INDEX(c_AUM,$A26)="","",INDEX(c_AUM,$A26)))</f>
        <v/>
      </c>
      <c r="M26" s="11" t="str">
        <f aca="false">IF($A26="","",INDEX(c_Source,$A26)&amp;"")</f>
        <v>Meeting List + ILP Data</v>
      </c>
      <c r="N26" s="11" t="str">
        <f aca="false">IF($A26="","",INDEX(c_Notes,$A26)&amp;"")</f>
        <v>May-26: not available; ILP: Investment</v>
      </c>
    </row>
    <row r="27" customFormat="false" ht="15" hidden="false" customHeight="false" outlineLevel="0" collapsed="false">
      <c r="A27" s="32" t="n">
        <f aca="false">IFERROR(MATCH(ROW()-5,c_Seq,0),"")</f>
        <v>22</v>
      </c>
      <c r="B27" s="15" t="str">
        <f aca="false">IF($A27="","",INDEX(c_Name,$A27)&amp;"")</f>
        <v>Sofan Tan</v>
      </c>
      <c r="C27" s="15" t="str">
        <f aca="false">IF($A27="","",INDEX(c_Firm,$A27)&amp;"")</f>
        <v>Financial Alliance</v>
      </c>
      <c r="D27" s="15" t="str">
        <f aca="false">IF($A27="","",INDEX(c_Type,$A27)&amp;"")</f>
        <v>Adviser</v>
      </c>
      <c r="E27" s="15" t="str">
        <f aca="false">IF($A27="","",INDEX(c_Email,$A27)&amp;"")</f>
        <v>sofantan@fapl.sg</v>
      </c>
      <c r="F27" s="36" t="str">
        <f aca="false">IF($A27="","",INDEX(c_Met,$A27)&amp;"")</f>
        <v>No</v>
      </c>
      <c r="G27" s="26" t="str">
        <f aca="false">IF($A27="","",IF(INDEX(c_Date,$A27)="","",INDEX(c_Date,$A27)))</f>
        <v/>
      </c>
      <c r="H27" s="35" t="str">
        <f aca="false">IF($A27="","",IF(INDEX(c_Days,$A27)="","",INDEX(c_Days,$A27)))</f>
        <v/>
      </c>
      <c r="I27" s="41" t="n">
        <f aca="false">IF($A27="","",IF(INDEX(c_Mtgs,$A27)="","",INDEX(c_Mtgs,$A27)))</f>
        <v>0</v>
      </c>
      <c r="J27" s="15" t="str">
        <f aca="false">IF($A27="","",INDEX(c_EvtNames,$A27)&amp;"")</f>
        <v/>
      </c>
      <c r="K27" s="36" t="str">
        <f aca="false">IF($A27="","",INDEX(c_Invested,$A27)&amp;"")</f>
        <v>No</v>
      </c>
      <c r="L27" s="16" t="str">
        <f aca="false">IF($A27="","",IF(INDEX(c_AUM,$A27)="","",INDEX(c_AUM,$A27)))</f>
        <v/>
      </c>
      <c r="M27" s="15" t="str">
        <f aca="false">IF($A27="","",INDEX(c_Source,$A27)&amp;"")</f>
        <v>Meeting List</v>
      </c>
      <c r="N27" s="15" t="str">
        <f aca="false">IF($A27="","",INDEX(c_Notes,$A27)&amp;"")</f>
        <v/>
      </c>
    </row>
    <row r="28" customFormat="false" ht="15" hidden="false" customHeight="false" outlineLevel="0" collapsed="false">
      <c r="A28" s="32" t="n">
        <f aca="false">IFERROR(MATCH(ROW()-5,c_Seq,0),"")</f>
        <v>23</v>
      </c>
      <c r="B28" s="11" t="str">
        <f aca="false">IF($A28="","",INDEX(c_Name,$A28)&amp;"")</f>
        <v>Susan Au Yeong</v>
      </c>
      <c r="C28" s="11" t="str">
        <f aca="false">IF($A28="","",INDEX(c_Firm,$A28)&amp;"")</f>
        <v>Financial Alliance</v>
      </c>
      <c r="D28" s="11" t="str">
        <f aca="false">IF($A28="","",INDEX(c_Type,$A28)&amp;"")</f>
        <v>Adviser</v>
      </c>
      <c r="E28" s="11" t="str">
        <f aca="false">IF($A28="","",INDEX(c_Email,$A28)&amp;"")</f>
        <v>susanauyeong@fapl.sg</v>
      </c>
      <c r="F28" s="34" t="str">
        <f aca="false">IF($A28="","",INDEX(c_Met,$A28)&amp;"")</f>
        <v>No</v>
      </c>
      <c r="G28" s="25" t="str">
        <f aca="false">IF($A28="","",IF(INDEX(c_Date,$A28)="","",INDEX(c_Date,$A28)))</f>
        <v/>
      </c>
      <c r="H28" s="33" t="str">
        <f aca="false">IF($A28="","",IF(INDEX(c_Days,$A28)="","",INDEX(c_Days,$A28)))</f>
        <v/>
      </c>
      <c r="I28" s="40" t="n">
        <f aca="false">IF($A28="","",IF(INDEX(c_Mtgs,$A28)="","",INDEX(c_Mtgs,$A28)))</f>
        <v>0</v>
      </c>
      <c r="J28" s="11" t="str">
        <f aca="false">IF($A28="","",INDEX(c_EvtNames,$A28)&amp;"")</f>
        <v>May-26 Symposium</v>
      </c>
      <c r="K28" s="34" t="str">
        <f aca="false">IF($A28="","",INDEX(c_Invested,$A28)&amp;"")</f>
        <v>No</v>
      </c>
      <c r="L28" s="12" t="str">
        <f aca="false">IF($A28="","",IF(INDEX(c_AUM,$A28)="","",INDEX(c_AUM,$A28)))</f>
        <v/>
      </c>
      <c r="M28" s="11" t="str">
        <f aca="false">IF($A28="","",INDEX(c_Source,$A28)&amp;"")</f>
        <v>Meeting List</v>
      </c>
      <c r="N28" s="11" t="str">
        <f aca="false">IF($A28="","",INDEX(c_Notes,$A28)&amp;"")</f>
        <v/>
      </c>
    </row>
    <row r="29" customFormat="false" ht="15" hidden="false" customHeight="false" outlineLevel="0" collapsed="false">
      <c r="A29" s="32" t="n">
        <f aca="false">IFERROR(MATCH(ROW()-5,c_Seq,0),"")</f>
        <v>24</v>
      </c>
      <c r="B29" s="15" t="str">
        <f aca="false">IF($A29="","",INDEX(c_Name,$A29)&amp;"")</f>
        <v>Thomas Ong Cheow Siang</v>
      </c>
      <c r="C29" s="15" t="str">
        <f aca="false">IF($A29="","",INDEX(c_Firm,$A29)&amp;"")</f>
        <v>Financial Alliance</v>
      </c>
      <c r="D29" s="15" t="str">
        <f aca="false">IF($A29="","",INDEX(c_Type,$A29)&amp;"")</f>
        <v>Adviser</v>
      </c>
      <c r="E29" s="15" t="str">
        <f aca="false">IF($A29="","",INDEX(c_Email,$A29)&amp;"")</f>
        <v>thomasong@fapl.sg</v>
      </c>
      <c r="F29" s="36" t="str">
        <f aca="false">IF($A29="","",INDEX(c_Met,$A29)&amp;"")</f>
        <v>No</v>
      </c>
      <c r="G29" s="26" t="str">
        <f aca="false">IF($A29="","",IF(INDEX(c_Date,$A29)="","",INDEX(c_Date,$A29)))</f>
        <v/>
      </c>
      <c r="H29" s="35" t="str">
        <f aca="false">IF($A29="","",IF(INDEX(c_Days,$A29)="","",INDEX(c_Days,$A29)))</f>
        <v/>
      </c>
      <c r="I29" s="41" t="n">
        <f aca="false">IF($A29="","",IF(INDEX(c_Mtgs,$A29)="","",INDEX(c_Mtgs,$A29)))</f>
        <v>0</v>
      </c>
      <c r="J29" s="15" t="str">
        <f aca="false">IF($A29="","",INDEX(c_EvtNames,$A29)&amp;"")</f>
        <v>May-26 Symposium</v>
      </c>
      <c r="K29" s="36" t="str">
        <f aca="false">IF($A29="","",INDEX(c_Invested,$A29)&amp;"")</f>
        <v>No</v>
      </c>
      <c r="L29" s="16" t="str">
        <f aca="false">IF($A29="","",IF(INDEX(c_AUM,$A29)="","",INDEX(c_AUM,$A29)))</f>
        <v/>
      </c>
      <c r="M29" s="15" t="str">
        <f aca="false">IF($A29="","",INDEX(c_Source,$A29)&amp;"")</f>
        <v>Meeting List</v>
      </c>
      <c r="N29" s="15" t="str">
        <f aca="false">IF($A29="","",INDEX(c_Notes,$A29)&amp;"")</f>
        <v/>
      </c>
    </row>
    <row r="30" customFormat="false" ht="15" hidden="false" customHeight="false" outlineLevel="0" collapsed="false">
      <c r="A30" s="32" t="n">
        <f aca="false">IFERROR(MATCH(ROW()-5,c_Seq,0),"")</f>
        <v>25</v>
      </c>
      <c r="B30" s="11" t="str">
        <f aca="false">IF($A30="","",INDEX(c_Name,$A30)&amp;"")</f>
        <v>Toh Hung Jui</v>
      </c>
      <c r="C30" s="11" t="str">
        <f aca="false">IF($A30="","",INDEX(c_Firm,$A30)&amp;"")</f>
        <v>Financial Alliance</v>
      </c>
      <c r="D30" s="11" t="str">
        <f aca="false">IF($A30="","",INDEX(c_Type,$A30)&amp;"")</f>
        <v>Adviser</v>
      </c>
      <c r="E30" s="11" t="str">
        <f aca="false">IF($A30="","",INDEX(c_Email,$A30)&amp;"")</f>
        <v>tohhungjui@fapl.sg</v>
      </c>
      <c r="F30" s="34" t="str">
        <f aca="false">IF($A30="","",INDEX(c_Met,$A30)&amp;"")</f>
        <v>No</v>
      </c>
      <c r="G30" s="25" t="str">
        <f aca="false">IF($A30="","",IF(INDEX(c_Date,$A30)="","",INDEX(c_Date,$A30)))</f>
        <v/>
      </c>
      <c r="H30" s="33" t="str">
        <f aca="false">IF($A30="","",IF(INDEX(c_Days,$A30)="","",INDEX(c_Days,$A30)))</f>
        <v/>
      </c>
      <c r="I30" s="40" t="n">
        <f aca="false">IF($A30="","",IF(INDEX(c_Mtgs,$A30)="","",INDEX(c_Mtgs,$A30)))</f>
        <v>0</v>
      </c>
      <c r="J30" s="11" t="str">
        <f aca="false">IF($A30="","",INDEX(c_EvtNames,$A30)&amp;"")</f>
        <v>May-26 Symposium</v>
      </c>
      <c r="K30" s="34" t="str">
        <f aca="false">IF($A30="","",INDEX(c_Invested,$A30)&amp;"")</f>
        <v>No</v>
      </c>
      <c r="L30" s="12" t="str">
        <f aca="false">IF($A30="","",IF(INDEX(c_AUM,$A30)="","",INDEX(c_AUM,$A30)))</f>
        <v/>
      </c>
      <c r="M30" s="11" t="str">
        <f aca="false">IF($A30="","",INDEX(c_Source,$A30)&amp;"")</f>
        <v>Meeting List</v>
      </c>
      <c r="N30" s="11" t="str">
        <f aca="false">IF($A30="","",INDEX(c_Notes,$A30)&amp;"")</f>
        <v/>
      </c>
    </row>
    <row r="31" customFormat="false" ht="15" hidden="false" customHeight="false" outlineLevel="0" collapsed="false">
      <c r="A31" s="32" t="n">
        <f aca="false">IFERROR(MATCH(ROW()-5,c_Seq,0),"")</f>
        <v>26</v>
      </c>
      <c r="B31" s="15" t="str">
        <f aca="false">IF($A31="","",INDEX(c_Name,$A31)&amp;"")</f>
        <v>Winston Tyo</v>
      </c>
      <c r="C31" s="15" t="str">
        <f aca="false">IF($A31="","",INDEX(c_Firm,$A31)&amp;"")</f>
        <v>Financial Alliance</v>
      </c>
      <c r="D31" s="15" t="str">
        <f aca="false">IF($A31="","",INDEX(c_Type,$A31)&amp;"")</f>
        <v>Adviser</v>
      </c>
      <c r="E31" s="15" t="str">
        <f aca="false">IF($A31="","",INDEX(c_Email,$A31)&amp;"")</f>
        <v>winstontyo@fapl.sg</v>
      </c>
      <c r="F31" s="36" t="str">
        <f aca="false">IF($A31="","",INDEX(c_Met,$A31)&amp;"")</f>
        <v>No</v>
      </c>
      <c r="G31" s="26" t="str">
        <f aca="false">IF($A31="","",IF(INDEX(c_Date,$A31)="","",INDEX(c_Date,$A31)))</f>
        <v/>
      </c>
      <c r="H31" s="35" t="str">
        <f aca="false">IF($A31="","",IF(INDEX(c_Days,$A31)="","",INDEX(c_Days,$A31)))</f>
        <v/>
      </c>
      <c r="I31" s="41" t="n">
        <f aca="false">IF($A31="","",IF(INDEX(c_Mtgs,$A31)="","",INDEX(c_Mtgs,$A31)))</f>
        <v>0</v>
      </c>
      <c r="J31" s="15" t="str">
        <f aca="false">IF($A31="","",INDEX(c_EvtNames,$A31)&amp;"")</f>
        <v>May-26 Symposium</v>
      </c>
      <c r="K31" s="36" t="str">
        <f aca="false">IF($A31="","",INDEX(c_Invested,$A31)&amp;"")</f>
        <v>No</v>
      </c>
      <c r="L31" s="16" t="str">
        <f aca="false">IF($A31="","",IF(INDEX(c_AUM,$A31)="","",INDEX(c_AUM,$A31)))</f>
        <v/>
      </c>
      <c r="M31" s="15" t="str">
        <f aca="false">IF($A31="","",INDEX(c_Source,$A31)&amp;"")</f>
        <v>Meeting List</v>
      </c>
      <c r="N31" s="15" t="str">
        <f aca="false">IF($A31="","",INDEX(c_Notes,$A31)&amp;"")</f>
        <v/>
      </c>
    </row>
    <row r="32" customFormat="false" ht="15" hidden="false" customHeight="false" outlineLevel="0" collapsed="false">
      <c r="A32" s="32" t="n">
        <f aca="false">IFERROR(MATCH(ROW()-5,c_Seq,0),"")</f>
        <v>27</v>
      </c>
      <c r="B32" s="11" t="str">
        <f aca="false">IF($A32="","",INDEX(c_Name,$A32)&amp;"")</f>
        <v>Ada Huang</v>
      </c>
      <c r="C32" s="11" t="str">
        <f aca="false">IF($A32="","",INDEX(c_Firm,$A32)&amp;"")</f>
        <v>Finexis Advisory</v>
      </c>
      <c r="D32" s="11" t="str">
        <f aca="false">IF($A32="","",INDEX(c_Type,$A32)&amp;"")</f>
        <v>Branch Director</v>
      </c>
      <c r="E32" s="11" t="str">
        <f aca="false">IF($A32="","",INDEX(c_Email,$A32)&amp;"")</f>
        <v/>
      </c>
      <c r="F32" s="34" t="str">
        <f aca="false">IF($A32="","",INDEX(c_Met,$A32)&amp;"")</f>
        <v>No</v>
      </c>
      <c r="G32" s="25" t="str">
        <f aca="false">IF($A32="","",IF(INDEX(c_Date,$A32)="","",INDEX(c_Date,$A32)))</f>
        <v/>
      </c>
      <c r="H32" s="33" t="str">
        <f aca="false">IF($A32="","",IF(INDEX(c_Days,$A32)="","",INDEX(c_Days,$A32)))</f>
        <v/>
      </c>
      <c r="I32" s="40" t="n">
        <f aca="false">IF($A32="","",IF(INDEX(c_Mtgs,$A32)="","",INDEX(c_Mtgs,$A32)))</f>
        <v>0</v>
      </c>
      <c r="J32" s="11" t="str">
        <f aca="false">IF($A32="","",INDEX(c_EvtNames,$A32)&amp;"")</f>
        <v/>
      </c>
      <c r="K32" s="34" t="str">
        <f aca="false">IF($A32="","",INDEX(c_Invested,$A32)&amp;"")</f>
        <v>No</v>
      </c>
      <c r="L32" s="12" t="str">
        <f aca="false">IF($A32="","",IF(INDEX(c_AUM,$A32)="","",INDEX(c_AUM,$A32)))</f>
        <v/>
      </c>
      <c r="M32" s="11" t="str">
        <f aca="false">IF($A32="","",INDEX(c_Source,$A32)&amp;"")</f>
        <v>Branch Directors</v>
      </c>
      <c r="N32" s="11" t="str">
        <f aca="false">IF($A32="","",INDEX(c_Notes,$A32)&amp;"")</f>
        <v>https://www.linkedin.com/in/tvivianhuang/</v>
      </c>
    </row>
    <row r="33" customFormat="false" ht="15" hidden="false" customHeight="false" outlineLevel="0" collapsed="false">
      <c r="A33" s="32" t="n">
        <f aca="false">IFERROR(MATCH(ROW()-5,c_Seq,0),"")</f>
        <v>28</v>
      </c>
      <c r="B33" s="15" t="str">
        <f aca="false">IF($A33="","",INDEX(c_Name,$A33)&amp;"")</f>
        <v>Amanda Tan</v>
      </c>
      <c r="C33" s="15" t="str">
        <f aca="false">IF($A33="","",INDEX(c_Firm,$A33)&amp;"")</f>
        <v>Finexis Advisory</v>
      </c>
      <c r="D33" s="15" t="str">
        <f aca="false">IF($A33="","",INDEX(c_Type,$A33)&amp;"")</f>
        <v>Branch Director</v>
      </c>
      <c r="E33" s="15" t="str">
        <f aca="false">IF($A33="","",INDEX(c_Email,$A33)&amp;"")</f>
        <v/>
      </c>
      <c r="F33" s="36" t="str">
        <f aca="false">IF($A33="","",INDEX(c_Met,$A33)&amp;"")</f>
        <v>No</v>
      </c>
      <c r="G33" s="26" t="str">
        <f aca="false">IF($A33="","",IF(INDEX(c_Date,$A33)="","",INDEX(c_Date,$A33)))</f>
        <v/>
      </c>
      <c r="H33" s="35" t="str">
        <f aca="false">IF($A33="","",IF(INDEX(c_Days,$A33)="","",INDEX(c_Days,$A33)))</f>
        <v/>
      </c>
      <c r="I33" s="41" t="n">
        <f aca="false">IF($A33="","",IF(INDEX(c_Mtgs,$A33)="","",INDEX(c_Mtgs,$A33)))</f>
        <v>0</v>
      </c>
      <c r="J33" s="15" t="str">
        <f aca="false">IF($A33="","",INDEX(c_EvtNames,$A33)&amp;"")</f>
        <v/>
      </c>
      <c r="K33" s="36" t="str">
        <f aca="false">IF($A33="","",INDEX(c_Invested,$A33)&amp;"")</f>
        <v>No</v>
      </c>
      <c r="L33" s="16" t="str">
        <f aca="false">IF($A33="","",IF(INDEX(c_AUM,$A33)="","",INDEX(c_AUM,$A33)))</f>
        <v/>
      </c>
      <c r="M33" s="15" t="str">
        <f aca="false">IF($A33="","",INDEX(c_Source,$A33)&amp;"")</f>
        <v>Branch Directors</v>
      </c>
      <c r="N33" s="15" t="str">
        <f aca="false">IF($A33="","",INDEX(c_Notes,$A33)&amp;"")</f>
        <v>https://www.linkedin.com/in/amanda-tan-36799498/</v>
      </c>
    </row>
    <row r="34" customFormat="false" ht="15" hidden="false" customHeight="false" outlineLevel="0" collapsed="false">
      <c r="A34" s="32" t="n">
        <f aca="false">IFERROR(MATCH(ROW()-5,c_Seq,0),"")</f>
        <v>29</v>
      </c>
      <c r="B34" s="11" t="str">
        <f aca="false">IF($A34="","",INDEX(c_Name,$A34)&amp;"")</f>
        <v>Amanda Yeo</v>
      </c>
      <c r="C34" s="11" t="str">
        <f aca="false">IF($A34="","",INDEX(c_Firm,$A34)&amp;"")</f>
        <v>Finexis Advisory</v>
      </c>
      <c r="D34" s="11" t="str">
        <f aca="false">IF($A34="","",INDEX(c_Type,$A34)&amp;"")</f>
        <v>Adviser</v>
      </c>
      <c r="E34" s="11" t="str">
        <f aca="false">IF($A34="","",INDEX(c_Email,$A34)&amp;"")</f>
        <v>amanda.yeo@finexis.com.sg</v>
      </c>
      <c r="F34" s="34" t="str">
        <f aca="false">IF($A34="","",INDEX(c_Met,$A34)&amp;"")</f>
        <v>Yes</v>
      </c>
      <c r="G34" s="25" t="n">
        <f aca="false">IF($A34="","",IF(INDEX(c_Date,$A34)="","",INDEX(c_Date,$A34)))</f>
        <v>45992</v>
      </c>
      <c r="H34" s="33" t="n">
        <f aca="false">IF($A34="","",IF(INDEX(c_Days,$A34)="","",INDEX(c_Days,$A34)))</f>
        <v>249</v>
      </c>
      <c r="I34" s="40" t="n">
        <f aca="false">IF($A34="","",IF(INDEX(c_Mtgs,$A34)="","",INDEX(c_Mtgs,$A34)))</f>
        <v>1</v>
      </c>
      <c r="J34" s="11" t="str">
        <f aca="false">IF($A34="","",INDEX(c_EvtNames,$A34)&amp;"")</f>
        <v>Oct-25 Symposium, May-26 Symposium</v>
      </c>
      <c r="K34" s="34" t="str">
        <f aca="false">IF($A34="","",INDEX(c_Invested,$A34)&amp;"")</f>
        <v>No</v>
      </c>
      <c r="L34" s="12" t="n">
        <f aca="false">IF($A34="","",IF(INDEX(c_AUM,$A34)="","",INDEX(c_AUM,$A34)))</f>
        <v>40000000</v>
      </c>
      <c r="M34" s="11" t="str">
        <f aca="false">IF($A34="","",INDEX(c_Source,$A34)&amp;"")</f>
        <v>Meeting List + ILP Data</v>
      </c>
      <c r="N34" s="11" t="str">
        <f aca="false">IF($A34="","",INDEX(c_Notes,$A34)&amp;"")</f>
        <v/>
      </c>
    </row>
    <row r="35" customFormat="false" ht="15" hidden="false" customHeight="false" outlineLevel="0" collapsed="false">
      <c r="A35" s="32" t="n">
        <f aca="false">IFERROR(MATCH(ROW()-5,c_Seq,0),"")</f>
        <v>30</v>
      </c>
      <c r="B35" s="15" t="str">
        <f aca="false">IF($A35="","",INDEX(c_Name,$A35)&amp;"")</f>
        <v>Anton Chua</v>
      </c>
      <c r="C35" s="15" t="str">
        <f aca="false">IF($A35="","",INDEX(c_Firm,$A35)&amp;"")</f>
        <v>Finexis Advisory</v>
      </c>
      <c r="D35" s="15" t="str">
        <f aca="false">IF($A35="","",INDEX(c_Type,$A35)&amp;"")</f>
        <v>Branch Director</v>
      </c>
      <c r="E35" s="15" t="str">
        <f aca="false">IF($A35="","",INDEX(c_Email,$A35)&amp;"")</f>
        <v/>
      </c>
      <c r="F35" s="36" t="str">
        <f aca="false">IF($A35="","",INDEX(c_Met,$A35)&amp;"")</f>
        <v>No</v>
      </c>
      <c r="G35" s="26" t="str">
        <f aca="false">IF($A35="","",IF(INDEX(c_Date,$A35)="","",INDEX(c_Date,$A35)))</f>
        <v/>
      </c>
      <c r="H35" s="35" t="str">
        <f aca="false">IF($A35="","",IF(INDEX(c_Days,$A35)="","",INDEX(c_Days,$A35)))</f>
        <v/>
      </c>
      <c r="I35" s="41" t="n">
        <f aca="false">IF($A35="","",IF(INDEX(c_Mtgs,$A35)="","",INDEX(c_Mtgs,$A35)))</f>
        <v>0</v>
      </c>
      <c r="J35" s="15" t="str">
        <f aca="false">IF($A35="","",INDEX(c_EvtNames,$A35)&amp;"")</f>
        <v/>
      </c>
      <c r="K35" s="36" t="str">
        <f aca="false">IF($A35="","",INDEX(c_Invested,$A35)&amp;"")</f>
        <v>No</v>
      </c>
      <c r="L35" s="16" t="str">
        <f aca="false">IF($A35="","",IF(INDEX(c_AUM,$A35)="","",INDEX(c_AUM,$A35)))</f>
        <v/>
      </c>
      <c r="M35" s="15" t="str">
        <f aca="false">IF($A35="","",INDEX(c_Source,$A35)&amp;"")</f>
        <v>Branch Directors</v>
      </c>
      <c r="N35" s="15" t="str">
        <f aca="false">IF($A35="","",INDEX(c_Notes,$A35)&amp;"")</f>
        <v>Branch: Acorn Wealth</v>
      </c>
    </row>
    <row r="36" customFormat="false" ht="15" hidden="false" customHeight="false" outlineLevel="0" collapsed="false">
      <c r="A36" s="32" t="n">
        <f aca="false">IFERROR(MATCH(ROW()-5,c_Seq,0),"")</f>
        <v>31</v>
      </c>
      <c r="B36" s="11" t="str">
        <f aca="false">IF($A36="","",INDEX(c_Name,$A36)&amp;"")</f>
        <v>Ben Pua</v>
      </c>
      <c r="C36" s="11" t="str">
        <f aca="false">IF($A36="","",INDEX(c_Firm,$A36)&amp;"")</f>
        <v>Finexis Advisory</v>
      </c>
      <c r="D36" s="11" t="str">
        <f aca="false">IF($A36="","",INDEX(c_Type,$A36)&amp;"")</f>
        <v>Adviser</v>
      </c>
      <c r="E36" s="11" t="str">
        <f aca="false">IF($A36="","",INDEX(c_Email,$A36)&amp;"")</f>
        <v>ben.pua@finexis.com.sg</v>
      </c>
      <c r="F36" s="34" t="str">
        <f aca="false">IF($A36="","",INDEX(c_Met,$A36)&amp;"")</f>
        <v>No</v>
      </c>
      <c r="G36" s="25" t="str">
        <f aca="false">IF($A36="","",IF(INDEX(c_Date,$A36)="","",INDEX(c_Date,$A36)))</f>
        <v/>
      </c>
      <c r="H36" s="33" t="str">
        <f aca="false">IF($A36="","",IF(INDEX(c_Days,$A36)="","",INDEX(c_Days,$A36)))</f>
        <v/>
      </c>
      <c r="I36" s="40" t="n">
        <f aca="false">IF($A36="","",IF(INDEX(c_Mtgs,$A36)="","",INDEX(c_Mtgs,$A36)))</f>
        <v>0</v>
      </c>
      <c r="J36" s="11" t="str">
        <f aca="false">IF($A36="","",INDEX(c_EvtNames,$A36)&amp;"")</f>
        <v>May-26 Symposium</v>
      </c>
      <c r="K36" s="34" t="str">
        <f aca="false">IF($A36="","",INDEX(c_Invested,$A36)&amp;"")</f>
        <v>No</v>
      </c>
      <c r="L36" s="12" t="str">
        <f aca="false">IF($A36="","",IF(INDEX(c_AUM,$A36)="","",INDEX(c_AUM,$A36)))</f>
        <v/>
      </c>
      <c r="M36" s="11" t="str">
        <f aca="false">IF($A36="","",INDEX(c_Source,$A36)&amp;"")</f>
        <v>Meeting List</v>
      </c>
      <c r="N36" s="11" t="str">
        <f aca="false">IF($A36="","",INDEX(c_Notes,$A36)&amp;"")</f>
        <v/>
      </c>
    </row>
    <row r="37" customFormat="false" ht="15" hidden="false" customHeight="false" outlineLevel="0" collapsed="false">
      <c r="A37" s="32" t="n">
        <f aca="false">IFERROR(MATCH(ROW()-5,c_Seq,0),"")</f>
        <v>32</v>
      </c>
      <c r="B37" s="15" t="str">
        <f aca="false">IF($A37="","",INDEX(c_Name,$A37)&amp;"")</f>
        <v>Benedict Chua</v>
      </c>
      <c r="C37" s="15" t="str">
        <f aca="false">IF($A37="","",INDEX(c_Firm,$A37)&amp;"")</f>
        <v>Finexis Advisory</v>
      </c>
      <c r="D37" s="15" t="str">
        <f aca="false">IF($A37="","",INDEX(c_Type,$A37)&amp;"")</f>
        <v>Adviser</v>
      </c>
      <c r="E37" s="15" t="str">
        <f aca="false">IF($A37="","",INDEX(c_Email,$A37)&amp;"")</f>
        <v>benedict.chua@finexis.com.sg</v>
      </c>
      <c r="F37" s="36" t="str">
        <f aca="false">IF($A37="","",INDEX(c_Met,$A37)&amp;"")</f>
        <v>Yes</v>
      </c>
      <c r="G37" s="26" t="n">
        <f aca="false">IF($A37="","",IF(INDEX(c_Date,$A37)="","",INDEX(c_Date,$A37)))</f>
        <v>46007</v>
      </c>
      <c r="H37" s="35" t="n">
        <f aca="false">IF($A37="","",IF(INDEX(c_Days,$A37)="","",INDEX(c_Days,$A37)))</f>
        <v>234</v>
      </c>
      <c r="I37" s="41" t="n">
        <f aca="false">IF($A37="","",IF(INDEX(c_Mtgs,$A37)="","",INDEX(c_Mtgs,$A37)))</f>
        <v>1</v>
      </c>
      <c r="J37" s="15" t="str">
        <f aca="false">IF($A37="","",INDEX(c_EvtNames,$A37)&amp;"")</f>
        <v>May-26 Symposium</v>
      </c>
      <c r="K37" s="36" t="str">
        <f aca="false">IF($A37="","",INDEX(c_Invested,$A37)&amp;"")</f>
        <v>Yes</v>
      </c>
      <c r="L37" s="16" t="n">
        <f aca="false">IF($A37="","",IF(INDEX(c_AUM,$A37)="","",INDEX(c_AUM,$A37)))</f>
        <v>60000000</v>
      </c>
      <c r="M37" s="15" t="str">
        <f aca="false">IF($A37="","",INDEX(c_Source,$A37)&amp;"")</f>
        <v>Meeting List + ILP Data</v>
      </c>
      <c r="N37" s="15" t="str">
        <f aca="false">IF($A37="","",INDEX(c_Notes,$A37)&amp;"")</f>
        <v/>
      </c>
    </row>
    <row r="38" customFormat="false" ht="15" hidden="false" customHeight="false" outlineLevel="0" collapsed="false">
      <c r="A38" s="32" t="n">
        <f aca="false">IFERROR(MATCH(ROW()-5,c_Seq,0),"")</f>
        <v>33</v>
      </c>
      <c r="B38" s="11" t="str">
        <f aca="false">IF($A38="","",INDEX(c_Name,$A38)&amp;"")</f>
        <v>Beverly Poon</v>
      </c>
      <c r="C38" s="11" t="str">
        <f aca="false">IF($A38="","",INDEX(c_Firm,$A38)&amp;"")</f>
        <v>Finexis Advisory</v>
      </c>
      <c r="D38" s="11" t="str">
        <f aca="false">IF($A38="","",INDEX(c_Type,$A38)&amp;"")</f>
        <v>Adviser</v>
      </c>
      <c r="E38" s="11" t="str">
        <f aca="false">IF($A38="","",INDEX(c_Email,$A38)&amp;"")</f>
        <v>beverly.poon@finexis.com.sg</v>
      </c>
      <c r="F38" s="34" t="str">
        <f aca="false">IF($A38="","",INDEX(c_Met,$A38)&amp;"")</f>
        <v>Yes</v>
      </c>
      <c r="G38" s="25" t="n">
        <f aca="false">IF($A38="","",IF(INDEX(c_Date,$A38)="","",INDEX(c_Date,$A38)))</f>
        <v>45954</v>
      </c>
      <c r="H38" s="33" t="n">
        <f aca="false">IF($A38="","",IF(INDEX(c_Days,$A38)="","",INDEX(c_Days,$A38)))</f>
        <v>287</v>
      </c>
      <c r="I38" s="40" t="n">
        <f aca="false">IF($A38="","",IF(INDEX(c_Mtgs,$A38)="","",INDEX(c_Mtgs,$A38)))</f>
        <v>1</v>
      </c>
      <c r="J38" s="11" t="str">
        <f aca="false">IF($A38="","",INDEX(c_EvtNames,$A38)&amp;"")</f>
        <v/>
      </c>
      <c r="K38" s="34" t="str">
        <f aca="false">IF($A38="","",INDEX(c_Invested,$A38)&amp;"")</f>
        <v>No</v>
      </c>
      <c r="L38" s="12" t="n">
        <f aca="false">IF($A38="","",IF(INDEX(c_AUM,$A38)="","",INDEX(c_AUM,$A38)))</f>
        <v>60000000</v>
      </c>
      <c r="M38" s="11" t="str">
        <f aca="false">IF($A38="","",INDEX(c_Source,$A38)&amp;"")</f>
        <v>Meeting List + ILP Data + Branch Directors</v>
      </c>
      <c r="N38" s="11" t="str">
        <f aca="false">IF($A38="","",INDEX(c_Notes,$A38)&amp;"")</f>
        <v>May-26: not available</v>
      </c>
    </row>
    <row r="39" customFormat="false" ht="15" hidden="false" customHeight="false" outlineLevel="0" collapsed="false">
      <c r="A39" s="32" t="n">
        <f aca="false">IFERROR(MATCH(ROW()-5,c_Seq,0),"")</f>
        <v>34</v>
      </c>
      <c r="B39" s="15" t="str">
        <f aca="false">IF($A39="","",INDEX(c_Name,$A39)&amp;"")</f>
        <v>Bo Han Ng</v>
      </c>
      <c r="C39" s="15" t="str">
        <f aca="false">IF($A39="","",INDEX(c_Firm,$A39)&amp;"")</f>
        <v>Finexis Advisory</v>
      </c>
      <c r="D39" s="15" t="str">
        <f aca="false">IF($A39="","",INDEX(c_Type,$A39)&amp;"")</f>
        <v>Branch Director</v>
      </c>
      <c r="E39" s="15" t="str">
        <f aca="false">IF($A39="","",INDEX(c_Email,$A39)&amp;"")</f>
        <v/>
      </c>
      <c r="F39" s="36" t="str">
        <f aca="false">IF($A39="","",INDEX(c_Met,$A39)&amp;"")</f>
        <v>No</v>
      </c>
      <c r="G39" s="26" t="str">
        <f aca="false">IF($A39="","",IF(INDEX(c_Date,$A39)="","",INDEX(c_Date,$A39)))</f>
        <v/>
      </c>
      <c r="H39" s="35" t="str">
        <f aca="false">IF($A39="","",IF(INDEX(c_Days,$A39)="","",INDEX(c_Days,$A39)))</f>
        <v/>
      </c>
      <c r="I39" s="41" t="n">
        <f aca="false">IF($A39="","",IF(INDEX(c_Mtgs,$A39)="","",INDEX(c_Mtgs,$A39)))</f>
        <v>0</v>
      </c>
      <c r="J39" s="15" t="str">
        <f aca="false">IF($A39="","",INDEX(c_EvtNames,$A39)&amp;"")</f>
        <v/>
      </c>
      <c r="K39" s="36" t="str">
        <f aca="false">IF($A39="","",INDEX(c_Invested,$A39)&amp;"")</f>
        <v>No</v>
      </c>
      <c r="L39" s="16" t="str">
        <f aca="false">IF($A39="","",IF(INDEX(c_AUM,$A39)="","",INDEX(c_AUM,$A39)))</f>
        <v/>
      </c>
      <c r="M39" s="15" t="str">
        <f aca="false">IF($A39="","",INDEX(c_Source,$A39)&amp;"")</f>
        <v>Branch Directors</v>
      </c>
      <c r="N39" s="15" t="str">
        <f aca="false">IF($A39="","",INDEX(c_Notes,$A39)&amp;"")</f>
        <v>Branch: Azure Dragon Partners | https://www.linkedin.com/in/bohan-ng/</v>
      </c>
    </row>
    <row r="40" customFormat="false" ht="15" hidden="false" customHeight="false" outlineLevel="0" collapsed="false">
      <c r="A40" s="32" t="n">
        <f aca="false">IFERROR(MATCH(ROW()-5,c_Seq,0),"")</f>
        <v>35</v>
      </c>
      <c r="B40" s="11" t="str">
        <f aca="false">IF($A40="","",INDEX(c_Name,$A40)&amp;"")</f>
        <v>Caden Chia</v>
      </c>
      <c r="C40" s="11" t="str">
        <f aca="false">IF($A40="","",INDEX(c_Firm,$A40)&amp;"")</f>
        <v>Finexis Advisory</v>
      </c>
      <c r="D40" s="11" t="str">
        <f aca="false">IF($A40="","",INDEX(c_Type,$A40)&amp;"")</f>
        <v>Branch Director</v>
      </c>
      <c r="E40" s="11" t="str">
        <f aca="false">IF($A40="","",INDEX(c_Email,$A40)&amp;"")</f>
        <v/>
      </c>
      <c r="F40" s="34" t="str">
        <f aca="false">IF($A40="","",INDEX(c_Met,$A40)&amp;"")</f>
        <v>No</v>
      </c>
      <c r="G40" s="25" t="str">
        <f aca="false">IF($A40="","",IF(INDEX(c_Date,$A40)="","",INDEX(c_Date,$A40)))</f>
        <v/>
      </c>
      <c r="H40" s="33" t="str">
        <f aca="false">IF($A40="","",IF(INDEX(c_Days,$A40)="","",INDEX(c_Days,$A40)))</f>
        <v/>
      </c>
      <c r="I40" s="40" t="n">
        <f aca="false">IF($A40="","",IF(INDEX(c_Mtgs,$A40)="","",INDEX(c_Mtgs,$A40)))</f>
        <v>0</v>
      </c>
      <c r="J40" s="11" t="str">
        <f aca="false">IF($A40="","",INDEX(c_EvtNames,$A40)&amp;"")</f>
        <v/>
      </c>
      <c r="K40" s="34" t="str">
        <f aca="false">IF($A40="","",INDEX(c_Invested,$A40)&amp;"")</f>
        <v>No</v>
      </c>
      <c r="L40" s="12" t="str">
        <f aca="false">IF($A40="","",IF(INDEX(c_AUM,$A40)="","",INDEX(c_AUM,$A40)))</f>
        <v/>
      </c>
      <c r="M40" s="11" t="str">
        <f aca="false">IF($A40="","",INDEX(c_Source,$A40)&amp;"")</f>
        <v>Branch Directors</v>
      </c>
      <c r="N40" s="11" t="str">
        <f aca="false">IF($A40="","",INDEX(c_Notes,$A40)&amp;"")</f>
        <v/>
      </c>
    </row>
    <row r="41" customFormat="false" ht="15" hidden="false" customHeight="false" outlineLevel="0" collapsed="false">
      <c r="A41" s="32" t="n">
        <f aca="false">IFERROR(MATCH(ROW()-5,c_Seq,0),"")</f>
        <v>36</v>
      </c>
      <c r="B41" s="15" t="str">
        <f aca="false">IF($A41="","",INDEX(c_Name,$A41)&amp;"")</f>
        <v>Chee Koon Seah</v>
      </c>
      <c r="C41" s="15" t="str">
        <f aca="false">IF($A41="","",INDEX(c_Firm,$A41)&amp;"")</f>
        <v>Finexis Advisory</v>
      </c>
      <c r="D41" s="15" t="str">
        <f aca="false">IF($A41="","",INDEX(c_Type,$A41)&amp;"")</f>
        <v>Branch Director</v>
      </c>
      <c r="E41" s="15" t="str">
        <f aca="false">IF($A41="","",INDEX(c_Email,$A41)&amp;"")</f>
        <v/>
      </c>
      <c r="F41" s="36" t="str">
        <f aca="false">IF($A41="","",INDEX(c_Met,$A41)&amp;"")</f>
        <v>No</v>
      </c>
      <c r="G41" s="26" t="str">
        <f aca="false">IF($A41="","",IF(INDEX(c_Date,$A41)="","",INDEX(c_Date,$A41)))</f>
        <v/>
      </c>
      <c r="H41" s="35" t="str">
        <f aca="false">IF($A41="","",IF(INDEX(c_Days,$A41)="","",INDEX(c_Days,$A41)))</f>
        <v/>
      </c>
      <c r="I41" s="41" t="n">
        <f aca="false">IF($A41="","",IF(INDEX(c_Mtgs,$A41)="","",INDEX(c_Mtgs,$A41)))</f>
        <v>0</v>
      </c>
      <c r="J41" s="15" t="str">
        <f aca="false">IF($A41="","",INDEX(c_EvtNames,$A41)&amp;"")</f>
        <v/>
      </c>
      <c r="K41" s="36" t="str">
        <f aca="false">IF($A41="","",INDEX(c_Invested,$A41)&amp;"")</f>
        <v>No</v>
      </c>
      <c r="L41" s="16" t="str">
        <f aca="false">IF($A41="","",IF(INDEX(c_AUM,$A41)="","",INDEX(c_AUM,$A41)))</f>
        <v/>
      </c>
      <c r="M41" s="15" t="str">
        <f aca="false">IF($A41="","",INDEX(c_Source,$A41)&amp;"")</f>
        <v>Branch Directors</v>
      </c>
      <c r="N41" s="15" t="str">
        <f aca="false">IF($A41="","",INDEX(c_Notes,$A41)&amp;"")</f>
        <v>https://www.linkedin.com/in/ck-seah/</v>
      </c>
    </row>
    <row r="42" customFormat="false" ht="15" hidden="false" customHeight="false" outlineLevel="0" collapsed="false">
      <c r="A42" s="32" t="n">
        <f aca="false">IFERROR(MATCH(ROW()-5,c_Seq,0),"")</f>
        <v>37</v>
      </c>
      <c r="B42" s="11" t="str">
        <f aca="false">IF($A42="","",INDEX(c_Name,$A42)&amp;"")</f>
        <v>ChinSiong Yee</v>
      </c>
      <c r="C42" s="11" t="str">
        <f aca="false">IF($A42="","",INDEX(c_Firm,$A42)&amp;"")</f>
        <v>Finexis Advisory</v>
      </c>
      <c r="D42" s="11" t="str">
        <f aca="false">IF($A42="","",INDEX(c_Type,$A42)&amp;"")</f>
        <v>Branch Director</v>
      </c>
      <c r="E42" s="11" t="str">
        <f aca="false">IF($A42="","",INDEX(c_Email,$A42)&amp;"")</f>
        <v/>
      </c>
      <c r="F42" s="34" t="str">
        <f aca="false">IF($A42="","",INDEX(c_Met,$A42)&amp;"")</f>
        <v>No</v>
      </c>
      <c r="G42" s="25" t="str">
        <f aca="false">IF($A42="","",IF(INDEX(c_Date,$A42)="","",INDEX(c_Date,$A42)))</f>
        <v/>
      </c>
      <c r="H42" s="33" t="str">
        <f aca="false">IF($A42="","",IF(INDEX(c_Days,$A42)="","",INDEX(c_Days,$A42)))</f>
        <v/>
      </c>
      <c r="I42" s="40" t="n">
        <f aca="false">IF($A42="","",IF(INDEX(c_Mtgs,$A42)="","",INDEX(c_Mtgs,$A42)))</f>
        <v>0</v>
      </c>
      <c r="J42" s="11" t="str">
        <f aca="false">IF($A42="","",INDEX(c_EvtNames,$A42)&amp;"")</f>
        <v/>
      </c>
      <c r="K42" s="34" t="str">
        <f aca="false">IF($A42="","",INDEX(c_Invested,$A42)&amp;"")</f>
        <v>No</v>
      </c>
      <c r="L42" s="12" t="str">
        <f aca="false">IF($A42="","",IF(INDEX(c_AUM,$A42)="","",INDEX(c_AUM,$A42)))</f>
        <v/>
      </c>
      <c r="M42" s="11" t="str">
        <f aca="false">IF($A42="","",INDEX(c_Source,$A42)&amp;"")</f>
        <v>Branch Directors</v>
      </c>
      <c r="N42" s="11" t="str">
        <f aca="false">IF($A42="","",INDEX(c_Notes,$A42)&amp;"")</f>
        <v>https://www.linkedin.com/in/chinsiong-y-4149405b/</v>
      </c>
    </row>
    <row r="43" customFormat="false" ht="15" hidden="false" customHeight="false" outlineLevel="0" collapsed="false">
      <c r="A43" s="32" t="n">
        <f aca="false">IFERROR(MATCH(ROW()-5,c_Seq,0),"")</f>
        <v>38</v>
      </c>
      <c r="B43" s="15" t="str">
        <f aca="false">IF($A43="","",INDEX(c_Name,$A43)&amp;"")</f>
        <v>Danny Neo</v>
      </c>
      <c r="C43" s="15" t="str">
        <f aca="false">IF($A43="","",INDEX(c_Firm,$A43)&amp;"")</f>
        <v>Finexis Advisory</v>
      </c>
      <c r="D43" s="15" t="str">
        <f aca="false">IF($A43="","",INDEX(c_Type,$A43)&amp;"")</f>
        <v>Branch Director</v>
      </c>
      <c r="E43" s="15" t="str">
        <f aca="false">IF($A43="","",INDEX(c_Email,$A43)&amp;"")</f>
        <v/>
      </c>
      <c r="F43" s="36" t="str">
        <f aca="false">IF($A43="","",INDEX(c_Met,$A43)&amp;"")</f>
        <v>No</v>
      </c>
      <c r="G43" s="26" t="str">
        <f aca="false">IF($A43="","",IF(INDEX(c_Date,$A43)="","",INDEX(c_Date,$A43)))</f>
        <v/>
      </c>
      <c r="H43" s="35" t="str">
        <f aca="false">IF($A43="","",IF(INDEX(c_Days,$A43)="","",INDEX(c_Days,$A43)))</f>
        <v/>
      </c>
      <c r="I43" s="41" t="n">
        <f aca="false">IF($A43="","",IF(INDEX(c_Mtgs,$A43)="","",INDEX(c_Mtgs,$A43)))</f>
        <v>0</v>
      </c>
      <c r="J43" s="15" t="str">
        <f aca="false">IF($A43="","",INDEX(c_EvtNames,$A43)&amp;"")</f>
        <v/>
      </c>
      <c r="K43" s="36" t="str">
        <f aca="false">IF($A43="","",INDEX(c_Invested,$A43)&amp;"")</f>
        <v>No</v>
      </c>
      <c r="L43" s="16" t="str">
        <f aca="false">IF($A43="","",IF(INDEX(c_AUM,$A43)="","",INDEX(c_AUM,$A43)))</f>
        <v/>
      </c>
      <c r="M43" s="15" t="str">
        <f aca="false">IF($A43="","",INDEX(c_Source,$A43)&amp;"")</f>
        <v>Branch Directors</v>
      </c>
      <c r="N43" s="15" t="str">
        <f aca="false">IF($A43="","",INDEX(c_Notes,$A43)&amp;"")</f>
        <v>https://www.linkedin.com/in/danny-neo-16497a85/</v>
      </c>
    </row>
    <row r="44" customFormat="false" ht="15" hidden="false" customHeight="false" outlineLevel="0" collapsed="false">
      <c r="A44" s="32" t="n">
        <f aca="false">IFERROR(MATCH(ROW()-5,c_Seq,0),"")</f>
        <v>39</v>
      </c>
      <c r="B44" s="11" t="str">
        <f aca="false">IF($A44="","",INDEX(c_Name,$A44)&amp;"")</f>
        <v>Darryl Low</v>
      </c>
      <c r="C44" s="11" t="str">
        <f aca="false">IF($A44="","",INDEX(c_Firm,$A44)&amp;"")</f>
        <v>Finexis Advisory</v>
      </c>
      <c r="D44" s="11" t="str">
        <f aca="false">IF($A44="","",INDEX(c_Type,$A44)&amp;"")</f>
        <v>Branch Director</v>
      </c>
      <c r="E44" s="11" t="str">
        <f aca="false">IF($A44="","",INDEX(c_Email,$A44)&amp;"")</f>
        <v/>
      </c>
      <c r="F44" s="34" t="str">
        <f aca="false">IF($A44="","",INDEX(c_Met,$A44)&amp;"")</f>
        <v>No</v>
      </c>
      <c r="G44" s="25" t="str">
        <f aca="false">IF($A44="","",IF(INDEX(c_Date,$A44)="","",INDEX(c_Date,$A44)))</f>
        <v/>
      </c>
      <c r="H44" s="33" t="str">
        <f aca="false">IF($A44="","",IF(INDEX(c_Days,$A44)="","",INDEX(c_Days,$A44)))</f>
        <v/>
      </c>
      <c r="I44" s="40" t="n">
        <f aca="false">IF($A44="","",IF(INDEX(c_Mtgs,$A44)="","",INDEX(c_Mtgs,$A44)))</f>
        <v>0</v>
      </c>
      <c r="J44" s="11" t="str">
        <f aca="false">IF($A44="","",INDEX(c_EvtNames,$A44)&amp;"")</f>
        <v/>
      </c>
      <c r="K44" s="34" t="str">
        <f aca="false">IF($A44="","",INDEX(c_Invested,$A44)&amp;"")</f>
        <v>No</v>
      </c>
      <c r="L44" s="12" t="str">
        <f aca="false">IF($A44="","",IF(INDEX(c_AUM,$A44)="","",INDEX(c_AUM,$A44)))</f>
        <v/>
      </c>
      <c r="M44" s="11" t="str">
        <f aca="false">IF($A44="","",INDEX(c_Source,$A44)&amp;"")</f>
        <v>Branch Directors</v>
      </c>
      <c r="N44" s="11" t="str">
        <f aca="false">IF($A44="","",INDEX(c_Notes,$A44)&amp;"")</f>
        <v>https://www.linkedin.com/in/darryllowkh/</v>
      </c>
    </row>
    <row r="45" customFormat="false" ht="15" hidden="false" customHeight="false" outlineLevel="0" collapsed="false">
      <c r="A45" s="32" t="n">
        <f aca="false">IFERROR(MATCH(ROW()-5,c_Seq,0),"")</f>
        <v>40</v>
      </c>
      <c r="B45" s="15" t="str">
        <f aca="false">IF($A45="","",INDEX(c_Name,$A45)&amp;"")</f>
        <v>Daryl Peck</v>
      </c>
      <c r="C45" s="15" t="str">
        <f aca="false">IF($A45="","",INDEX(c_Firm,$A45)&amp;"")</f>
        <v>Finexis Advisory</v>
      </c>
      <c r="D45" s="15" t="str">
        <f aca="false">IF($A45="","",INDEX(c_Type,$A45)&amp;"")</f>
        <v>Branch Director</v>
      </c>
      <c r="E45" s="15" t="str">
        <f aca="false">IF($A45="","",INDEX(c_Email,$A45)&amp;"")</f>
        <v/>
      </c>
      <c r="F45" s="36" t="str">
        <f aca="false">IF($A45="","",INDEX(c_Met,$A45)&amp;"")</f>
        <v>No</v>
      </c>
      <c r="G45" s="26" t="str">
        <f aca="false">IF($A45="","",IF(INDEX(c_Date,$A45)="","",INDEX(c_Date,$A45)))</f>
        <v/>
      </c>
      <c r="H45" s="35" t="str">
        <f aca="false">IF($A45="","",IF(INDEX(c_Days,$A45)="","",INDEX(c_Days,$A45)))</f>
        <v/>
      </c>
      <c r="I45" s="41" t="n">
        <f aca="false">IF($A45="","",IF(INDEX(c_Mtgs,$A45)="","",INDEX(c_Mtgs,$A45)))</f>
        <v>0</v>
      </c>
      <c r="J45" s="15" t="str">
        <f aca="false">IF($A45="","",INDEX(c_EvtNames,$A45)&amp;"")</f>
        <v/>
      </c>
      <c r="K45" s="36" t="str">
        <f aca="false">IF($A45="","",INDEX(c_Invested,$A45)&amp;"")</f>
        <v>No</v>
      </c>
      <c r="L45" s="16" t="str">
        <f aca="false">IF($A45="","",IF(INDEX(c_AUM,$A45)="","",INDEX(c_AUM,$A45)))</f>
        <v/>
      </c>
      <c r="M45" s="15" t="str">
        <f aca="false">IF($A45="","",INDEX(c_Source,$A45)&amp;"")</f>
        <v>Branch Directors</v>
      </c>
      <c r="N45" s="15" t="str">
        <f aca="false">IF($A45="","",INDEX(c_Notes,$A45)&amp;"")</f>
        <v/>
      </c>
    </row>
    <row r="46" customFormat="false" ht="15" hidden="false" customHeight="false" outlineLevel="0" collapsed="false">
      <c r="A46" s="32" t="n">
        <f aca="false">IFERROR(MATCH(ROW()-5,c_Seq,0),"")</f>
        <v>41</v>
      </c>
      <c r="B46" s="11" t="str">
        <f aca="false">IF($A46="","",INDEX(c_Name,$A46)&amp;"")</f>
        <v>Desmund Chin</v>
      </c>
      <c r="C46" s="11" t="str">
        <f aca="false">IF($A46="","",INDEX(c_Firm,$A46)&amp;"")</f>
        <v>Finexis Advisory</v>
      </c>
      <c r="D46" s="11" t="str">
        <f aca="false">IF($A46="","",INDEX(c_Type,$A46)&amp;"")</f>
        <v>Branch Director</v>
      </c>
      <c r="E46" s="11" t="str">
        <f aca="false">IF($A46="","",INDEX(c_Email,$A46)&amp;"")</f>
        <v/>
      </c>
      <c r="F46" s="34" t="str">
        <f aca="false">IF($A46="","",INDEX(c_Met,$A46)&amp;"")</f>
        <v>No</v>
      </c>
      <c r="G46" s="25" t="str">
        <f aca="false">IF($A46="","",IF(INDEX(c_Date,$A46)="","",INDEX(c_Date,$A46)))</f>
        <v/>
      </c>
      <c r="H46" s="33" t="str">
        <f aca="false">IF($A46="","",IF(INDEX(c_Days,$A46)="","",INDEX(c_Days,$A46)))</f>
        <v/>
      </c>
      <c r="I46" s="40" t="n">
        <f aca="false">IF($A46="","",IF(INDEX(c_Mtgs,$A46)="","",INDEX(c_Mtgs,$A46)))</f>
        <v>0</v>
      </c>
      <c r="J46" s="11" t="str">
        <f aca="false">IF($A46="","",INDEX(c_EvtNames,$A46)&amp;"")</f>
        <v/>
      </c>
      <c r="K46" s="34" t="str">
        <f aca="false">IF($A46="","",INDEX(c_Invested,$A46)&amp;"")</f>
        <v>No</v>
      </c>
      <c r="L46" s="12" t="str">
        <f aca="false">IF($A46="","",IF(INDEX(c_AUM,$A46)="","",INDEX(c_AUM,$A46)))</f>
        <v/>
      </c>
      <c r="M46" s="11" t="str">
        <f aca="false">IF($A46="","",INDEX(c_Source,$A46)&amp;"")</f>
        <v>Branch Directors</v>
      </c>
      <c r="N46" s="11" t="str">
        <f aca="false">IF($A46="","",INDEX(c_Notes,$A46)&amp;"")</f>
        <v>https://www.linkedin.com/in/desmund-chin-aa81436/</v>
      </c>
    </row>
    <row r="47" customFormat="false" ht="15" hidden="false" customHeight="false" outlineLevel="0" collapsed="false">
      <c r="A47" s="32" t="n">
        <f aca="false">IFERROR(MATCH(ROW()-5,c_Seq,0),"")</f>
        <v>42</v>
      </c>
      <c r="B47" s="15" t="str">
        <f aca="false">IF($A47="","",INDEX(c_Name,$A47)&amp;"")</f>
        <v>En Hao Hee</v>
      </c>
      <c r="C47" s="15" t="str">
        <f aca="false">IF($A47="","",INDEX(c_Firm,$A47)&amp;"")</f>
        <v>Finexis Advisory</v>
      </c>
      <c r="D47" s="15" t="str">
        <f aca="false">IF($A47="","",INDEX(c_Type,$A47)&amp;"")</f>
        <v>Branch Director</v>
      </c>
      <c r="E47" s="15" t="str">
        <f aca="false">IF($A47="","",INDEX(c_Email,$A47)&amp;"")</f>
        <v/>
      </c>
      <c r="F47" s="36" t="str">
        <f aca="false">IF($A47="","",INDEX(c_Met,$A47)&amp;"")</f>
        <v>No</v>
      </c>
      <c r="G47" s="26" t="str">
        <f aca="false">IF($A47="","",IF(INDEX(c_Date,$A47)="","",INDEX(c_Date,$A47)))</f>
        <v/>
      </c>
      <c r="H47" s="35" t="str">
        <f aca="false">IF($A47="","",IF(INDEX(c_Days,$A47)="","",INDEX(c_Days,$A47)))</f>
        <v/>
      </c>
      <c r="I47" s="41" t="n">
        <f aca="false">IF($A47="","",IF(INDEX(c_Mtgs,$A47)="","",INDEX(c_Mtgs,$A47)))</f>
        <v>0</v>
      </c>
      <c r="J47" s="15" t="str">
        <f aca="false">IF($A47="","",INDEX(c_EvtNames,$A47)&amp;"")</f>
        <v/>
      </c>
      <c r="K47" s="36" t="str">
        <f aca="false">IF($A47="","",INDEX(c_Invested,$A47)&amp;"")</f>
        <v>No</v>
      </c>
      <c r="L47" s="16" t="str">
        <f aca="false">IF($A47="","",IF(INDEX(c_AUM,$A47)="","",INDEX(c_AUM,$A47)))</f>
        <v/>
      </c>
      <c r="M47" s="15" t="str">
        <f aca="false">IF($A47="","",INDEX(c_Source,$A47)&amp;"")</f>
        <v>Branch Directors</v>
      </c>
      <c r="N47" s="15" t="str">
        <f aca="false">IF($A47="","",INDEX(c_Notes,$A47)&amp;"")</f>
        <v>https://www.linkedin.com/in/enhaohee/</v>
      </c>
    </row>
    <row r="48" customFormat="false" ht="15" hidden="false" customHeight="false" outlineLevel="0" collapsed="false">
      <c r="A48" s="32" t="n">
        <f aca="false">IFERROR(MATCH(ROW()-5,c_Seq,0),"")</f>
        <v>43</v>
      </c>
      <c r="B48" s="11" t="str">
        <f aca="false">IF($A48="","",INDEX(c_Name,$A48)&amp;"")</f>
        <v>Eric Lau</v>
      </c>
      <c r="C48" s="11" t="str">
        <f aca="false">IF($A48="","",INDEX(c_Firm,$A48)&amp;"")</f>
        <v>Finexis Advisory</v>
      </c>
      <c r="D48" s="11" t="str">
        <f aca="false">IF($A48="","",INDEX(c_Type,$A48)&amp;"")</f>
        <v>Branch Director</v>
      </c>
      <c r="E48" s="11" t="str">
        <f aca="false">IF($A48="","",INDEX(c_Email,$A48)&amp;"")</f>
        <v/>
      </c>
      <c r="F48" s="34" t="str">
        <f aca="false">IF($A48="","",INDEX(c_Met,$A48)&amp;"")</f>
        <v>No</v>
      </c>
      <c r="G48" s="25" t="str">
        <f aca="false">IF($A48="","",IF(INDEX(c_Date,$A48)="","",INDEX(c_Date,$A48)))</f>
        <v/>
      </c>
      <c r="H48" s="33" t="str">
        <f aca="false">IF($A48="","",IF(INDEX(c_Days,$A48)="","",INDEX(c_Days,$A48)))</f>
        <v/>
      </c>
      <c r="I48" s="40" t="n">
        <f aca="false">IF($A48="","",IF(INDEX(c_Mtgs,$A48)="","",INDEX(c_Mtgs,$A48)))</f>
        <v>0</v>
      </c>
      <c r="J48" s="11" t="str">
        <f aca="false">IF($A48="","",INDEX(c_EvtNames,$A48)&amp;"")</f>
        <v/>
      </c>
      <c r="K48" s="34" t="str">
        <f aca="false">IF($A48="","",INDEX(c_Invested,$A48)&amp;"")</f>
        <v>No</v>
      </c>
      <c r="L48" s="12" t="str">
        <f aca="false">IF($A48="","",IF(INDEX(c_AUM,$A48)="","",INDEX(c_AUM,$A48)))</f>
        <v/>
      </c>
      <c r="M48" s="11" t="str">
        <f aca="false">IF($A48="","",INDEX(c_Source,$A48)&amp;"")</f>
        <v>Branch Directors</v>
      </c>
      <c r="N48" s="11" t="str">
        <f aca="false">IF($A48="","",INDEX(c_Notes,$A48)&amp;"")</f>
        <v/>
      </c>
    </row>
    <row r="49" customFormat="false" ht="15" hidden="false" customHeight="false" outlineLevel="0" collapsed="false">
      <c r="A49" s="32" t="n">
        <f aca="false">IFERROR(MATCH(ROW()-5,c_Seq,0),"")</f>
        <v>44</v>
      </c>
      <c r="B49" s="15" t="str">
        <f aca="false">IF($A49="","",INDEX(c_Name,$A49)&amp;"")</f>
        <v>Felicia Pan</v>
      </c>
      <c r="C49" s="15" t="str">
        <f aca="false">IF($A49="","",INDEX(c_Firm,$A49)&amp;"")</f>
        <v>Finexis Advisory</v>
      </c>
      <c r="D49" s="15" t="str">
        <f aca="false">IF($A49="","",INDEX(c_Type,$A49)&amp;"")</f>
        <v>Branch Director</v>
      </c>
      <c r="E49" s="15" t="str">
        <f aca="false">IF($A49="","",INDEX(c_Email,$A49)&amp;"")</f>
        <v/>
      </c>
      <c r="F49" s="36" t="str">
        <f aca="false">IF($A49="","",INDEX(c_Met,$A49)&amp;"")</f>
        <v>No</v>
      </c>
      <c r="G49" s="26" t="str">
        <f aca="false">IF($A49="","",IF(INDEX(c_Date,$A49)="","",INDEX(c_Date,$A49)))</f>
        <v/>
      </c>
      <c r="H49" s="35" t="str">
        <f aca="false">IF($A49="","",IF(INDEX(c_Days,$A49)="","",INDEX(c_Days,$A49)))</f>
        <v/>
      </c>
      <c r="I49" s="41" t="n">
        <f aca="false">IF($A49="","",IF(INDEX(c_Mtgs,$A49)="","",INDEX(c_Mtgs,$A49)))</f>
        <v>0</v>
      </c>
      <c r="J49" s="15" t="str">
        <f aca="false">IF($A49="","",INDEX(c_EvtNames,$A49)&amp;"")</f>
        <v/>
      </c>
      <c r="K49" s="36" t="str">
        <f aca="false">IF($A49="","",INDEX(c_Invested,$A49)&amp;"")</f>
        <v>No</v>
      </c>
      <c r="L49" s="16" t="str">
        <f aca="false">IF($A49="","",IF(INDEX(c_AUM,$A49)="","",INDEX(c_AUM,$A49)))</f>
        <v/>
      </c>
      <c r="M49" s="15" t="str">
        <f aca="false">IF($A49="","",INDEX(c_Source,$A49)&amp;"")</f>
        <v>Branch Directors</v>
      </c>
      <c r="N49" s="15" t="str">
        <f aca="false">IF($A49="","",INDEX(c_Notes,$A49)&amp;"")</f>
        <v>https://www.linkedin.com/in/felicia-pan-88a19781/</v>
      </c>
    </row>
    <row r="50" customFormat="false" ht="15" hidden="false" customHeight="false" outlineLevel="0" collapsed="false">
      <c r="A50" s="32" t="n">
        <f aca="false">IFERROR(MATCH(ROW()-5,c_Seq,0),"")</f>
        <v>45</v>
      </c>
      <c r="B50" s="11" t="str">
        <f aca="false">IF($A50="","",INDEX(c_Name,$A50)&amp;"")</f>
        <v>Foong Kin Peng</v>
      </c>
      <c r="C50" s="11" t="str">
        <f aca="false">IF($A50="","",INDEX(c_Firm,$A50)&amp;"")</f>
        <v>Finexis Advisory</v>
      </c>
      <c r="D50" s="11" t="str">
        <f aca="false">IF($A50="","",INDEX(c_Type,$A50)&amp;"")</f>
        <v>Branch Director</v>
      </c>
      <c r="E50" s="11" t="str">
        <f aca="false">IF($A50="","",INDEX(c_Email,$A50)&amp;"")</f>
        <v/>
      </c>
      <c r="F50" s="34" t="str">
        <f aca="false">IF($A50="","",INDEX(c_Met,$A50)&amp;"")</f>
        <v>No</v>
      </c>
      <c r="G50" s="25" t="str">
        <f aca="false">IF($A50="","",IF(INDEX(c_Date,$A50)="","",INDEX(c_Date,$A50)))</f>
        <v/>
      </c>
      <c r="H50" s="33" t="str">
        <f aca="false">IF($A50="","",IF(INDEX(c_Days,$A50)="","",INDEX(c_Days,$A50)))</f>
        <v/>
      </c>
      <c r="I50" s="40" t="n">
        <f aca="false">IF($A50="","",IF(INDEX(c_Mtgs,$A50)="","",INDEX(c_Mtgs,$A50)))</f>
        <v>0</v>
      </c>
      <c r="J50" s="11" t="str">
        <f aca="false">IF($A50="","",INDEX(c_EvtNames,$A50)&amp;"")</f>
        <v/>
      </c>
      <c r="K50" s="34" t="str">
        <f aca="false">IF($A50="","",INDEX(c_Invested,$A50)&amp;"")</f>
        <v>No</v>
      </c>
      <c r="L50" s="12" t="str">
        <f aca="false">IF($A50="","",IF(INDEX(c_AUM,$A50)="","",INDEX(c_AUM,$A50)))</f>
        <v/>
      </c>
      <c r="M50" s="11" t="str">
        <f aca="false">IF($A50="","",INDEX(c_Source,$A50)&amp;"")</f>
        <v>Branch Directors</v>
      </c>
      <c r="N50" s="11" t="str">
        <f aca="false">IF($A50="","",INDEX(c_Notes,$A50)&amp;"")</f>
        <v>https://www.linkedin.com/in/foongkinpeng/</v>
      </c>
    </row>
    <row r="51" customFormat="false" ht="15" hidden="false" customHeight="false" outlineLevel="0" collapsed="false">
      <c r="A51" s="32" t="n">
        <f aca="false">IFERROR(MATCH(ROW()-5,c_Seq,0),"")</f>
        <v>46</v>
      </c>
      <c r="B51" s="15" t="str">
        <f aca="false">IF($A51="","",INDEX(c_Name,$A51)&amp;"")</f>
        <v>Garry Goh</v>
      </c>
      <c r="C51" s="15" t="str">
        <f aca="false">IF($A51="","",INDEX(c_Firm,$A51)&amp;"")</f>
        <v>Finexis Advisory</v>
      </c>
      <c r="D51" s="15" t="str">
        <f aca="false">IF($A51="","",INDEX(c_Type,$A51)&amp;"")</f>
        <v>Branch Director</v>
      </c>
      <c r="E51" s="15" t="str">
        <f aca="false">IF($A51="","",INDEX(c_Email,$A51)&amp;"")</f>
        <v/>
      </c>
      <c r="F51" s="36" t="str">
        <f aca="false">IF($A51="","",INDEX(c_Met,$A51)&amp;"")</f>
        <v>No</v>
      </c>
      <c r="G51" s="26" t="str">
        <f aca="false">IF($A51="","",IF(INDEX(c_Date,$A51)="","",INDEX(c_Date,$A51)))</f>
        <v/>
      </c>
      <c r="H51" s="35" t="str">
        <f aca="false">IF($A51="","",IF(INDEX(c_Days,$A51)="","",INDEX(c_Days,$A51)))</f>
        <v/>
      </c>
      <c r="I51" s="41" t="n">
        <f aca="false">IF($A51="","",IF(INDEX(c_Mtgs,$A51)="","",INDEX(c_Mtgs,$A51)))</f>
        <v>0</v>
      </c>
      <c r="J51" s="15" t="str">
        <f aca="false">IF($A51="","",INDEX(c_EvtNames,$A51)&amp;"")</f>
        <v/>
      </c>
      <c r="K51" s="36" t="str">
        <f aca="false">IF($A51="","",INDEX(c_Invested,$A51)&amp;"")</f>
        <v>No</v>
      </c>
      <c r="L51" s="16" t="str">
        <f aca="false">IF($A51="","",IF(INDEX(c_AUM,$A51)="","",INDEX(c_AUM,$A51)))</f>
        <v/>
      </c>
      <c r="M51" s="15" t="str">
        <f aca="false">IF($A51="","",INDEX(c_Source,$A51)&amp;"")</f>
        <v>Branch Directors</v>
      </c>
      <c r="N51" s="15" t="str">
        <f aca="false">IF($A51="","",INDEX(c_Notes,$A51)&amp;"")</f>
        <v>Branch: Team GGO | https://www.linkedin.com/in/garry-goh-82b41740/</v>
      </c>
    </row>
    <row r="52" customFormat="false" ht="15" hidden="false" customHeight="false" outlineLevel="0" collapsed="false">
      <c r="A52" s="32" t="n">
        <f aca="false">IFERROR(MATCH(ROW()-5,c_Seq,0),"")</f>
        <v>47</v>
      </c>
      <c r="B52" s="11" t="str">
        <f aca="false">IF($A52="","",INDEX(c_Name,$A52)&amp;"")</f>
        <v>Gary Yong</v>
      </c>
      <c r="C52" s="11" t="str">
        <f aca="false">IF($A52="","",INDEX(c_Firm,$A52)&amp;"")</f>
        <v>Finexis Advisory</v>
      </c>
      <c r="D52" s="11" t="str">
        <f aca="false">IF($A52="","",INDEX(c_Type,$A52)&amp;"")</f>
        <v>Branch Director</v>
      </c>
      <c r="E52" s="11" t="str">
        <f aca="false">IF($A52="","",INDEX(c_Email,$A52)&amp;"")</f>
        <v/>
      </c>
      <c r="F52" s="34" t="str">
        <f aca="false">IF($A52="","",INDEX(c_Met,$A52)&amp;"")</f>
        <v>No</v>
      </c>
      <c r="G52" s="25" t="str">
        <f aca="false">IF($A52="","",IF(INDEX(c_Date,$A52)="","",INDEX(c_Date,$A52)))</f>
        <v/>
      </c>
      <c r="H52" s="33" t="str">
        <f aca="false">IF($A52="","",IF(INDEX(c_Days,$A52)="","",INDEX(c_Days,$A52)))</f>
        <v/>
      </c>
      <c r="I52" s="40" t="n">
        <f aca="false">IF($A52="","",IF(INDEX(c_Mtgs,$A52)="","",INDEX(c_Mtgs,$A52)))</f>
        <v>0</v>
      </c>
      <c r="J52" s="11" t="str">
        <f aca="false">IF($A52="","",INDEX(c_EvtNames,$A52)&amp;"")</f>
        <v/>
      </c>
      <c r="K52" s="34" t="str">
        <f aca="false">IF($A52="","",INDEX(c_Invested,$A52)&amp;"")</f>
        <v>No</v>
      </c>
      <c r="L52" s="12" t="str">
        <f aca="false">IF($A52="","",IF(INDEX(c_AUM,$A52)="","",INDEX(c_AUM,$A52)))</f>
        <v/>
      </c>
      <c r="M52" s="11" t="str">
        <f aca="false">IF($A52="","",INDEX(c_Source,$A52)&amp;"")</f>
        <v>Branch Directors</v>
      </c>
      <c r="N52" s="11" t="str">
        <f aca="false">IF($A52="","",INDEX(c_Notes,$A52)&amp;"")</f>
        <v>https://www.linkedin.com/in/garyyongwk/</v>
      </c>
    </row>
    <row r="53" customFormat="false" ht="15" hidden="false" customHeight="false" outlineLevel="0" collapsed="false">
      <c r="A53" s="32" t="n">
        <f aca="false">IFERROR(MATCH(ROW()-5,c_Seq,0),"")</f>
        <v>48</v>
      </c>
      <c r="B53" s="15" t="str">
        <f aca="false">IF($A53="","",INDEX(c_Name,$A53)&amp;"")</f>
        <v>Gregory Ong</v>
      </c>
      <c r="C53" s="15" t="str">
        <f aca="false">IF($A53="","",INDEX(c_Firm,$A53)&amp;"")</f>
        <v>Finexis Advisory</v>
      </c>
      <c r="D53" s="15" t="str">
        <f aca="false">IF($A53="","",INDEX(c_Type,$A53)&amp;"")</f>
        <v>Branch Director</v>
      </c>
      <c r="E53" s="15" t="str">
        <f aca="false">IF($A53="","",INDEX(c_Email,$A53)&amp;"")</f>
        <v/>
      </c>
      <c r="F53" s="36" t="str">
        <f aca="false">IF($A53="","",INDEX(c_Met,$A53)&amp;"")</f>
        <v>No</v>
      </c>
      <c r="G53" s="26" t="str">
        <f aca="false">IF($A53="","",IF(INDEX(c_Date,$A53)="","",INDEX(c_Date,$A53)))</f>
        <v/>
      </c>
      <c r="H53" s="35" t="str">
        <f aca="false">IF($A53="","",IF(INDEX(c_Days,$A53)="","",INDEX(c_Days,$A53)))</f>
        <v/>
      </c>
      <c r="I53" s="41" t="n">
        <f aca="false">IF($A53="","",IF(INDEX(c_Mtgs,$A53)="","",INDEX(c_Mtgs,$A53)))</f>
        <v>0</v>
      </c>
      <c r="J53" s="15" t="str">
        <f aca="false">IF($A53="","",INDEX(c_EvtNames,$A53)&amp;"")</f>
        <v/>
      </c>
      <c r="K53" s="36" t="str">
        <f aca="false">IF($A53="","",INDEX(c_Invested,$A53)&amp;"")</f>
        <v>No</v>
      </c>
      <c r="L53" s="16" t="str">
        <f aca="false">IF($A53="","",IF(INDEX(c_AUM,$A53)="","",INDEX(c_AUM,$A53)))</f>
        <v/>
      </c>
      <c r="M53" s="15" t="str">
        <f aca="false">IF($A53="","",INDEX(c_Source,$A53)&amp;"")</f>
        <v>Branch Directors</v>
      </c>
      <c r="N53" s="15" t="str">
        <f aca="false">IF($A53="","",INDEX(c_Notes,$A53)&amp;"")</f>
        <v>https://www.linkedin.com/in/gregory-ong-7009679a/</v>
      </c>
    </row>
    <row r="54" customFormat="false" ht="15" hidden="false" customHeight="false" outlineLevel="0" collapsed="false">
      <c r="A54" s="32" t="n">
        <f aca="false">IFERROR(MATCH(ROW()-5,c_Seq,0),"")</f>
        <v>49</v>
      </c>
      <c r="B54" s="11" t="str">
        <f aca="false">IF($A54="","",INDEX(c_Name,$A54)&amp;"")</f>
        <v>Ivan Teo</v>
      </c>
      <c r="C54" s="11" t="str">
        <f aca="false">IF($A54="","",INDEX(c_Firm,$A54)&amp;"")</f>
        <v>Finexis Advisory</v>
      </c>
      <c r="D54" s="11" t="str">
        <f aca="false">IF($A54="","",INDEX(c_Type,$A54)&amp;"")</f>
        <v>Branch Director</v>
      </c>
      <c r="E54" s="11" t="str">
        <f aca="false">IF($A54="","",INDEX(c_Email,$A54)&amp;"")</f>
        <v/>
      </c>
      <c r="F54" s="34" t="str">
        <f aca="false">IF($A54="","",INDEX(c_Met,$A54)&amp;"")</f>
        <v>No</v>
      </c>
      <c r="G54" s="25" t="str">
        <f aca="false">IF($A54="","",IF(INDEX(c_Date,$A54)="","",INDEX(c_Date,$A54)))</f>
        <v/>
      </c>
      <c r="H54" s="33" t="str">
        <f aca="false">IF($A54="","",IF(INDEX(c_Days,$A54)="","",INDEX(c_Days,$A54)))</f>
        <v/>
      </c>
      <c r="I54" s="40" t="n">
        <f aca="false">IF($A54="","",IF(INDEX(c_Mtgs,$A54)="","",INDEX(c_Mtgs,$A54)))</f>
        <v>0</v>
      </c>
      <c r="J54" s="11" t="str">
        <f aca="false">IF($A54="","",INDEX(c_EvtNames,$A54)&amp;"")</f>
        <v/>
      </c>
      <c r="K54" s="34" t="str">
        <f aca="false">IF($A54="","",INDEX(c_Invested,$A54)&amp;"")</f>
        <v>No</v>
      </c>
      <c r="L54" s="12" t="str">
        <f aca="false">IF($A54="","",IF(INDEX(c_AUM,$A54)="","",INDEX(c_AUM,$A54)))</f>
        <v/>
      </c>
      <c r="M54" s="11" t="str">
        <f aca="false">IF($A54="","",INDEX(c_Source,$A54)&amp;"")</f>
        <v>Branch Directors</v>
      </c>
      <c r="N54" s="11" t="str">
        <f aca="false">IF($A54="","",INDEX(c_Notes,$A54)&amp;"")</f>
        <v>Branch: Impact Wealth Advisory</v>
      </c>
    </row>
    <row r="55" customFormat="false" ht="15" hidden="false" customHeight="false" outlineLevel="0" collapsed="false">
      <c r="A55" s="32" t="n">
        <f aca="false">IFERROR(MATCH(ROW()-5,c_Seq,0),"")</f>
        <v>50</v>
      </c>
      <c r="B55" s="15" t="str">
        <f aca="false">IF($A55="","",INDEX(c_Name,$A55)&amp;"")</f>
        <v>Jason Ang</v>
      </c>
      <c r="C55" s="15" t="str">
        <f aca="false">IF($A55="","",INDEX(c_Firm,$A55)&amp;"")</f>
        <v>Finexis Advisory</v>
      </c>
      <c r="D55" s="15" t="str">
        <f aca="false">IF($A55="","",INDEX(c_Type,$A55)&amp;"")</f>
        <v>Adviser</v>
      </c>
      <c r="E55" s="15" t="str">
        <f aca="false">IF($A55="","",INDEX(c_Email,$A55)&amp;"")</f>
        <v>Jason.ang@finexis.com.sg</v>
      </c>
      <c r="F55" s="36" t="str">
        <f aca="false">IF($A55="","",INDEX(c_Met,$A55)&amp;"")</f>
        <v>No</v>
      </c>
      <c r="G55" s="26" t="str">
        <f aca="false">IF($A55="","",IF(INDEX(c_Date,$A55)="","",INDEX(c_Date,$A55)))</f>
        <v/>
      </c>
      <c r="H55" s="35" t="str">
        <f aca="false">IF($A55="","",IF(INDEX(c_Days,$A55)="","",INDEX(c_Days,$A55)))</f>
        <v/>
      </c>
      <c r="I55" s="41" t="n">
        <f aca="false">IF($A55="","",IF(INDEX(c_Mtgs,$A55)="","",INDEX(c_Mtgs,$A55)))</f>
        <v>0</v>
      </c>
      <c r="J55" s="15" t="str">
        <f aca="false">IF($A55="","",INDEX(c_EvtNames,$A55)&amp;"")</f>
        <v>May-26 Symposium</v>
      </c>
      <c r="K55" s="36" t="str">
        <f aca="false">IF($A55="","",INDEX(c_Invested,$A55)&amp;"")</f>
        <v>No</v>
      </c>
      <c r="L55" s="16" t="str">
        <f aca="false">IF($A55="","",IF(INDEX(c_AUM,$A55)="","",INDEX(c_AUM,$A55)))</f>
        <v/>
      </c>
      <c r="M55" s="15" t="str">
        <f aca="false">IF($A55="","",INDEX(c_Source,$A55)&amp;"")</f>
        <v>Meeting List</v>
      </c>
      <c r="N55" s="15" t="str">
        <f aca="false">IF($A55="","",INDEX(c_Notes,$A55)&amp;"")</f>
        <v/>
      </c>
    </row>
    <row r="56" customFormat="false" ht="15" hidden="false" customHeight="false" outlineLevel="0" collapsed="false">
      <c r="A56" s="32" t="n">
        <f aca="false">IFERROR(MATCH(ROW()-5,c_Seq,0),"")</f>
        <v>51</v>
      </c>
      <c r="B56" s="11" t="str">
        <f aca="false">IF($A56="","",INDEX(c_Name,$A56)&amp;"")</f>
        <v>Jessica Peh</v>
      </c>
      <c r="C56" s="11" t="str">
        <f aca="false">IF($A56="","",INDEX(c_Firm,$A56)&amp;"")</f>
        <v>Finexis Advisory</v>
      </c>
      <c r="D56" s="11" t="str">
        <f aca="false">IF($A56="","",INDEX(c_Type,$A56)&amp;"")</f>
        <v>Adviser</v>
      </c>
      <c r="E56" s="11" t="str">
        <f aca="false">IF($A56="","",INDEX(c_Email,$A56)&amp;"")</f>
        <v>jessica.peh@finexis.com.sg</v>
      </c>
      <c r="F56" s="34" t="str">
        <f aca="false">IF($A56="","",INDEX(c_Met,$A56)&amp;"")</f>
        <v>Yes</v>
      </c>
      <c r="G56" s="25" t="n">
        <f aca="false">IF($A56="","",IF(INDEX(c_Date,$A56)="","",INDEX(c_Date,$A56)))</f>
        <v>45994</v>
      </c>
      <c r="H56" s="33" t="n">
        <f aca="false">IF($A56="","",IF(INDEX(c_Days,$A56)="","",INDEX(c_Days,$A56)))</f>
        <v>247</v>
      </c>
      <c r="I56" s="40" t="n">
        <f aca="false">IF($A56="","",IF(INDEX(c_Mtgs,$A56)="","",INDEX(c_Mtgs,$A56)))</f>
        <v>1</v>
      </c>
      <c r="J56" s="11" t="str">
        <f aca="false">IF($A56="","",INDEX(c_EvtNames,$A56)&amp;"")</f>
        <v>Oct-25 Symposium, May-26 Symposium</v>
      </c>
      <c r="K56" s="34" t="str">
        <f aca="false">IF($A56="","",INDEX(c_Invested,$A56)&amp;"")</f>
        <v>Yes</v>
      </c>
      <c r="L56" s="12" t="n">
        <f aca="false">IF($A56="","",IF(INDEX(c_AUM,$A56)="","",INDEX(c_AUM,$A56)))</f>
        <v>3000000</v>
      </c>
      <c r="M56" s="11" t="str">
        <f aca="false">IF($A56="","",INDEX(c_Source,$A56)&amp;"")</f>
        <v>Meeting List + ILP Data</v>
      </c>
      <c r="N56" s="11" t="str">
        <f aca="false">IF($A56="","",INDEX(c_Notes,$A56)&amp;"")</f>
        <v/>
      </c>
    </row>
    <row r="57" customFormat="false" ht="15" hidden="false" customHeight="false" outlineLevel="0" collapsed="false">
      <c r="A57" s="32" t="n">
        <f aca="false">IFERROR(MATCH(ROW()-5,c_Seq,0),"")</f>
        <v>52</v>
      </c>
      <c r="B57" s="15" t="str">
        <f aca="false">IF($A57="","",INDEX(c_Name,$A57)&amp;"")</f>
        <v>Jiateng Lin</v>
      </c>
      <c r="C57" s="15" t="str">
        <f aca="false">IF($A57="","",INDEX(c_Firm,$A57)&amp;"")</f>
        <v>Finexis Advisory</v>
      </c>
      <c r="D57" s="15" t="str">
        <f aca="false">IF($A57="","",INDEX(c_Type,$A57)&amp;"")</f>
        <v>Adviser</v>
      </c>
      <c r="E57" s="15" t="str">
        <f aca="false">IF($A57="","",INDEX(c_Email,$A57)&amp;"")</f>
        <v>lin.jiateng@finexis.com.sg</v>
      </c>
      <c r="F57" s="36" t="str">
        <f aca="false">IF($A57="","",INDEX(c_Met,$A57)&amp;"")</f>
        <v>No</v>
      </c>
      <c r="G57" s="26" t="str">
        <f aca="false">IF($A57="","",IF(INDEX(c_Date,$A57)="","",INDEX(c_Date,$A57)))</f>
        <v/>
      </c>
      <c r="H57" s="35" t="str">
        <f aca="false">IF($A57="","",IF(INDEX(c_Days,$A57)="","",INDEX(c_Days,$A57)))</f>
        <v/>
      </c>
      <c r="I57" s="41" t="n">
        <f aca="false">IF($A57="","",IF(INDEX(c_Mtgs,$A57)="","",INDEX(c_Mtgs,$A57)))</f>
        <v>0</v>
      </c>
      <c r="J57" s="15" t="str">
        <f aca="false">IF($A57="","",INDEX(c_EvtNames,$A57)&amp;"")</f>
        <v>May-26 Symposium</v>
      </c>
      <c r="K57" s="36" t="str">
        <f aca="false">IF($A57="","",INDEX(c_Invested,$A57)&amp;"")</f>
        <v>No</v>
      </c>
      <c r="L57" s="16" t="str">
        <f aca="false">IF($A57="","",IF(INDEX(c_AUM,$A57)="","",INDEX(c_AUM,$A57)))</f>
        <v/>
      </c>
      <c r="M57" s="15" t="str">
        <f aca="false">IF($A57="","",INDEX(c_Source,$A57)&amp;"")</f>
        <v>Meeting List</v>
      </c>
      <c r="N57" s="15" t="str">
        <f aca="false">IF($A57="","",INDEX(c_Notes,$A57)&amp;"")</f>
        <v/>
      </c>
    </row>
    <row r="58" customFormat="false" ht="15" hidden="false" customHeight="false" outlineLevel="0" collapsed="false">
      <c r="A58" s="32" t="n">
        <f aca="false">IFERROR(MATCH(ROW()-5,c_Seq,0),"")</f>
        <v>53</v>
      </c>
      <c r="B58" s="11" t="str">
        <f aca="false">IF($A58="","",INDEX(c_Name,$A58)&amp;"")</f>
        <v>Joel Chia</v>
      </c>
      <c r="C58" s="11" t="str">
        <f aca="false">IF($A58="","",INDEX(c_Firm,$A58)&amp;"")</f>
        <v>Finexis Advisory</v>
      </c>
      <c r="D58" s="11" t="str">
        <f aca="false">IF($A58="","",INDEX(c_Type,$A58)&amp;"")</f>
        <v>Branch Director</v>
      </c>
      <c r="E58" s="11" t="str">
        <f aca="false">IF($A58="","",INDEX(c_Email,$A58)&amp;"")</f>
        <v/>
      </c>
      <c r="F58" s="34" t="str">
        <f aca="false">IF($A58="","",INDEX(c_Met,$A58)&amp;"")</f>
        <v>No</v>
      </c>
      <c r="G58" s="25" t="str">
        <f aca="false">IF($A58="","",IF(INDEX(c_Date,$A58)="","",INDEX(c_Date,$A58)))</f>
        <v/>
      </c>
      <c r="H58" s="33" t="str">
        <f aca="false">IF($A58="","",IF(INDEX(c_Days,$A58)="","",INDEX(c_Days,$A58)))</f>
        <v/>
      </c>
      <c r="I58" s="40" t="n">
        <f aca="false">IF($A58="","",IF(INDEX(c_Mtgs,$A58)="","",INDEX(c_Mtgs,$A58)))</f>
        <v>0</v>
      </c>
      <c r="J58" s="11" t="str">
        <f aca="false">IF($A58="","",INDEX(c_EvtNames,$A58)&amp;"")</f>
        <v/>
      </c>
      <c r="K58" s="34" t="str">
        <f aca="false">IF($A58="","",INDEX(c_Invested,$A58)&amp;"")</f>
        <v>No</v>
      </c>
      <c r="L58" s="12" t="str">
        <f aca="false">IF($A58="","",IF(INDEX(c_AUM,$A58)="","",INDEX(c_AUM,$A58)))</f>
        <v/>
      </c>
      <c r="M58" s="11" t="str">
        <f aca="false">IF($A58="","",INDEX(c_Source,$A58)&amp;"")</f>
        <v>Branch Directors</v>
      </c>
      <c r="N58" s="11" t="str">
        <f aca="false">IF($A58="","",INDEX(c_Notes,$A58)&amp;"")</f>
        <v>https://www.linkedin.com/in/joel-chia-b84a8039/</v>
      </c>
    </row>
    <row r="59" customFormat="false" ht="15" hidden="false" customHeight="false" outlineLevel="0" collapsed="false">
      <c r="A59" s="32" t="n">
        <f aca="false">IFERROR(MATCH(ROW()-5,c_Seq,0),"")</f>
        <v>54</v>
      </c>
      <c r="B59" s="15" t="str">
        <f aca="false">IF($A59="","",INDEX(c_Name,$A59)&amp;"")</f>
        <v>Johnny Nimrod Chan</v>
      </c>
      <c r="C59" s="15" t="str">
        <f aca="false">IF($A59="","",INDEX(c_Firm,$A59)&amp;"")</f>
        <v>Finexis Advisory</v>
      </c>
      <c r="D59" s="15" t="str">
        <f aca="false">IF($A59="","",INDEX(c_Type,$A59)&amp;"")</f>
        <v>Branch Director</v>
      </c>
      <c r="E59" s="15" t="str">
        <f aca="false">IF($A59="","",INDEX(c_Email,$A59)&amp;"")</f>
        <v/>
      </c>
      <c r="F59" s="36" t="str">
        <f aca="false">IF($A59="","",INDEX(c_Met,$A59)&amp;"")</f>
        <v>No</v>
      </c>
      <c r="G59" s="26" t="str">
        <f aca="false">IF($A59="","",IF(INDEX(c_Date,$A59)="","",INDEX(c_Date,$A59)))</f>
        <v/>
      </c>
      <c r="H59" s="35" t="str">
        <f aca="false">IF($A59="","",IF(INDEX(c_Days,$A59)="","",INDEX(c_Days,$A59)))</f>
        <v/>
      </c>
      <c r="I59" s="41" t="n">
        <f aca="false">IF($A59="","",IF(INDEX(c_Mtgs,$A59)="","",INDEX(c_Mtgs,$A59)))</f>
        <v>0</v>
      </c>
      <c r="J59" s="15" t="str">
        <f aca="false">IF($A59="","",INDEX(c_EvtNames,$A59)&amp;"")</f>
        <v/>
      </c>
      <c r="K59" s="36" t="str">
        <f aca="false">IF($A59="","",INDEX(c_Invested,$A59)&amp;"")</f>
        <v>No</v>
      </c>
      <c r="L59" s="16" t="str">
        <f aca="false">IF($A59="","",IF(INDEX(c_AUM,$A59)="","",INDEX(c_AUM,$A59)))</f>
        <v/>
      </c>
      <c r="M59" s="15" t="str">
        <f aca="false">IF($A59="","",INDEX(c_Source,$A59)&amp;"")</f>
        <v>Branch Directors</v>
      </c>
      <c r="N59" s="15" t="str">
        <f aca="false">IF($A59="","",INDEX(c_Notes,$A59)&amp;"")</f>
        <v>Branch: Faith Advisory</v>
      </c>
    </row>
    <row r="60" customFormat="false" ht="15" hidden="false" customHeight="false" outlineLevel="0" collapsed="false">
      <c r="A60" s="32" t="n">
        <f aca="false">IFERROR(MATCH(ROW()-5,c_Seq,0),"")</f>
        <v>55</v>
      </c>
      <c r="B60" s="11" t="str">
        <f aca="false">IF($A60="","",INDEX(c_Name,$A60)&amp;"")</f>
        <v>Julian Tan</v>
      </c>
      <c r="C60" s="11" t="str">
        <f aca="false">IF($A60="","",INDEX(c_Firm,$A60)&amp;"")</f>
        <v>Finexis Advisory</v>
      </c>
      <c r="D60" s="11" t="str">
        <f aca="false">IF($A60="","",INDEX(c_Type,$A60)&amp;"")</f>
        <v>Branch Director</v>
      </c>
      <c r="E60" s="11" t="str">
        <f aca="false">IF($A60="","",INDEX(c_Email,$A60)&amp;"")</f>
        <v/>
      </c>
      <c r="F60" s="34" t="str">
        <f aca="false">IF($A60="","",INDEX(c_Met,$A60)&amp;"")</f>
        <v>No</v>
      </c>
      <c r="G60" s="25" t="str">
        <f aca="false">IF($A60="","",IF(INDEX(c_Date,$A60)="","",INDEX(c_Date,$A60)))</f>
        <v/>
      </c>
      <c r="H60" s="33" t="str">
        <f aca="false">IF($A60="","",IF(INDEX(c_Days,$A60)="","",INDEX(c_Days,$A60)))</f>
        <v/>
      </c>
      <c r="I60" s="40" t="n">
        <f aca="false">IF($A60="","",IF(INDEX(c_Mtgs,$A60)="","",INDEX(c_Mtgs,$A60)))</f>
        <v>0</v>
      </c>
      <c r="J60" s="11" t="str">
        <f aca="false">IF($A60="","",INDEX(c_EvtNames,$A60)&amp;"")</f>
        <v/>
      </c>
      <c r="K60" s="34" t="str">
        <f aca="false">IF($A60="","",INDEX(c_Invested,$A60)&amp;"")</f>
        <v>No</v>
      </c>
      <c r="L60" s="12" t="str">
        <f aca="false">IF($A60="","",IF(INDEX(c_AUM,$A60)="","",INDEX(c_AUM,$A60)))</f>
        <v/>
      </c>
      <c r="M60" s="11" t="str">
        <f aca="false">IF($A60="","",INDEX(c_Source,$A60)&amp;"")</f>
        <v>Branch Directors</v>
      </c>
      <c r="N60" s="11" t="str">
        <f aca="false">IF($A60="","",INDEX(c_Notes,$A60)&amp;"")</f>
        <v>Branch: Omega Financial Advisory Group | https://www.linkedin.com/in/juliantan-finexis/</v>
      </c>
    </row>
    <row r="61" customFormat="false" ht="15" hidden="false" customHeight="false" outlineLevel="0" collapsed="false">
      <c r="A61" s="32" t="n">
        <f aca="false">IFERROR(MATCH(ROW()-5,c_Seq,0),"")</f>
        <v>56</v>
      </c>
      <c r="B61" s="15" t="str">
        <f aca="false">IF($A61="","",INDEX(c_Name,$A61)&amp;"")</f>
        <v>Keziah Choy Yau Wong</v>
      </c>
      <c r="C61" s="15" t="str">
        <f aca="false">IF($A61="","",INDEX(c_Firm,$A61)&amp;"")</f>
        <v>Finexis Advisory</v>
      </c>
      <c r="D61" s="15" t="str">
        <f aca="false">IF($A61="","",INDEX(c_Type,$A61)&amp;"")</f>
        <v>Branch Director</v>
      </c>
      <c r="E61" s="15" t="str">
        <f aca="false">IF($A61="","",INDEX(c_Email,$A61)&amp;"")</f>
        <v/>
      </c>
      <c r="F61" s="36" t="str">
        <f aca="false">IF($A61="","",INDEX(c_Met,$A61)&amp;"")</f>
        <v>No</v>
      </c>
      <c r="G61" s="26" t="str">
        <f aca="false">IF($A61="","",IF(INDEX(c_Date,$A61)="","",INDEX(c_Date,$A61)))</f>
        <v/>
      </c>
      <c r="H61" s="35" t="str">
        <f aca="false">IF($A61="","",IF(INDEX(c_Days,$A61)="","",INDEX(c_Days,$A61)))</f>
        <v/>
      </c>
      <c r="I61" s="41" t="n">
        <f aca="false">IF($A61="","",IF(INDEX(c_Mtgs,$A61)="","",INDEX(c_Mtgs,$A61)))</f>
        <v>0</v>
      </c>
      <c r="J61" s="15" t="str">
        <f aca="false">IF($A61="","",INDEX(c_EvtNames,$A61)&amp;"")</f>
        <v/>
      </c>
      <c r="K61" s="36" t="str">
        <f aca="false">IF($A61="","",INDEX(c_Invested,$A61)&amp;"")</f>
        <v>No</v>
      </c>
      <c r="L61" s="16" t="str">
        <f aca="false">IF($A61="","",IF(INDEX(c_AUM,$A61)="","",INDEX(c_AUM,$A61)))</f>
        <v/>
      </c>
      <c r="M61" s="15" t="str">
        <f aca="false">IF($A61="","",INDEX(c_Source,$A61)&amp;"")</f>
        <v>Branch Directors</v>
      </c>
      <c r="N61" s="15" t="str">
        <f aca="false">IF($A61="","",INDEX(c_Notes,$A61)&amp;"")</f>
        <v>Branch: Keziah &amp; Associates Wealth Arkiteks | Already in CRM</v>
      </c>
    </row>
    <row r="62" customFormat="false" ht="15" hidden="false" customHeight="false" outlineLevel="0" collapsed="false">
      <c r="A62" s="32" t="n">
        <f aca="false">IFERROR(MATCH(ROW()-5,c_Seq,0),"")</f>
        <v>57</v>
      </c>
      <c r="B62" s="11" t="str">
        <f aca="false">IF($A62="","",INDEX(c_Name,$A62)&amp;"")</f>
        <v>Kiat Hwee Sim</v>
      </c>
      <c r="C62" s="11" t="str">
        <f aca="false">IF($A62="","",INDEX(c_Firm,$A62)&amp;"")</f>
        <v>Finexis Advisory</v>
      </c>
      <c r="D62" s="11" t="str">
        <f aca="false">IF($A62="","",INDEX(c_Type,$A62)&amp;"")</f>
        <v>Branch Director</v>
      </c>
      <c r="E62" s="11" t="str">
        <f aca="false">IF($A62="","",INDEX(c_Email,$A62)&amp;"")</f>
        <v/>
      </c>
      <c r="F62" s="34" t="str">
        <f aca="false">IF($A62="","",INDEX(c_Met,$A62)&amp;"")</f>
        <v>No</v>
      </c>
      <c r="G62" s="25" t="str">
        <f aca="false">IF($A62="","",IF(INDEX(c_Date,$A62)="","",INDEX(c_Date,$A62)))</f>
        <v/>
      </c>
      <c r="H62" s="33" t="str">
        <f aca="false">IF($A62="","",IF(INDEX(c_Days,$A62)="","",INDEX(c_Days,$A62)))</f>
        <v/>
      </c>
      <c r="I62" s="40" t="n">
        <f aca="false">IF($A62="","",IF(INDEX(c_Mtgs,$A62)="","",INDEX(c_Mtgs,$A62)))</f>
        <v>0</v>
      </c>
      <c r="J62" s="11" t="str">
        <f aca="false">IF($A62="","",INDEX(c_EvtNames,$A62)&amp;"")</f>
        <v/>
      </c>
      <c r="K62" s="34" t="str">
        <f aca="false">IF($A62="","",INDEX(c_Invested,$A62)&amp;"")</f>
        <v>No</v>
      </c>
      <c r="L62" s="12" t="str">
        <f aca="false">IF($A62="","",IF(INDEX(c_AUM,$A62)="","",INDEX(c_AUM,$A62)))</f>
        <v/>
      </c>
      <c r="M62" s="11" t="str">
        <f aca="false">IF($A62="","",INDEX(c_Source,$A62)&amp;"")</f>
        <v>Branch Directors</v>
      </c>
      <c r="N62" s="11" t="str">
        <f aca="false">IF($A62="","",INDEX(c_Notes,$A62)&amp;"")</f>
        <v>https://www.linkedin.com/in/kiat-hwee-sim-429b05bb/</v>
      </c>
    </row>
    <row r="63" customFormat="false" ht="15" hidden="false" customHeight="false" outlineLevel="0" collapsed="false">
      <c r="A63" s="32" t="n">
        <f aca="false">IFERROR(MATCH(ROW()-5,c_Seq,0),"")</f>
        <v>58</v>
      </c>
      <c r="B63" s="15" t="str">
        <f aca="false">IF($A63="","",INDEX(c_Name,$A63)&amp;"")</f>
        <v>Li Qingning Ruby</v>
      </c>
      <c r="C63" s="15" t="str">
        <f aca="false">IF($A63="","",INDEX(c_Firm,$A63)&amp;"")</f>
        <v>Finexis Advisory</v>
      </c>
      <c r="D63" s="15" t="str">
        <f aca="false">IF($A63="","",INDEX(c_Type,$A63)&amp;"")</f>
        <v>Branch Director</v>
      </c>
      <c r="E63" s="15" t="str">
        <f aca="false">IF($A63="","",INDEX(c_Email,$A63)&amp;"")</f>
        <v/>
      </c>
      <c r="F63" s="36" t="str">
        <f aca="false">IF($A63="","",INDEX(c_Met,$A63)&amp;"")</f>
        <v>No</v>
      </c>
      <c r="G63" s="26" t="str">
        <f aca="false">IF($A63="","",IF(INDEX(c_Date,$A63)="","",INDEX(c_Date,$A63)))</f>
        <v/>
      </c>
      <c r="H63" s="35" t="str">
        <f aca="false">IF($A63="","",IF(INDEX(c_Days,$A63)="","",INDEX(c_Days,$A63)))</f>
        <v/>
      </c>
      <c r="I63" s="41" t="n">
        <f aca="false">IF($A63="","",IF(INDEX(c_Mtgs,$A63)="","",INDEX(c_Mtgs,$A63)))</f>
        <v>0</v>
      </c>
      <c r="J63" s="15" t="str">
        <f aca="false">IF($A63="","",INDEX(c_EvtNames,$A63)&amp;"")</f>
        <v/>
      </c>
      <c r="K63" s="36" t="str">
        <f aca="false">IF($A63="","",INDEX(c_Invested,$A63)&amp;"")</f>
        <v>No</v>
      </c>
      <c r="L63" s="16" t="str">
        <f aca="false">IF($A63="","",IF(INDEX(c_AUM,$A63)="","",INDEX(c_AUM,$A63)))</f>
        <v/>
      </c>
      <c r="M63" s="15" t="str">
        <f aca="false">IF($A63="","",INDEX(c_Source,$A63)&amp;"")</f>
        <v>Branch Directors</v>
      </c>
      <c r="N63" s="15" t="str">
        <f aca="false">IF($A63="","",INDEX(c_Notes,$A63)&amp;"")</f>
        <v>https://www.linkedin.com/in/li-qingning-ruby-25616a37a/</v>
      </c>
    </row>
    <row r="64" customFormat="false" ht="15" hidden="false" customHeight="false" outlineLevel="0" collapsed="false">
      <c r="A64" s="32" t="n">
        <f aca="false">IFERROR(MATCH(ROW()-5,c_Seq,0),"")</f>
        <v>59</v>
      </c>
      <c r="B64" s="11" t="str">
        <f aca="false">IF($A64="","",INDEX(c_Name,$A64)&amp;"")</f>
        <v>Lim Jason</v>
      </c>
      <c r="C64" s="11" t="str">
        <f aca="false">IF($A64="","",INDEX(c_Firm,$A64)&amp;"")</f>
        <v>Finexis Advisory</v>
      </c>
      <c r="D64" s="11" t="str">
        <f aca="false">IF($A64="","",INDEX(c_Type,$A64)&amp;"")</f>
        <v>Branch Director</v>
      </c>
      <c r="E64" s="11" t="str">
        <f aca="false">IF($A64="","",INDEX(c_Email,$A64)&amp;"")</f>
        <v/>
      </c>
      <c r="F64" s="34" t="str">
        <f aca="false">IF($A64="","",INDEX(c_Met,$A64)&amp;"")</f>
        <v>No</v>
      </c>
      <c r="G64" s="25" t="str">
        <f aca="false">IF($A64="","",IF(INDEX(c_Date,$A64)="","",INDEX(c_Date,$A64)))</f>
        <v/>
      </c>
      <c r="H64" s="33" t="str">
        <f aca="false">IF($A64="","",IF(INDEX(c_Days,$A64)="","",INDEX(c_Days,$A64)))</f>
        <v/>
      </c>
      <c r="I64" s="40" t="n">
        <f aca="false">IF($A64="","",IF(INDEX(c_Mtgs,$A64)="","",INDEX(c_Mtgs,$A64)))</f>
        <v>0</v>
      </c>
      <c r="J64" s="11" t="str">
        <f aca="false">IF($A64="","",INDEX(c_EvtNames,$A64)&amp;"")</f>
        <v/>
      </c>
      <c r="K64" s="34" t="str">
        <f aca="false">IF($A64="","",INDEX(c_Invested,$A64)&amp;"")</f>
        <v>No</v>
      </c>
      <c r="L64" s="12" t="str">
        <f aca="false">IF($A64="","",IF(INDEX(c_AUM,$A64)="","",INDEX(c_AUM,$A64)))</f>
        <v/>
      </c>
      <c r="M64" s="11" t="str">
        <f aca="false">IF($A64="","",INDEX(c_Source,$A64)&amp;"")</f>
        <v>Branch Directors</v>
      </c>
      <c r="N64" s="11" t="str">
        <f aca="false">IF($A64="","",INDEX(c_Notes,$A64)&amp;"")</f>
        <v>Already in CRM | https://www.linkedin.com/in/lim-jason-3ba424181/</v>
      </c>
    </row>
    <row r="65" customFormat="false" ht="15" hidden="false" customHeight="false" outlineLevel="0" collapsed="false">
      <c r="A65" s="32" t="n">
        <f aca="false">IFERROR(MATCH(ROW()-5,c_Seq,0),"")</f>
        <v>60</v>
      </c>
      <c r="B65" s="15" t="str">
        <f aca="false">IF($A65="","",INDEX(c_Name,$A65)&amp;"")</f>
        <v>Lionel Ling</v>
      </c>
      <c r="C65" s="15" t="str">
        <f aca="false">IF($A65="","",INDEX(c_Firm,$A65)&amp;"")</f>
        <v>Finexis Advisory</v>
      </c>
      <c r="D65" s="15" t="str">
        <f aca="false">IF($A65="","",INDEX(c_Type,$A65)&amp;"")</f>
        <v>Adviser</v>
      </c>
      <c r="E65" s="15" t="str">
        <f aca="false">IF($A65="","",INDEX(c_Email,$A65)&amp;"")</f>
        <v>lionel.ling@finexis.com.sg</v>
      </c>
      <c r="F65" s="36" t="str">
        <f aca="false">IF($A65="","",INDEX(c_Met,$A65)&amp;"")</f>
        <v>Yes</v>
      </c>
      <c r="G65" s="26" t="n">
        <f aca="false">IF($A65="","",IF(INDEX(c_Date,$A65)="","",INDEX(c_Date,$A65)))</f>
        <v>45936</v>
      </c>
      <c r="H65" s="35" t="n">
        <f aca="false">IF($A65="","",IF(INDEX(c_Days,$A65)="","",INDEX(c_Days,$A65)))</f>
        <v>305</v>
      </c>
      <c r="I65" s="41" t="n">
        <f aca="false">IF($A65="","",IF(INDEX(c_Mtgs,$A65)="","",INDEX(c_Mtgs,$A65)))</f>
        <v>1</v>
      </c>
      <c r="J65" s="15" t="str">
        <f aca="false">IF($A65="","",INDEX(c_EvtNames,$A65)&amp;"")</f>
        <v/>
      </c>
      <c r="K65" s="36" t="str">
        <f aca="false">IF($A65="","",INDEX(c_Invested,$A65)&amp;"")</f>
        <v>No</v>
      </c>
      <c r="L65" s="16" t="n">
        <f aca="false">IF($A65="","",IF(INDEX(c_AUM,$A65)="","",INDEX(c_AUM,$A65)))</f>
        <v>4000000</v>
      </c>
      <c r="M65" s="15" t="str">
        <f aca="false">IF($A65="","",INDEX(c_Source,$A65)&amp;"")</f>
        <v>Meeting List + ILP Data</v>
      </c>
      <c r="N65" s="15" t="str">
        <f aca="false">IF($A65="","",INDEX(c_Notes,$A65)&amp;"")</f>
        <v/>
      </c>
    </row>
    <row r="66" customFormat="false" ht="15" hidden="false" customHeight="false" outlineLevel="0" collapsed="false">
      <c r="A66" s="32" t="n">
        <f aca="false">IFERROR(MATCH(ROW()-5,c_Seq,0),"")</f>
        <v>61</v>
      </c>
      <c r="B66" s="11" t="str">
        <f aca="false">IF($A66="","",INDEX(c_Name,$A66)&amp;"")</f>
        <v>Lomency Ng</v>
      </c>
      <c r="C66" s="11" t="str">
        <f aca="false">IF($A66="","",INDEX(c_Firm,$A66)&amp;"")</f>
        <v>Finexis Advisory</v>
      </c>
      <c r="D66" s="11" t="str">
        <f aca="false">IF($A66="","",INDEX(c_Type,$A66)&amp;"")</f>
        <v>Adviser</v>
      </c>
      <c r="E66" s="11" t="str">
        <f aca="false">IF($A66="","",INDEX(c_Email,$A66)&amp;"")</f>
        <v>lomency.ng@finexis.com.sg</v>
      </c>
      <c r="F66" s="34" t="str">
        <f aca="false">IF($A66="","",INDEX(c_Met,$A66)&amp;"")</f>
        <v>Yes</v>
      </c>
      <c r="G66" s="25" t="n">
        <f aca="false">IF($A66="","",IF(INDEX(c_Date,$A66)="","",INDEX(c_Date,$A66)))</f>
        <v>45933</v>
      </c>
      <c r="H66" s="33" t="n">
        <f aca="false">IF($A66="","",IF(INDEX(c_Days,$A66)="","",INDEX(c_Days,$A66)))</f>
        <v>308</v>
      </c>
      <c r="I66" s="40" t="n">
        <f aca="false">IF($A66="","",IF(INDEX(c_Mtgs,$A66)="","",INDEX(c_Mtgs,$A66)))</f>
        <v>1</v>
      </c>
      <c r="J66" s="11" t="str">
        <f aca="false">IF($A66="","",INDEX(c_EvtNames,$A66)&amp;"")</f>
        <v>May-26 Symposium</v>
      </c>
      <c r="K66" s="34" t="str">
        <f aca="false">IF($A66="","",INDEX(c_Invested,$A66)&amp;"")</f>
        <v>No</v>
      </c>
      <c r="L66" s="12" t="n">
        <f aca="false">IF($A66="","",IF(INDEX(c_AUM,$A66)="","",INDEX(c_AUM,$A66)))</f>
        <v>40000000</v>
      </c>
      <c r="M66" s="11" t="str">
        <f aca="false">IF($A66="","",INDEX(c_Source,$A66)&amp;"")</f>
        <v>Meeting List + ILP Data + Branch Directors</v>
      </c>
      <c r="N66" s="11" t="str">
        <f aca="false">IF($A66="","",INDEX(c_Notes,$A66)&amp;"")</f>
        <v>Branch: faVe Advisory Practice</v>
      </c>
    </row>
    <row r="67" customFormat="false" ht="15" hidden="false" customHeight="false" outlineLevel="0" collapsed="false">
      <c r="A67" s="32" t="n">
        <f aca="false">IFERROR(MATCH(ROW()-5,c_Seq,0),"")</f>
        <v>62</v>
      </c>
      <c r="B67" s="15" t="str">
        <f aca="false">IF($A67="","",INDEX(c_Name,$A67)&amp;"")</f>
        <v>Mingshan Goh</v>
      </c>
      <c r="C67" s="15" t="str">
        <f aca="false">IF($A67="","",INDEX(c_Firm,$A67)&amp;"")</f>
        <v>Finexis Advisory</v>
      </c>
      <c r="D67" s="15" t="str">
        <f aca="false">IF($A67="","",INDEX(c_Type,$A67)&amp;"")</f>
        <v>Branch Director</v>
      </c>
      <c r="E67" s="15" t="str">
        <f aca="false">IF($A67="","",INDEX(c_Email,$A67)&amp;"")</f>
        <v/>
      </c>
      <c r="F67" s="36" t="str">
        <f aca="false">IF($A67="","",INDEX(c_Met,$A67)&amp;"")</f>
        <v>No</v>
      </c>
      <c r="G67" s="26" t="str">
        <f aca="false">IF($A67="","",IF(INDEX(c_Date,$A67)="","",INDEX(c_Date,$A67)))</f>
        <v/>
      </c>
      <c r="H67" s="35" t="str">
        <f aca="false">IF($A67="","",IF(INDEX(c_Days,$A67)="","",INDEX(c_Days,$A67)))</f>
        <v/>
      </c>
      <c r="I67" s="41" t="n">
        <f aca="false">IF($A67="","",IF(INDEX(c_Mtgs,$A67)="","",INDEX(c_Mtgs,$A67)))</f>
        <v>0</v>
      </c>
      <c r="J67" s="15" t="str">
        <f aca="false">IF($A67="","",INDEX(c_EvtNames,$A67)&amp;"")</f>
        <v/>
      </c>
      <c r="K67" s="36" t="str">
        <f aca="false">IF($A67="","",INDEX(c_Invested,$A67)&amp;"")</f>
        <v>No</v>
      </c>
      <c r="L67" s="16" t="str">
        <f aca="false">IF($A67="","",IF(INDEX(c_AUM,$A67)="","",INDEX(c_AUM,$A67)))</f>
        <v/>
      </c>
      <c r="M67" s="15" t="str">
        <f aca="false">IF($A67="","",INDEX(c_Source,$A67)&amp;"")</f>
        <v>Branch Directors</v>
      </c>
      <c r="N67" s="15" t="str">
        <f aca="false">IF($A67="","",INDEX(c_Notes,$A67)&amp;"")</f>
        <v>https://www.linkedin.com/in/mingshangoh/</v>
      </c>
    </row>
    <row r="68" customFormat="false" ht="15" hidden="false" customHeight="false" outlineLevel="0" collapsed="false">
      <c r="A68" s="32" t="n">
        <f aca="false">IFERROR(MATCH(ROW()-5,c_Seq,0),"")</f>
        <v>63</v>
      </c>
      <c r="B68" s="11" t="str">
        <f aca="false">IF($A68="","",INDEX(c_Name,$A68)&amp;"")</f>
        <v>Neo Poh Lin Ben</v>
      </c>
      <c r="C68" s="11" t="str">
        <f aca="false">IF($A68="","",INDEX(c_Firm,$A68)&amp;"")</f>
        <v>Finexis Advisory</v>
      </c>
      <c r="D68" s="11" t="str">
        <f aca="false">IF($A68="","",INDEX(c_Type,$A68)&amp;"")</f>
        <v>Branch Director</v>
      </c>
      <c r="E68" s="11" t="str">
        <f aca="false">IF($A68="","",INDEX(c_Email,$A68)&amp;"")</f>
        <v/>
      </c>
      <c r="F68" s="34" t="str">
        <f aca="false">IF($A68="","",INDEX(c_Met,$A68)&amp;"")</f>
        <v>No</v>
      </c>
      <c r="G68" s="25" t="str">
        <f aca="false">IF($A68="","",IF(INDEX(c_Date,$A68)="","",INDEX(c_Date,$A68)))</f>
        <v/>
      </c>
      <c r="H68" s="33" t="str">
        <f aca="false">IF($A68="","",IF(INDEX(c_Days,$A68)="","",INDEX(c_Days,$A68)))</f>
        <v/>
      </c>
      <c r="I68" s="40" t="n">
        <f aca="false">IF($A68="","",IF(INDEX(c_Mtgs,$A68)="","",INDEX(c_Mtgs,$A68)))</f>
        <v>0</v>
      </c>
      <c r="J68" s="11" t="str">
        <f aca="false">IF($A68="","",INDEX(c_EvtNames,$A68)&amp;"")</f>
        <v/>
      </c>
      <c r="K68" s="34" t="str">
        <f aca="false">IF($A68="","",INDEX(c_Invested,$A68)&amp;"")</f>
        <v>No</v>
      </c>
      <c r="L68" s="12" t="str">
        <f aca="false">IF($A68="","",IF(INDEX(c_AUM,$A68)="","",INDEX(c_AUM,$A68)))</f>
        <v/>
      </c>
      <c r="M68" s="11" t="str">
        <f aca="false">IF($A68="","",INDEX(c_Source,$A68)&amp;"")</f>
        <v>Branch Directors</v>
      </c>
      <c r="N68" s="11" t="str">
        <f aca="false">IF($A68="","",INDEX(c_Notes,$A68)&amp;"")</f>
        <v>Branch: NPLO Advisory Group | https://www.linkedin.com/in/neo-poh-lin-ben-69801b37/</v>
      </c>
    </row>
    <row r="69" customFormat="false" ht="15" hidden="false" customHeight="false" outlineLevel="0" collapsed="false">
      <c r="A69" s="32" t="n">
        <f aca="false">IFERROR(MATCH(ROW()-5,c_Seq,0),"")</f>
        <v>64</v>
      </c>
      <c r="B69" s="15" t="str">
        <f aca="false">IF($A69="","",INDEX(c_Name,$A69)&amp;"")</f>
        <v>Nur Fitria Rozlan</v>
      </c>
      <c r="C69" s="15" t="str">
        <f aca="false">IF($A69="","",INDEX(c_Firm,$A69)&amp;"")</f>
        <v>Finexis Advisory</v>
      </c>
      <c r="D69" s="15" t="str">
        <f aca="false">IF($A69="","",INDEX(c_Type,$A69)&amp;"")</f>
        <v>Branch Director</v>
      </c>
      <c r="E69" s="15" t="str">
        <f aca="false">IF($A69="","",INDEX(c_Email,$A69)&amp;"")</f>
        <v/>
      </c>
      <c r="F69" s="36" t="str">
        <f aca="false">IF($A69="","",INDEX(c_Met,$A69)&amp;"")</f>
        <v>No</v>
      </c>
      <c r="G69" s="26" t="str">
        <f aca="false">IF($A69="","",IF(INDEX(c_Date,$A69)="","",INDEX(c_Date,$A69)))</f>
        <v/>
      </c>
      <c r="H69" s="35" t="str">
        <f aca="false">IF($A69="","",IF(INDEX(c_Days,$A69)="","",INDEX(c_Days,$A69)))</f>
        <v/>
      </c>
      <c r="I69" s="41" t="n">
        <f aca="false">IF($A69="","",IF(INDEX(c_Mtgs,$A69)="","",INDEX(c_Mtgs,$A69)))</f>
        <v>0</v>
      </c>
      <c r="J69" s="15" t="str">
        <f aca="false">IF($A69="","",INDEX(c_EvtNames,$A69)&amp;"")</f>
        <v/>
      </c>
      <c r="K69" s="36" t="str">
        <f aca="false">IF($A69="","",INDEX(c_Invested,$A69)&amp;"")</f>
        <v>No</v>
      </c>
      <c r="L69" s="16" t="str">
        <f aca="false">IF($A69="","",IF(INDEX(c_AUM,$A69)="","",INDEX(c_AUM,$A69)))</f>
        <v/>
      </c>
      <c r="M69" s="15" t="str">
        <f aca="false">IF($A69="","",INDEX(c_Source,$A69)&amp;"")</f>
        <v>Branch Directors</v>
      </c>
      <c r="N69" s="15" t="str">
        <f aca="false">IF($A69="","",INDEX(c_Notes,$A69)&amp;"")</f>
        <v>https://www.linkedin.com/in/nurfitriarozlan/</v>
      </c>
    </row>
    <row r="70" customFormat="false" ht="15" hidden="false" customHeight="false" outlineLevel="0" collapsed="false">
      <c r="A70" s="32" t="n">
        <f aca="false">IFERROR(MATCH(ROW()-5,c_Seq,0),"")</f>
        <v>65</v>
      </c>
      <c r="B70" s="11" t="str">
        <f aca="false">IF($A70="","",INDEX(c_Name,$A70)&amp;"")</f>
        <v>Oliver Mak</v>
      </c>
      <c r="C70" s="11" t="str">
        <f aca="false">IF($A70="","",INDEX(c_Firm,$A70)&amp;"")</f>
        <v>Finexis Advisory</v>
      </c>
      <c r="D70" s="11" t="str">
        <f aca="false">IF($A70="","",INDEX(c_Type,$A70)&amp;"")</f>
        <v>Branch Director</v>
      </c>
      <c r="E70" s="11" t="str">
        <f aca="false">IF($A70="","",INDEX(c_Email,$A70)&amp;"")</f>
        <v/>
      </c>
      <c r="F70" s="34" t="str">
        <f aca="false">IF($A70="","",INDEX(c_Met,$A70)&amp;"")</f>
        <v>No</v>
      </c>
      <c r="G70" s="25" t="str">
        <f aca="false">IF($A70="","",IF(INDEX(c_Date,$A70)="","",INDEX(c_Date,$A70)))</f>
        <v/>
      </c>
      <c r="H70" s="33" t="str">
        <f aca="false">IF($A70="","",IF(INDEX(c_Days,$A70)="","",INDEX(c_Days,$A70)))</f>
        <v/>
      </c>
      <c r="I70" s="40" t="n">
        <f aca="false">IF($A70="","",IF(INDEX(c_Mtgs,$A70)="","",INDEX(c_Mtgs,$A70)))</f>
        <v>0</v>
      </c>
      <c r="J70" s="11" t="str">
        <f aca="false">IF($A70="","",INDEX(c_EvtNames,$A70)&amp;"")</f>
        <v/>
      </c>
      <c r="K70" s="34" t="str">
        <f aca="false">IF($A70="","",INDEX(c_Invested,$A70)&amp;"")</f>
        <v>No</v>
      </c>
      <c r="L70" s="12" t="str">
        <f aca="false">IF($A70="","",IF(INDEX(c_AUM,$A70)="","",INDEX(c_AUM,$A70)))</f>
        <v/>
      </c>
      <c r="M70" s="11" t="str">
        <f aca="false">IF($A70="","",INDEX(c_Source,$A70)&amp;"")</f>
        <v>Branch Directors</v>
      </c>
      <c r="N70" s="11" t="str">
        <f aca="false">IF($A70="","",INDEX(c_Notes,$A70)&amp;"")</f>
        <v>Already in CRM | https://www.linkedin.com/in/oliver-mak-2b935524/</v>
      </c>
    </row>
    <row r="71" customFormat="false" ht="15" hidden="false" customHeight="false" outlineLevel="0" collapsed="false">
      <c r="A71" s="32" t="n">
        <f aca="false">IFERROR(MATCH(ROW()-5,c_Seq,0),"")</f>
        <v>66</v>
      </c>
      <c r="B71" s="15" t="str">
        <f aca="false">IF($A71="","",INDEX(c_Name,$A71)&amp;"")</f>
        <v>Perry Lau Wei Han</v>
      </c>
      <c r="C71" s="15" t="str">
        <f aca="false">IF($A71="","",INDEX(c_Firm,$A71)&amp;"")</f>
        <v>Finexis Advisory</v>
      </c>
      <c r="D71" s="15" t="str">
        <f aca="false">IF($A71="","",INDEX(c_Type,$A71)&amp;"")</f>
        <v>Branch Director</v>
      </c>
      <c r="E71" s="15" t="str">
        <f aca="false">IF($A71="","",INDEX(c_Email,$A71)&amp;"")</f>
        <v/>
      </c>
      <c r="F71" s="36" t="str">
        <f aca="false">IF($A71="","",INDEX(c_Met,$A71)&amp;"")</f>
        <v>No</v>
      </c>
      <c r="G71" s="26" t="str">
        <f aca="false">IF($A71="","",IF(INDEX(c_Date,$A71)="","",INDEX(c_Date,$A71)))</f>
        <v/>
      </c>
      <c r="H71" s="35" t="str">
        <f aca="false">IF($A71="","",IF(INDEX(c_Days,$A71)="","",INDEX(c_Days,$A71)))</f>
        <v/>
      </c>
      <c r="I71" s="41" t="n">
        <f aca="false">IF($A71="","",IF(INDEX(c_Mtgs,$A71)="","",INDEX(c_Mtgs,$A71)))</f>
        <v>0</v>
      </c>
      <c r="J71" s="15" t="str">
        <f aca="false">IF($A71="","",INDEX(c_EvtNames,$A71)&amp;"")</f>
        <v/>
      </c>
      <c r="K71" s="36" t="str">
        <f aca="false">IF($A71="","",INDEX(c_Invested,$A71)&amp;"")</f>
        <v>No</v>
      </c>
      <c r="L71" s="16" t="str">
        <f aca="false">IF($A71="","",IF(INDEX(c_AUM,$A71)="","",INDEX(c_AUM,$A71)))</f>
        <v/>
      </c>
      <c r="M71" s="15" t="str">
        <f aca="false">IF($A71="","",INDEX(c_Source,$A71)&amp;"")</f>
        <v>Branch Directors</v>
      </c>
      <c r="N71" s="15" t="str">
        <f aca="false">IF($A71="","",INDEX(c_Notes,$A71)&amp;"")</f>
        <v>https://www.linkedin.com/in/perry-lau-wei-han-976901186/</v>
      </c>
    </row>
    <row r="72" customFormat="false" ht="15" hidden="false" customHeight="false" outlineLevel="0" collapsed="false">
      <c r="A72" s="32" t="n">
        <f aca="false">IFERROR(MATCH(ROW()-5,c_Seq,0),"")</f>
        <v>67</v>
      </c>
      <c r="B72" s="11" t="str">
        <f aca="false">IF($A72="","",INDEX(c_Name,$A72)&amp;"")</f>
        <v>Philip Tan</v>
      </c>
      <c r="C72" s="11" t="str">
        <f aca="false">IF($A72="","",INDEX(c_Firm,$A72)&amp;"")</f>
        <v>Finexis Advisory</v>
      </c>
      <c r="D72" s="11" t="str">
        <f aca="false">IF($A72="","",INDEX(c_Type,$A72)&amp;"")</f>
        <v>Adviser</v>
      </c>
      <c r="E72" s="11" t="str">
        <f aca="false">IF($A72="","",INDEX(c_Email,$A72)&amp;"")</f>
        <v>philip.tan@finexis.com.sg</v>
      </c>
      <c r="F72" s="34" t="str">
        <f aca="false">IF($A72="","",INDEX(c_Met,$A72)&amp;"")</f>
        <v>Yes</v>
      </c>
      <c r="G72" s="25" t="n">
        <f aca="false">IF($A72="","",IF(INDEX(c_Date,$A72)="","",INDEX(c_Date,$A72)))</f>
        <v>45933</v>
      </c>
      <c r="H72" s="33" t="n">
        <f aca="false">IF($A72="","",IF(INDEX(c_Days,$A72)="","",INDEX(c_Days,$A72)))</f>
        <v>308</v>
      </c>
      <c r="I72" s="40" t="n">
        <f aca="false">IF($A72="","",IF(INDEX(c_Mtgs,$A72)="","",INDEX(c_Mtgs,$A72)))</f>
        <v>1</v>
      </c>
      <c r="J72" s="11" t="str">
        <f aca="false">IF($A72="","",INDEX(c_EvtNames,$A72)&amp;"")</f>
        <v>May-26 Symposium</v>
      </c>
      <c r="K72" s="34" t="str">
        <f aca="false">IF($A72="","",INDEX(c_Invested,$A72)&amp;"")</f>
        <v>No</v>
      </c>
      <c r="L72" s="12" t="n">
        <f aca="false">IF($A72="","",IF(INDEX(c_AUM,$A72)="","",INDEX(c_AUM,$A72)))</f>
        <v>40000000</v>
      </c>
      <c r="M72" s="11" t="str">
        <f aca="false">IF($A72="","",INDEX(c_Source,$A72)&amp;"")</f>
        <v>Meeting List + ILP Data</v>
      </c>
      <c r="N72" s="11" t="str">
        <f aca="false">IF($A72="","",INDEX(c_Notes,$A72)&amp;"")</f>
        <v/>
      </c>
    </row>
    <row r="73" customFormat="false" ht="15" hidden="false" customHeight="false" outlineLevel="0" collapsed="false">
      <c r="A73" s="32" t="n">
        <f aca="false">IFERROR(MATCH(ROW()-5,c_Seq,0),"")</f>
        <v>68</v>
      </c>
      <c r="B73" s="15" t="str">
        <f aca="false">IF($A73="","",INDEX(c_Name,$A73)&amp;"")</f>
        <v>Shimin Chong</v>
      </c>
      <c r="C73" s="15" t="str">
        <f aca="false">IF($A73="","",INDEX(c_Firm,$A73)&amp;"")</f>
        <v>Finexis Advisory</v>
      </c>
      <c r="D73" s="15" t="str">
        <f aca="false">IF($A73="","",INDEX(c_Type,$A73)&amp;"")</f>
        <v>Branch Director</v>
      </c>
      <c r="E73" s="15" t="str">
        <f aca="false">IF($A73="","",INDEX(c_Email,$A73)&amp;"")</f>
        <v/>
      </c>
      <c r="F73" s="36" t="str">
        <f aca="false">IF($A73="","",INDEX(c_Met,$A73)&amp;"")</f>
        <v>No</v>
      </c>
      <c r="G73" s="26" t="str">
        <f aca="false">IF($A73="","",IF(INDEX(c_Date,$A73)="","",INDEX(c_Date,$A73)))</f>
        <v/>
      </c>
      <c r="H73" s="35" t="str">
        <f aca="false">IF($A73="","",IF(INDEX(c_Days,$A73)="","",INDEX(c_Days,$A73)))</f>
        <v/>
      </c>
      <c r="I73" s="41" t="n">
        <f aca="false">IF($A73="","",IF(INDEX(c_Mtgs,$A73)="","",INDEX(c_Mtgs,$A73)))</f>
        <v>0</v>
      </c>
      <c r="J73" s="15" t="str">
        <f aca="false">IF($A73="","",INDEX(c_EvtNames,$A73)&amp;"")</f>
        <v/>
      </c>
      <c r="K73" s="36" t="str">
        <f aca="false">IF($A73="","",INDEX(c_Invested,$A73)&amp;"")</f>
        <v>No</v>
      </c>
      <c r="L73" s="16" t="str">
        <f aca="false">IF($A73="","",IF(INDEX(c_AUM,$A73)="","",INDEX(c_AUM,$A73)))</f>
        <v/>
      </c>
      <c r="M73" s="15" t="str">
        <f aca="false">IF($A73="","",INDEX(c_Source,$A73)&amp;"")</f>
        <v>Branch Directors</v>
      </c>
      <c r="N73" s="15" t="str">
        <f aca="false">IF($A73="","",INDEX(c_Notes,$A73)&amp;"")</f>
        <v>https://www.linkedin.com/in/chongshimin/</v>
      </c>
    </row>
    <row r="74" customFormat="false" ht="15" hidden="false" customHeight="false" outlineLevel="0" collapsed="false">
      <c r="A74" s="32" t="n">
        <f aca="false">IFERROR(MATCH(ROW()-5,c_Seq,0),"")</f>
        <v>69</v>
      </c>
      <c r="B74" s="11" t="str">
        <f aca="false">IF($A74="","",INDEX(c_Name,$A74)&amp;"")</f>
        <v>Shinni Hong</v>
      </c>
      <c r="C74" s="11" t="str">
        <f aca="false">IF($A74="","",INDEX(c_Firm,$A74)&amp;"")</f>
        <v>Finexis Advisory</v>
      </c>
      <c r="D74" s="11" t="str">
        <f aca="false">IF($A74="","",INDEX(c_Type,$A74)&amp;"")</f>
        <v>Branch Director</v>
      </c>
      <c r="E74" s="11" t="str">
        <f aca="false">IF($A74="","",INDEX(c_Email,$A74)&amp;"")</f>
        <v/>
      </c>
      <c r="F74" s="34" t="str">
        <f aca="false">IF($A74="","",INDEX(c_Met,$A74)&amp;"")</f>
        <v>No</v>
      </c>
      <c r="G74" s="25" t="str">
        <f aca="false">IF($A74="","",IF(INDEX(c_Date,$A74)="","",INDEX(c_Date,$A74)))</f>
        <v/>
      </c>
      <c r="H74" s="33" t="str">
        <f aca="false">IF($A74="","",IF(INDEX(c_Days,$A74)="","",INDEX(c_Days,$A74)))</f>
        <v/>
      </c>
      <c r="I74" s="40" t="n">
        <f aca="false">IF($A74="","",IF(INDEX(c_Mtgs,$A74)="","",INDEX(c_Mtgs,$A74)))</f>
        <v>0</v>
      </c>
      <c r="J74" s="11" t="str">
        <f aca="false">IF($A74="","",INDEX(c_EvtNames,$A74)&amp;"")</f>
        <v/>
      </c>
      <c r="K74" s="34" t="str">
        <f aca="false">IF($A74="","",INDEX(c_Invested,$A74)&amp;"")</f>
        <v>No</v>
      </c>
      <c r="L74" s="12" t="str">
        <f aca="false">IF($A74="","",IF(INDEX(c_AUM,$A74)="","",INDEX(c_AUM,$A74)))</f>
        <v/>
      </c>
      <c r="M74" s="11" t="str">
        <f aca="false">IF($A74="","",INDEX(c_Source,$A74)&amp;"")</f>
        <v>Branch Directors</v>
      </c>
      <c r="N74" s="11" t="str">
        <f aca="false">IF($A74="","",INDEX(c_Notes,$A74)&amp;"")</f>
        <v>https://www.linkedin.com/in/shinni-hong-a9b0b2166/</v>
      </c>
    </row>
    <row r="75" customFormat="false" ht="15" hidden="false" customHeight="false" outlineLevel="0" collapsed="false">
      <c r="A75" s="32" t="n">
        <f aca="false">IFERROR(MATCH(ROW()-5,c_Seq,0),"")</f>
        <v>70</v>
      </c>
      <c r="B75" s="15" t="str">
        <f aca="false">IF($A75="","",INDEX(c_Name,$A75)&amp;"")</f>
        <v>Siew Yin Tan</v>
      </c>
      <c r="C75" s="15" t="str">
        <f aca="false">IF($A75="","",INDEX(c_Firm,$A75)&amp;"")</f>
        <v>Finexis Advisory</v>
      </c>
      <c r="D75" s="15" t="str">
        <f aca="false">IF($A75="","",INDEX(c_Type,$A75)&amp;"")</f>
        <v>Branch Director</v>
      </c>
      <c r="E75" s="15" t="str">
        <f aca="false">IF($A75="","",INDEX(c_Email,$A75)&amp;"")</f>
        <v/>
      </c>
      <c r="F75" s="36" t="str">
        <f aca="false">IF($A75="","",INDEX(c_Met,$A75)&amp;"")</f>
        <v>No</v>
      </c>
      <c r="G75" s="26" t="str">
        <f aca="false">IF($A75="","",IF(INDEX(c_Date,$A75)="","",INDEX(c_Date,$A75)))</f>
        <v/>
      </c>
      <c r="H75" s="35" t="str">
        <f aca="false">IF($A75="","",IF(INDEX(c_Days,$A75)="","",INDEX(c_Days,$A75)))</f>
        <v/>
      </c>
      <c r="I75" s="41" t="n">
        <f aca="false">IF($A75="","",IF(INDEX(c_Mtgs,$A75)="","",INDEX(c_Mtgs,$A75)))</f>
        <v>0</v>
      </c>
      <c r="J75" s="15" t="str">
        <f aca="false">IF($A75="","",INDEX(c_EvtNames,$A75)&amp;"")</f>
        <v/>
      </c>
      <c r="K75" s="36" t="str">
        <f aca="false">IF($A75="","",INDEX(c_Invested,$A75)&amp;"")</f>
        <v>No</v>
      </c>
      <c r="L75" s="16" t="str">
        <f aca="false">IF($A75="","",IF(INDEX(c_AUM,$A75)="","",INDEX(c_AUM,$A75)))</f>
        <v/>
      </c>
      <c r="M75" s="15" t="str">
        <f aca="false">IF($A75="","",INDEX(c_Source,$A75)&amp;"")</f>
        <v>Branch Directors</v>
      </c>
      <c r="N75" s="15" t="str">
        <f aca="false">IF($A75="","",INDEX(c_Notes,$A75)&amp;"")</f>
        <v>https://www.linkedin.com/in/siew-yin-tan-aepp%C2%AE-cfp%C2%AE-tot-18859373/</v>
      </c>
    </row>
    <row r="76" customFormat="false" ht="15" hidden="false" customHeight="false" outlineLevel="0" collapsed="false">
      <c r="A76" s="32" t="n">
        <f aca="false">IFERROR(MATCH(ROW()-5,c_Seq,0),"")</f>
        <v>71</v>
      </c>
      <c r="B76" s="11" t="str">
        <f aca="false">IF($A76="","",INDEX(c_Name,$A76)&amp;"")</f>
        <v>Stacey Lwin</v>
      </c>
      <c r="C76" s="11" t="str">
        <f aca="false">IF($A76="","",INDEX(c_Firm,$A76)&amp;"")</f>
        <v>Finexis Advisory</v>
      </c>
      <c r="D76" s="11" t="str">
        <f aca="false">IF($A76="","",INDEX(c_Type,$A76)&amp;"")</f>
        <v>Branch Director</v>
      </c>
      <c r="E76" s="11" t="str">
        <f aca="false">IF($A76="","",INDEX(c_Email,$A76)&amp;"")</f>
        <v/>
      </c>
      <c r="F76" s="34" t="str">
        <f aca="false">IF($A76="","",INDEX(c_Met,$A76)&amp;"")</f>
        <v>No</v>
      </c>
      <c r="G76" s="25" t="str">
        <f aca="false">IF($A76="","",IF(INDEX(c_Date,$A76)="","",INDEX(c_Date,$A76)))</f>
        <v/>
      </c>
      <c r="H76" s="33" t="str">
        <f aca="false">IF($A76="","",IF(INDEX(c_Days,$A76)="","",INDEX(c_Days,$A76)))</f>
        <v/>
      </c>
      <c r="I76" s="40" t="n">
        <f aca="false">IF($A76="","",IF(INDEX(c_Mtgs,$A76)="","",INDEX(c_Mtgs,$A76)))</f>
        <v>0</v>
      </c>
      <c r="J76" s="11" t="str">
        <f aca="false">IF($A76="","",INDEX(c_EvtNames,$A76)&amp;"")</f>
        <v/>
      </c>
      <c r="K76" s="34" t="str">
        <f aca="false">IF($A76="","",INDEX(c_Invested,$A76)&amp;"")</f>
        <v>No</v>
      </c>
      <c r="L76" s="12" t="str">
        <f aca="false">IF($A76="","",IF(INDEX(c_AUM,$A76)="","",INDEX(c_AUM,$A76)))</f>
        <v/>
      </c>
      <c r="M76" s="11" t="str">
        <f aca="false">IF($A76="","",INDEX(c_Source,$A76)&amp;"")</f>
        <v>Branch Directors</v>
      </c>
      <c r="N76" s="11" t="str">
        <f aca="false">IF($A76="","",INDEX(c_Notes,$A76)&amp;"")</f>
        <v>https://www.linkedin.com/in/staceylwin/</v>
      </c>
    </row>
    <row r="77" customFormat="false" ht="15" hidden="false" customHeight="false" outlineLevel="0" collapsed="false">
      <c r="A77" s="32" t="n">
        <f aca="false">IFERROR(MATCH(ROW()-5,c_Seq,0),"")</f>
        <v>72</v>
      </c>
      <c r="B77" s="15" t="str">
        <f aca="false">IF($A77="","",INDEX(c_Name,$A77)&amp;"")</f>
        <v>Tan Kwang Sheng</v>
      </c>
      <c r="C77" s="15" t="str">
        <f aca="false">IF($A77="","",INDEX(c_Firm,$A77)&amp;"")</f>
        <v>Finexis Advisory</v>
      </c>
      <c r="D77" s="15" t="str">
        <f aca="false">IF($A77="","",INDEX(c_Type,$A77)&amp;"")</f>
        <v>Branch Director</v>
      </c>
      <c r="E77" s="15" t="str">
        <f aca="false">IF($A77="","",INDEX(c_Email,$A77)&amp;"")</f>
        <v/>
      </c>
      <c r="F77" s="36" t="str">
        <f aca="false">IF($A77="","",INDEX(c_Met,$A77)&amp;"")</f>
        <v>No</v>
      </c>
      <c r="G77" s="26" t="str">
        <f aca="false">IF($A77="","",IF(INDEX(c_Date,$A77)="","",INDEX(c_Date,$A77)))</f>
        <v/>
      </c>
      <c r="H77" s="35" t="str">
        <f aca="false">IF($A77="","",IF(INDEX(c_Days,$A77)="","",INDEX(c_Days,$A77)))</f>
        <v/>
      </c>
      <c r="I77" s="41" t="n">
        <f aca="false">IF($A77="","",IF(INDEX(c_Mtgs,$A77)="","",INDEX(c_Mtgs,$A77)))</f>
        <v>0</v>
      </c>
      <c r="J77" s="15" t="str">
        <f aca="false">IF($A77="","",INDEX(c_EvtNames,$A77)&amp;"")</f>
        <v/>
      </c>
      <c r="K77" s="36" t="str">
        <f aca="false">IF($A77="","",INDEX(c_Invested,$A77)&amp;"")</f>
        <v>No</v>
      </c>
      <c r="L77" s="16" t="str">
        <f aca="false">IF($A77="","",IF(INDEX(c_AUM,$A77)="","",INDEX(c_AUM,$A77)))</f>
        <v/>
      </c>
      <c r="M77" s="15" t="str">
        <f aca="false">IF($A77="","",INDEX(c_Source,$A77)&amp;"")</f>
        <v>Branch Directors</v>
      </c>
      <c r="N77" s="15" t="str">
        <f aca="false">IF($A77="","",INDEX(c_Notes,$A77)&amp;"")</f>
        <v>https://www.linkedin.com/in/tan-kwang-sheng-4a8923172/</v>
      </c>
    </row>
    <row r="78" customFormat="false" ht="15" hidden="false" customHeight="false" outlineLevel="0" collapsed="false">
      <c r="A78" s="32" t="n">
        <f aca="false">IFERROR(MATCH(ROW()-5,c_Seq,0),"")</f>
        <v>73</v>
      </c>
      <c r="B78" s="11" t="str">
        <f aca="false">IF($A78="","",INDEX(c_Name,$A78)&amp;"")</f>
        <v>Tang Charles</v>
      </c>
      <c r="C78" s="11" t="str">
        <f aca="false">IF($A78="","",INDEX(c_Firm,$A78)&amp;"")</f>
        <v>Finexis Advisory</v>
      </c>
      <c r="D78" s="11" t="str">
        <f aca="false">IF($A78="","",INDEX(c_Type,$A78)&amp;"")</f>
        <v>Branch Director</v>
      </c>
      <c r="E78" s="11" t="str">
        <f aca="false">IF($A78="","",INDEX(c_Email,$A78)&amp;"")</f>
        <v/>
      </c>
      <c r="F78" s="34" t="str">
        <f aca="false">IF($A78="","",INDEX(c_Met,$A78)&amp;"")</f>
        <v>No</v>
      </c>
      <c r="G78" s="25" t="str">
        <f aca="false">IF($A78="","",IF(INDEX(c_Date,$A78)="","",INDEX(c_Date,$A78)))</f>
        <v/>
      </c>
      <c r="H78" s="33" t="str">
        <f aca="false">IF($A78="","",IF(INDEX(c_Days,$A78)="","",INDEX(c_Days,$A78)))</f>
        <v/>
      </c>
      <c r="I78" s="40" t="n">
        <f aca="false">IF($A78="","",IF(INDEX(c_Mtgs,$A78)="","",INDEX(c_Mtgs,$A78)))</f>
        <v>0</v>
      </c>
      <c r="J78" s="11" t="str">
        <f aca="false">IF($A78="","",INDEX(c_EvtNames,$A78)&amp;"")</f>
        <v/>
      </c>
      <c r="K78" s="34" t="str">
        <f aca="false">IF($A78="","",INDEX(c_Invested,$A78)&amp;"")</f>
        <v>No</v>
      </c>
      <c r="L78" s="12" t="str">
        <f aca="false">IF($A78="","",IF(INDEX(c_AUM,$A78)="","",INDEX(c_AUM,$A78)))</f>
        <v/>
      </c>
      <c r="M78" s="11" t="str">
        <f aca="false">IF($A78="","",INDEX(c_Source,$A78)&amp;"")</f>
        <v>Branch Directors</v>
      </c>
      <c r="N78" s="11" t="str">
        <f aca="false">IF($A78="","",INDEX(c_Notes,$A78)&amp;"")</f>
        <v>https://www.linkedin.com/in/tang-charles-2b311651/</v>
      </c>
    </row>
    <row r="79" customFormat="false" ht="15" hidden="false" customHeight="false" outlineLevel="0" collapsed="false">
      <c r="A79" s="32" t="n">
        <f aca="false">IFERROR(MATCH(ROW()-5,c_Seq,0),"")</f>
        <v>74</v>
      </c>
      <c r="B79" s="15" t="str">
        <f aca="false">IF($A79="","",INDEX(c_Name,$A79)&amp;"")</f>
        <v>Theresa Groyon</v>
      </c>
      <c r="C79" s="15" t="str">
        <f aca="false">IF($A79="","",INDEX(c_Firm,$A79)&amp;"")</f>
        <v>Finexis Advisory</v>
      </c>
      <c r="D79" s="15" t="str">
        <f aca="false">IF($A79="","",INDEX(c_Type,$A79)&amp;"")</f>
        <v>Branch Director</v>
      </c>
      <c r="E79" s="15" t="str">
        <f aca="false">IF($A79="","",INDEX(c_Email,$A79)&amp;"")</f>
        <v/>
      </c>
      <c r="F79" s="36" t="str">
        <f aca="false">IF($A79="","",INDEX(c_Met,$A79)&amp;"")</f>
        <v>No</v>
      </c>
      <c r="G79" s="26" t="str">
        <f aca="false">IF($A79="","",IF(INDEX(c_Date,$A79)="","",INDEX(c_Date,$A79)))</f>
        <v/>
      </c>
      <c r="H79" s="35" t="str">
        <f aca="false">IF($A79="","",IF(INDEX(c_Days,$A79)="","",INDEX(c_Days,$A79)))</f>
        <v/>
      </c>
      <c r="I79" s="41" t="n">
        <f aca="false">IF($A79="","",IF(INDEX(c_Mtgs,$A79)="","",INDEX(c_Mtgs,$A79)))</f>
        <v>0</v>
      </c>
      <c r="J79" s="15" t="str">
        <f aca="false">IF($A79="","",INDEX(c_EvtNames,$A79)&amp;"")</f>
        <v/>
      </c>
      <c r="K79" s="36" t="str">
        <f aca="false">IF($A79="","",INDEX(c_Invested,$A79)&amp;"")</f>
        <v>No</v>
      </c>
      <c r="L79" s="16" t="str">
        <f aca="false">IF($A79="","",IF(INDEX(c_AUM,$A79)="","",INDEX(c_AUM,$A79)))</f>
        <v/>
      </c>
      <c r="M79" s="15" t="str">
        <f aca="false">IF($A79="","",INDEX(c_Source,$A79)&amp;"")</f>
        <v>Branch Directors</v>
      </c>
      <c r="N79" s="15" t="str">
        <f aca="false">IF($A79="","",INDEX(c_Notes,$A79)&amp;"")</f>
        <v/>
      </c>
    </row>
    <row r="80" customFormat="false" ht="15" hidden="false" customHeight="false" outlineLevel="0" collapsed="false">
      <c r="A80" s="32" t="n">
        <f aca="false">IFERROR(MATCH(ROW()-5,c_Seq,0),"")</f>
        <v>75</v>
      </c>
      <c r="B80" s="11" t="str">
        <f aca="false">IF($A80="","",INDEX(c_Name,$A80)&amp;"")</f>
        <v>Yeo Chinwei</v>
      </c>
      <c r="C80" s="11" t="str">
        <f aca="false">IF($A80="","",INDEX(c_Firm,$A80)&amp;"")</f>
        <v>Finexis Advisory</v>
      </c>
      <c r="D80" s="11" t="str">
        <f aca="false">IF($A80="","",INDEX(c_Type,$A80)&amp;"")</f>
        <v>Adviser</v>
      </c>
      <c r="E80" s="11" t="str">
        <f aca="false">IF($A80="","",INDEX(c_Email,$A80)&amp;"")</f>
        <v>yeo.chinwei@finexis.com.sg</v>
      </c>
      <c r="F80" s="34" t="str">
        <f aca="false">IF($A80="","",INDEX(c_Met,$A80)&amp;"")</f>
        <v>No</v>
      </c>
      <c r="G80" s="25" t="str">
        <f aca="false">IF($A80="","",IF(INDEX(c_Date,$A80)="","",INDEX(c_Date,$A80)))</f>
        <v/>
      </c>
      <c r="H80" s="33" t="str">
        <f aca="false">IF($A80="","",IF(INDEX(c_Days,$A80)="","",INDEX(c_Days,$A80)))</f>
        <v/>
      </c>
      <c r="I80" s="40" t="n">
        <f aca="false">IF($A80="","",IF(INDEX(c_Mtgs,$A80)="","",INDEX(c_Mtgs,$A80)))</f>
        <v>0</v>
      </c>
      <c r="J80" s="11" t="str">
        <f aca="false">IF($A80="","",INDEX(c_EvtNames,$A80)&amp;"")</f>
        <v>May-26 Symposium</v>
      </c>
      <c r="K80" s="34" t="str">
        <f aca="false">IF($A80="","",INDEX(c_Invested,$A80)&amp;"")</f>
        <v>No</v>
      </c>
      <c r="L80" s="12" t="str">
        <f aca="false">IF($A80="","",IF(INDEX(c_AUM,$A80)="","",INDEX(c_AUM,$A80)))</f>
        <v/>
      </c>
      <c r="M80" s="11" t="str">
        <f aca="false">IF($A80="","",INDEX(c_Source,$A80)&amp;"")</f>
        <v>Meeting List + Branch Directors</v>
      </c>
      <c r="N80" s="11" t="str">
        <f aca="false">IF($A80="","",INDEX(c_Notes,$A80)&amp;"")</f>
        <v/>
      </c>
    </row>
    <row r="81" customFormat="false" ht="15" hidden="false" customHeight="false" outlineLevel="0" collapsed="false">
      <c r="A81" s="32" t="n">
        <f aca="false">IFERROR(MATCH(ROW()-5,c_Seq,0),"")</f>
        <v>76</v>
      </c>
      <c r="B81" s="15" t="str">
        <f aca="false">IF($A81="","",INDEX(c_Name,$A81)&amp;"")</f>
        <v>Zach Zhang</v>
      </c>
      <c r="C81" s="15" t="str">
        <f aca="false">IF($A81="","",INDEX(c_Firm,$A81)&amp;"")</f>
        <v>Finexis Advisory</v>
      </c>
      <c r="D81" s="15" t="str">
        <f aca="false">IF($A81="","",INDEX(c_Type,$A81)&amp;"")</f>
        <v>Branch Director</v>
      </c>
      <c r="E81" s="15" t="str">
        <f aca="false">IF($A81="","",INDEX(c_Email,$A81)&amp;"")</f>
        <v/>
      </c>
      <c r="F81" s="36" t="str">
        <f aca="false">IF($A81="","",INDEX(c_Met,$A81)&amp;"")</f>
        <v>No</v>
      </c>
      <c r="G81" s="26" t="str">
        <f aca="false">IF($A81="","",IF(INDEX(c_Date,$A81)="","",INDEX(c_Date,$A81)))</f>
        <v/>
      </c>
      <c r="H81" s="35" t="str">
        <f aca="false">IF($A81="","",IF(INDEX(c_Days,$A81)="","",INDEX(c_Days,$A81)))</f>
        <v/>
      </c>
      <c r="I81" s="41" t="n">
        <f aca="false">IF($A81="","",IF(INDEX(c_Mtgs,$A81)="","",INDEX(c_Mtgs,$A81)))</f>
        <v>0</v>
      </c>
      <c r="J81" s="15" t="str">
        <f aca="false">IF($A81="","",INDEX(c_EvtNames,$A81)&amp;"")</f>
        <v/>
      </c>
      <c r="K81" s="36" t="str">
        <f aca="false">IF($A81="","",INDEX(c_Invested,$A81)&amp;"")</f>
        <v>No</v>
      </c>
      <c r="L81" s="16" t="str">
        <f aca="false">IF($A81="","",IF(INDEX(c_AUM,$A81)="","",INDEX(c_AUM,$A81)))</f>
        <v/>
      </c>
      <c r="M81" s="15" t="str">
        <f aca="false">IF($A81="","",INDEX(c_Source,$A81)&amp;"")</f>
        <v>Branch Directors</v>
      </c>
      <c r="N81" s="15" t="str">
        <f aca="false">IF($A81="","",INDEX(c_Notes,$A81)&amp;"")</f>
        <v>https://www.linkedin.com/in/zach-zhang-a313b0139/</v>
      </c>
    </row>
    <row r="82" customFormat="false" ht="15" hidden="false" customHeight="false" outlineLevel="0" collapsed="false">
      <c r="A82" s="32" t="n">
        <f aca="false">IFERROR(MATCH(ROW()-5,c_Seq,0),"")</f>
        <v>77</v>
      </c>
      <c r="B82" s="11" t="str">
        <f aca="false">IF($A82="","",INDEX(c_Name,$A82)&amp;"")</f>
        <v>Martha Yu</v>
      </c>
      <c r="C82" s="11" t="str">
        <f aca="false">IF($A82="","",INDEX(c_Firm,$A82)&amp;"")</f>
        <v>Franklin Templeton</v>
      </c>
      <c r="D82" s="11" t="str">
        <f aca="false">IF($A82="","",INDEX(c_Type,$A82)&amp;"")</f>
        <v>Adviser</v>
      </c>
      <c r="E82" s="11" t="str">
        <f aca="false">IF($A82="","",INDEX(c_Email,$A82)&amp;"")</f>
        <v/>
      </c>
      <c r="F82" s="34" t="str">
        <f aca="false">IF($A82="","",INDEX(c_Met,$A82)&amp;"")</f>
        <v>No</v>
      </c>
      <c r="G82" s="25" t="str">
        <f aca="false">IF($A82="","",IF(INDEX(c_Date,$A82)="","",INDEX(c_Date,$A82)))</f>
        <v/>
      </c>
      <c r="H82" s="33" t="str">
        <f aca="false">IF($A82="","",IF(INDEX(c_Days,$A82)="","",INDEX(c_Days,$A82)))</f>
        <v/>
      </c>
      <c r="I82" s="40" t="n">
        <f aca="false">IF($A82="","",IF(INDEX(c_Mtgs,$A82)="","",INDEX(c_Mtgs,$A82)))</f>
        <v>0</v>
      </c>
      <c r="J82" s="11" t="str">
        <f aca="false">IF($A82="","",INDEX(c_EvtNames,$A82)&amp;"")</f>
        <v/>
      </c>
      <c r="K82" s="34" t="str">
        <f aca="false">IF($A82="","",INDEX(c_Invested,$A82)&amp;"")</f>
        <v>No</v>
      </c>
      <c r="L82" s="12" t="str">
        <f aca="false">IF($A82="","",IF(INDEX(c_AUM,$A82)="","",INDEX(c_AUM,$A82)))</f>
        <v/>
      </c>
      <c r="M82" s="11" t="str">
        <f aca="false">IF($A82="","",INDEX(c_Source,$A82)&amp;"")</f>
        <v>ILP Data</v>
      </c>
      <c r="N82" s="11" t="str">
        <f aca="false">IF($A82="","",INDEX(c_Notes,$A82)&amp;"")</f>
        <v>ILP: Unrelated</v>
      </c>
    </row>
    <row r="83" customFormat="false" ht="15" hidden="false" customHeight="false" outlineLevel="0" collapsed="false">
      <c r="A83" s="32" t="n">
        <f aca="false">IFERROR(MATCH(ROW()-5,c_Seq,0),"")</f>
        <v>78</v>
      </c>
      <c r="B83" s="15" t="str">
        <f aca="false">IF($A83="","",INDEX(c_Name,$A83)&amp;"")</f>
        <v>Daniel Sng Boon</v>
      </c>
      <c r="C83" s="15" t="str">
        <f aca="false">IF($A83="","",INDEX(c_Firm,$A83)&amp;"")</f>
        <v>Great Eastern Life</v>
      </c>
      <c r="D83" s="15" t="str">
        <f aca="false">IF($A83="","",INDEX(c_Type,$A83)&amp;"")</f>
        <v>Adviser</v>
      </c>
      <c r="E83" s="15" t="str">
        <f aca="false">IF($A83="","",INDEX(c_Email,$A83)&amp;"")</f>
        <v>danielsngbt@greateasternlife.com</v>
      </c>
      <c r="F83" s="36" t="str">
        <f aca="false">IF($A83="","",INDEX(c_Met,$A83)&amp;"")</f>
        <v>Yes</v>
      </c>
      <c r="G83" s="26" t="n">
        <f aca="false">IF($A83="","",IF(INDEX(c_Date,$A83)="","",INDEX(c_Date,$A83)))</f>
        <v>45989</v>
      </c>
      <c r="H83" s="35" t="n">
        <f aca="false">IF($A83="","",IF(INDEX(c_Days,$A83)="","",INDEX(c_Days,$A83)))</f>
        <v>252</v>
      </c>
      <c r="I83" s="41" t="n">
        <f aca="false">IF($A83="","",IF(INDEX(c_Mtgs,$A83)="","",INDEX(c_Mtgs,$A83)))</f>
        <v>1</v>
      </c>
      <c r="J83" s="15" t="str">
        <f aca="false">IF($A83="","",INDEX(c_EvtNames,$A83)&amp;"")</f>
        <v>Oct-25 Symposium</v>
      </c>
      <c r="K83" s="36" t="str">
        <f aca="false">IF($A83="","",INDEX(c_Invested,$A83)&amp;"")</f>
        <v>No</v>
      </c>
      <c r="L83" s="16" t="str">
        <f aca="false">IF($A83="","",IF(INDEX(c_AUM,$A83)="","",INDEX(c_AUM,$A83)))</f>
        <v/>
      </c>
      <c r="M83" s="15" t="str">
        <f aca="false">IF($A83="","",INDEX(c_Source,$A83)&amp;"")</f>
        <v>Meeting List + ILP Data</v>
      </c>
      <c r="N83" s="15" t="str">
        <f aca="false">IF($A83="","",INDEX(c_Notes,$A83)&amp;"")</f>
        <v>May-26: not available; ILP: Product</v>
      </c>
    </row>
    <row r="84" customFormat="false" ht="15" hidden="false" customHeight="false" outlineLevel="0" collapsed="false">
      <c r="A84" s="32" t="n">
        <f aca="false">IFERROR(MATCH(ROW()-5,c_Seq,0),"")</f>
        <v>79</v>
      </c>
      <c r="B84" s="11" t="str">
        <f aca="false">IF($A84="","",INDEX(c_Name,$A84)&amp;"")</f>
        <v>Bruce Tan</v>
      </c>
      <c r="C84" s="11" t="str">
        <f aca="false">IF($A84="","",INDEX(c_Firm,$A84)&amp;"")</f>
        <v>GYC Financial Advisory</v>
      </c>
      <c r="D84" s="11" t="str">
        <f aca="false">IF($A84="","",INDEX(c_Type,$A84)&amp;"")</f>
        <v>Adviser</v>
      </c>
      <c r="E84" s="11" t="str">
        <f aca="false">IF($A84="","",INDEX(c_Email,$A84)&amp;"")</f>
        <v>brucetan@gyc.com.sg</v>
      </c>
      <c r="F84" s="34" t="str">
        <f aca="false">IF($A84="","",INDEX(c_Met,$A84)&amp;"")</f>
        <v>Yes</v>
      </c>
      <c r="G84" s="25" t="n">
        <f aca="false">IF($A84="","",IF(INDEX(c_Date,$A84)="","",INDEX(c_Date,$A84)))</f>
        <v>45412</v>
      </c>
      <c r="H84" s="33" t="n">
        <f aca="false">IF($A84="","",IF(INDEX(c_Days,$A84)="","",INDEX(c_Days,$A84)))</f>
        <v>829</v>
      </c>
      <c r="I84" s="40" t="n">
        <f aca="false">IF($A84="","",IF(INDEX(c_Mtgs,$A84)="","",INDEX(c_Mtgs,$A84)))</f>
        <v>1</v>
      </c>
      <c r="J84" s="11" t="str">
        <f aca="false">IF($A84="","",INDEX(c_EvtNames,$A84)&amp;"")</f>
        <v/>
      </c>
      <c r="K84" s="34" t="str">
        <f aca="false">IF($A84="","",INDEX(c_Invested,$A84)&amp;"")</f>
        <v>TBC</v>
      </c>
      <c r="L84" s="12" t="str">
        <f aca="false">IF($A84="","",IF(INDEX(c_AUM,$A84)="","",INDEX(c_AUM,$A84)))</f>
        <v/>
      </c>
      <c r="M84" s="11" t="str">
        <f aca="false">IF($A84="","",INDEX(c_Source,$A84)&amp;"")</f>
        <v>Meeting List + ILP Data</v>
      </c>
      <c r="N84" s="11" t="str">
        <f aca="false">IF($A84="","",INDEX(c_Notes,$A84)&amp;"")</f>
        <v>ILP: Investment</v>
      </c>
    </row>
    <row r="85" customFormat="false" ht="15" hidden="false" customHeight="false" outlineLevel="0" collapsed="false">
      <c r="A85" s="32" t="n">
        <f aca="false">IFERROR(MATCH(ROW()-5,c_Seq,0),"")</f>
        <v>80</v>
      </c>
      <c r="B85" s="15" t="str">
        <f aca="false">IF($A85="","",INDEX(c_Name,$A85)&amp;"")</f>
        <v>Carl Chay</v>
      </c>
      <c r="C85" s="15" t="str">
        <f aca="false">IF($A85="","",INDEX(c_Firm,$A85)&amp;"")</f>
        <v>GYC Financial Advisory</v>
      </c>
      <c r="D85" s="15" t="str">
        <f aca="false">IF($A85="","",INDEX(c_Type,$A85)&amp;"")</f>
        <v>Adviser</v>
      </c>
      <c r="E85" s="15" t="str">
        <f aca="false">IF($A85="","",INDEX(c_Email,$A85)&amp;"")</f>
        <v>carlchay@gyc.com.sg</v>
      </c>
      <c r="F85" s="36" t="str">
        <f aca="false">IF($A85="","",INDEX(c_Met,$A85)&amp;"")</f>
        <v>Yes</v>
      </c>
      <c r="G85" s="26" t="n">
        <f aca="false">IF($A85="","",IF(INDEX(c_Date,$A85)="","",INDEX(c_Date,$A85)))</f>
        <v>45412</v>
      </c>
      <c r="H85" s="35" t="n">
        <f aca="false">IF($A85="","",IF(INDEX(c_Days,$A85)="","",INDEX(c_Days,$A85)))</f>
        <v>829</v>
      </c>
      <c r="I85" s="41" t="n">
        <f aca="false">IF($A85="","",IF(INDEX(c_Mtgs,$A85)="","",INDEX(c_Mtgs,$A85)))</f>
        <v>1</v>
      </c>
      <c r="J85" s="15" t="str">
        <f aca="false">IF($A85="","",INDEX(c_EvtNames,$A85)&amp;"")</f>
        <v/>
      </c>
      <c r="K85" s="36" t="str">
        <f aca="false">IF($A85="","",INDEX(c_Invested,$A85)&amp;"")</f>
        <v>TBC</v>
      </c>
      <c r="L85" s="16" t="str">
        <f aca="false">IF($A85="","",IF(INDEX(c_AUM,$A85)="","",INDEX(c_AUM,$A85)))</f>
        <v/>
      </c>
      <c r="M85" s="15" t="str">
        <f aca="false">IF($A85="","",INDEX(c_Source,$A85)&amp;"")</f>
        <v>Meeting List + ILP Data</v>
      </c>
      <c r="N85" s="15" t="str">
        <f aca="false">IF($A85="","",INDEX(c_Notes,$A85)&amp;"")</f>
        <v>ILP: Investment</v>
      </c>
    </row>
    <row r="86" customFormat="false" ht="15" hidden="false" customHeight="false" outlineLevel="0" collapsed="false">
      <c r="A86" s="32" t="n">
        <f aca="false">IFERROR(MATCH(ROW()-5,c_Seq,0),"")</f>
        <v>81</v>
      </c>
      <c r="B86" s="11" t="str">
        <f aca="false">IF($A86="","",INDEX(c_Name,$A86)&amp;"")</f>
        <v>Poh Choon</v>
      </c>
      <c r="C86" s="11" t="str">
        <f aca="false">IF($A86="","",INDEX(c_Firm,$A86)&amp;"")</f>
        <v>H2O AM (internal)</v>
      </c>
      <c r="D86" s="11" t="str">
        <f aca="false">IF($A86="","",INDEX(c_Type,$A86)&amp;"")</f>
        <v>Adviser</v>
      </c>
      <c r="E86" s="11" t="str">
        <f aca="false">IF($A86="","",INDEX(c_Email,$A86)&amp;"")</f>
        <v>pohchoon.lye@h2o-am.com</v>
      </c>
      <c r="F86" s="34" t="str">
        <f aca="false">IF($A86="","",INDEX(c_Met,$A86)&amp;"")</f>
        <v>No</v>
      </c>
      <c r="G86" s="25" t="str">
        <f aca="false">IF($A86="","",IF(INDEX(c_Date,$A86)="","",INDEX(c_Date,$A86)))</f>
        <v/>
      </c>
      <c r="H86" s="33" t="str">
        <f aca="false">IF($A86="","",IF(INDEX(c_Days,$A86)="","",INDEX(c_Days,$A86)))</f>
        <v/>
      </c>
      <c r="I86" s="40" t="n">
        <f aca="false">IF($A86="","",IF(INDEX(c_Mtgs,$A86)="","",INDEX(c_Mtgs,$A86)))</f>
        <v>0</v>
      </c>
      <c r="J86" s="11" t="str">
        <f aca="false">IF($A86="","",INDEX(c_EvtNames,$A86)&amp;"")</f>
        <v>May-26 Symposium</v>
      </c>
      <c r="K86" s="34" t="str">
        <f aca="false">IF($A86="","",INDEX(c_Invested,$A86)&amp;"")</f>
        <v>No</v>
      </c>
      <c r="L86" s="12" t="str">
        <f aca="false">IF($A86="","",IF(INDEX(c_AUM,$A86)="","",INDEX(c_AUM,$A86)))</f>
        <v/>
      </c>
      <c r="M86" s="11" t="str">
        <f aca="false">IF($A86="","",INDEX(c_Source,$A86)&amp;"")</f>
        <v>Meeting List</v>
      </c>
      <c r="N86" s="11" t="str">
        <f aca="false">IF($A86="","",INDEX(c_Notes,$A86)&amp;"")</f>
        <v/>
      </c>
    </row>
    <row r="87" customFormat="false" ht="15" hidden="false" customHeight="false" outlineLevel="0" collapsed="false">
      <c r="A87" s="32" t="n">
        <f aca="false">IFERROR(MATCH(ROW()-5,c_Seq,0),"")</f>
        <v>82</v>
      </c>
      <c r="B87" s="15" t="str">
        <f aca="false">IF($A87="","",INDEX(c_Name,$A87)&amp;"")</f>
        <v>Preston Hong</v>
      </c>
      <c r="C87" s="15" t="str">
        <f aca="false">IF($A87="","",INDEX(c_Firm,$A87)&amp;"")</f>
        <v>HSBC Life</v>
      </c>
      <c r="D87" s="15" t="str">
        <f aca="false">IF($A87="","",INDEX(c_Type,$A87)&amp;"")</f>
        <v>Adviser</v>
      </c>
      <c r="E87" s="15" t="str">
        <f aca="false">IF($A87="","",INDEX(c_Email,$A87)&amp;"")</f>
        <v>preston.hong@hsbc.com.sg</v>
      </c>
      <c r="F87" s="36" t="str">
        <f aca="false">IF($A87="","",INDEX(c_Met,$A87)&amp;"")</f>
        <v>Yes</v>
      </c>
      <c r="G87" s="26" t="n">
        <f aca="false">IF($A87="","",IF(INDEX(c_Date,$A87)="","",INDEX(c_Date,$A87)))</f>
        <v>46062</v>
      </c>
      <c r="H87" s="35" t="n">
        <f aca="false">IF($A87="","",IF(INDEX(c_Days,$A87)="","",INDEX(c_Days,$A87)))</f>
        <v>179</v>
      </c>
      <c r="I87" s="41" t="n">
        <f aca="false">IF($A87="","",IF(INDEX(c_Mtgs,$A87)="","",INDEX(c_Mtgs,$A87)))</f>
        <v>1</v>
      </c>
      <c r="J87" s="15" t="str">
        <f aca="false">IF($A87="","",INDEX(c_EvtNames,$A87)&amp;"")</f>
        <v/>
      </c>
      <c r="K87" s="36" t="str">
        <f aca="false">IF($A87="","",INDEX(c_Invested,$A87)&amp;"")</f>
        <v>No</v>
      </c>
      <c r="L87" s="16" t="n">
        <f aca="false">IF($A87="","",IF(INDEX(c_AUM,$A87)="","",INDEX(c_AUM,$A87)))</f>
        <v>5000000</v>
      </c>
      <c r="M87" s="15" t="str">
        <f aca="false">IF($A87="","",INDEX(c_Source,$A87)&amp;"")</f>
        <v>Meeting List + ILP Data</v>
      </c>
      <c r="N87" s="15" t="str">
        <f aca="false">IF($A87="","",INDEX(c_Notes,$A87)&amp;"")</f>
        <v>May-26: not available</v>
      </c>
    </row>
    <row r="88" customFormat="false" ht="15" hidden="false" customHeight="false" outlineLevel="0" collapsed="false">
      <c r="A88" s="32" t="n">
        <f aca="false">IFERROR(MATCH(ROW()-5,c_Seq,0),"")</f>
        <v>83</v>
      </c>
      <c r="B88" s="11" t="str">
        <f aca="false">IF($A88="","",INDEX(c_Name,$A88)&amp;"")</f>
        <v>Aimee Tan</v>
      </c>
      <c r="C88" s="11" t="str">
        <f aca="false">IF($A88="","",INDEX(c_Firm,$A88)&amp;"")</f>
        <v>iFast</v>
      </c>
      <c r="D88" s="11" t="str">
        <f aca="false">IF($A88="","",INDEX(c_Type,$A88)&amp;"")</f>
        <v>Adviser</v>
      </c>
      <c r="E88" s="11" t="str">
        <f aca="false">IF($A88="","",INDEX(c_Email,$A88)&amp;"")</f>
        <v>aimee.tan@ifastgm.com</v>
      </c>
      <c r="F88" s="34" t="str">
        <f aca="false">IF($A88="","",INDEX(c_Met,$A88)&amp;"")</f>
        <v>No</v>
      </c>
      <c r="G88" s="25" t="str">
        <f aca="false">IF($A88="","",IF(INDEX(c_Date,$A88)="","",INDEX(c_Date,$A88)))</f>
        <v/>
      </c>
      <c r="H88" s="33" t="str">
        <f aca="false">IF($A88="","",IF(INDEX(c_Days,$A88)="","",INDEX(c_Days,$A88)))</f>
        <v/>
      </c>
      <c r="I88" s="40" t="n">
        <f aca="false">IF($A88="","",IF(INDEX(c_Mtgs,$A88)="","",INDEX(c_Mtgs,$A88)))</f>
        <v>0</v>
      </c>
      <c r="J88" s="11" t="str">
        <f aca="false">IF($A88="","",INDEX(c_EvtNames,$A88)&amp;"")</f>
        <v>Oct-25 Symposium</v>
      </c>
      <c r="K88" s="34" t="str">
        <f aca="false">IF($A88="","",INDEX(c_Invested,$A88)&amp;"")</f>
        <v>No</v>
      </c>
      <c r="L88" s="12" t="n">
        <f aca="false">IF($A88="","",IF(INDEX(c_AUM,$A88)="","",INDEX(c_AUM,$A88)))</f>
        <v>18000000</v>
      </c>
      <c r="M88" s="11" t="str">
        <f aca="false">IF($A88="","",INDEX(c_Source,$A88)&amp;"")</f>
        <v>Meeting List + ILP Data</v>
      </c>
      <c r="N88" s="11" t="str">
        <f aca="false">IF($A88="","",INDEX(c_Notes,$A88)&amp;"")</f>
        <v>May-26: not available</v>
      </c>
    </row>
    <row r="89" customFormat="false" ht="15" hidden="false" customHeight="false" outlineLevel="0" collapsed="false">
      <c r="A89" s="32" t="n">
        <f aca="false">IFERROR(MATCH(ROW()-5,c_Seq,0),"")</f>
        <v>84</v>
      </c>
      <c r="B89" s="15" t="str">
        <f aca="false">IF($A89="","",INDEX(c_Name,$A89)&amp;"")</f>
        <v>Amir Hamzah</v>
      </c>
      <c r="C89" s="15" t="str">
        <f aca="false">IF($A89="","",INDEX(c_Firm,$A89)&amp;"")</f>
        <v>iFast</v>
      </c>
      <c r="D89" s="15" t="str">
        <f aca="false">IF($A89="","",INDEX(c_Type,$A89)&amp;"")</f>
        <v>Branch Director</v>
      </c>
      <c r="E89" s="15" t="str">
        <f aca="false">IF($A89="","",INDEX(c_Email,$A89)&amp;"")</f>
        <v/>
      </c>
      <c r="F89" s="36" t="str">
        <f aca="false">IF($A89="","",INDEX(c_Met,$A89)&amp;"")</f>
        <v>No</v>
      </c>
      <c r="G89" s="26" t="str">
        <f aca="false">IF($A89="","",IF(INDEX(c_Date,$A89)="","",INDEX(c_Date,$A89)))</f>
        <v/>
      </c>
      <c r="H89" s="35" t="str">
        <f aca="false">IF($A89="","",IF(INDEX(c_Days,$A89)="","",INDEX(c_Days,$A89)))</f>
        <v/>
      </c>
      <c r="I89" s="41" t="n">
        <f aca="false">IF($A89="","",IF(INDEX(c_Mtgs,$A89)="","",INDEX(c_Mtgs,$A89)))</f>
        <v>0</v>
      </c>
      <c r="J89" s="15" t="str">
        <f aca="false">IF($A89="","",INDEX(c_EvtNames,$A89)&amp;"")</f>
        <v/>
      </c>
      <c r="K89" s="36" t="str">
        <f aca="false">IF($A89="","",INDEX(c_Invested,$A89)&amp;"")</f>
        <v>No</v>
      </c>
      <c r="L89" s="16" t="str">
        <f aca="false">IF($A89="","",IF(INDEX(c_AUM,$A89)="","",INDEX(c_AUM,$A89)))</f>
        <v/>
      </c>
      <c r="M89" s="15" t="str">
        <f aca="false">IF($A89="","",INDEX(c_Source,$A89)&amp;"")</f>
        <v>Branch Directors</v>
      </c>
      <c r="N89" s="15" t="str">
        <f aca="false">IF($A89="","",INDEX(c_Notes,$A89)&amp;"")</f>
        <v/>
      </c>
    </row>
    <row r="90" customFormat="false" ht="15" hidden="false" customHeight="false" outlineLevel="0" collapsed="false">
      <c r="A90" s="32" t="n">
        <f aca="false">IFERROR(MATCH(ROW()-5,c_Seq,0),"")</f>
        <v>85</v>
      </c>
      <c r="B90" s="11" t="str">
        <f aca="false">IF($A90="","",INDEX(c_Name,$A90)&amp;"")</f>
        <v>Bernard Chan</v>
      </c>
      <c r="C90" s="11" t="str">
        <f aca="false">IF($A90="","",INDEX(c_Firm,$A90)&amp;"")</f>
        <v>iFast</v>
      </c>
      <c r="D90" s="11" t="str">
        <f aca="false">IF($A90="","",INDEX(c_Type,$A90)&amp;"")</f>
        <v>Branch Director</v>
      </c>
      <c r="E90" s="11" t="str">
        <f aca="false">IF($A90="","",INDEX(c_Email,$A90)&amp;"")</f>
        <v/>
      </c>
      <c r="F90" s="34" t="str">
        <f aca="false">IF($A90="","",INDEX(c_Met,$A90)&amp;"")</f>
        <v>No</v>
      </c>
      <c r="G90" s="25" t="str">
        <f aca="false">IF($A90="","",IF(INDEX(c_Date,$A90)="","",INDEX(c_Date,$A90)))</f>
        <v/>
      </c>
      <c r="H90" s="33" t="str">
        <f aca="false">IF($A90="","",IF(INDEX(c_Days,$A90)="","",INDEX(c_Days,$A90)))</f>
        <v/>
      </c>
      <c r="I90" s="40" t="n">
        <f aca="false">IF($A90="","",IF(INDEX(c_Mtgs,$A90)="","",INDEX(c_Mtgs,$A90)))</f>
        <v>0</v>
      </c>
      <c r="J90" s="11" t="str">
        <f aca="false">IF($A90="","",INDEX(c_EvtNames,$A90)&amp;"")</f>
        <v/>
      </c>
      <c r="K90" s="34" t="str">
        <f aca="false">IF($A90="","",INDEX(c_Invested,$A90)&amp;"")</f>
        <v>No</v>
      </c>
      <c r="L90" s="12" t="str">
        <f aca="false">IF($A90="","",IF(INDEX(c_AUM,$A90)="","",INDEX(c_AUM,$A90)))</f>
        <v/>
      </c>
      <c r="M90" s="11" t="str">
        <f aca="false">IF($A90="","",INDEX(c_Source,$A90)&amp;"")</f>
        <v>Branch Directors</v>
      </c>
      <c r="N90" s="11" t="str">
        <f aca="false">IF($A90="","",INDEX(c_Notes,$A90)&amp;"")</f>
        <v/>
      </c>
    </row>
    <row r="91" customFormat="false" ht="15" hidden="false" customHeight="false" outlineLevel="0" collapsed="false">
      <c r="A91" s="32" t="n">
        <f aca="false">IFERROR(MATCH(ROW()-5,c_Seq,0),"")</f>
        <v>86</v>
      </c>
      <c r="B91" s="15" t="str">
        <f aca="false">IF($A91="","",INDEX(c_Name,$A91)&amp;"")</f>
        <v>Brenda Lee Sheue Yee</v>
      </c>
      <c r="C91" s="15" t="str">
        <f aca="false">IF($A91="","",INDEX(c_Firm,$A91)&amp;"")</f>
        <v>iFast</v>
      </c>
      <c r="D91" s="15" t="str">
        <f aca="false">IF($A91="","",INDEX(c_Type,$A91)&amp;"")</f>
        <v>Consultant</v>
      </c>
      <c r="E91" s="15" t="str">
        <f aca="false">IF($A91="","",INDEX(c_Email,$A91)&amp;"")</f>
        <v/>
      </c>
      <c r="F91" s="36" t="str">
        <f aca="false">IF($A91="","",INDEX(c_Met,$A91)&amp;"")</f>
        <v>No</v>
      </c>
      <c r="G91" s="26" t="str">
        <f aca="false">IF($A91="","",IF(INDEX(c_Date,$A91)="","",INDEX(c_Date,$A91)))</f>
        <v/>
      </c>
      <c r="H91" s="35" t="str">
        <f aca="false">IF($A91="","",IF(INDEX(c_Days,$A91)="","",INDEX(c_Days,$A91)))</f>
        <v/>
      </c>
      <c r="I91" s="41" t="n">
        <f aca="false">IF($A91="","",IF(INDEX(c_Mtgs,$A91)="","",INDEX(c_Mtgs,$A91)))</f>
        <v>0</v>
      </c>
      <c r="J91" s="15" t="str">
        <f aca="false">IF($A91="","",INDEX(c_EvtNames,$A91)&amp;"")</f>
        <v/>
      </c>
      <c r="K91" s="36" t="str">
        <f aca="false">IF($A91="","",INDEX(c_Invested,$A91)&amp;"")</f>
        <v>No</v>
      </c>
      <c r="L91" s="16" t="str">
        <f aca="false">IF($A91="","",IF(INDEX(c_AUM,$A91)="","",INDEX(c_AUM,$A91)))</f>
        <v/>
      </c>
      <c r="M91" s="15" t="str">
        <f aca="false">IF($A91="","",INDEX(c_Source,$A91)&amp;"")</f>
        <v>Branch Directors</v>
      </c>
      <c r="N91" s="15" t="str">
        <f aca="false">IF($A91="","",INDEX(c_Notes,$A91)&amp;"")</f>
        <v>Reports to Bernard Chan</v>
      </c>
    </row>
    <row r="92" customFormat="false" ht="15" hidden="false" customHeight="false" outlineLevel="0" collapsed="false">
      <c r="A92" s="32" t="n">
        <f aca="false">IFERROR(MATCH(ROW()-5,c_Seq,0),"")</f>
        <v>87</v>
      </c>
      <c r="B92" s="11" t="str">
        <f aca="false">IF($A92="","",INDEX(c_Name,$A92)&amp;"")</f>
        <v>Brian Koo Chew Sze</v>
      </c>
      <c r="C92" s="11" t="str">
        <f aca="false">IF($A92="","",INDEX(c_Firm,$A92)&amp;"")</f>
        <v>iFast</v>
      </c>
      <c r="D92" s="11" t="str">
        <f aca="false">IF($A92="","",INDEX(c_Type,$A92)&amp;"")</f>
        <v>Branch Director</v>
      </c>
      <c r="E92" s="11" t="str">
        <f aca="false">IF($A92="","",INDEX(c_Email,$A92)&amp;"")</f>
        <v/>
      </c>
      <c r="F92" s="34" t="str">
        <f aca="false">IF($A92="","",INDEX(c_Met,$A92)&amp;"")</f>
        <v>No</v>
      </c>
      <c r="G92" s="25" t="str">
        <f aca="false">IF($A92="","",IF(INDEX(c_Date,$A92)="","",INDEX(c_Date,$A92)))</f>
        <v/>
      </c>
      <c r="H92" s="33" t="str">
        <f aca="false">IF($A92="","",IF(INDEX(c_Days,$A92)="","",INDEX(c_Days,$A92)))</f>
        <v/>
      </c>
      <c r="I92" s="40" t="n">
        <f aca="false">IF($A92="","",IF(INDEX(c_Mtgs,$A92)="","",INDEX(c_Mtgs,$A92)))</f>
        <v>0</v>
      </c>
      <c r="J92" s="11" t="str">
        <f aca="false">IF($A92="","",INDEX(c_EvtNames,$A92)&amp;"")</f>
        <v/>
      </c>
      <c r="K92" s="34" t="str">
        <f aca="false">IF($A92="","",INDEX(c_Invested,$A92)&amp;"")</f>
        <v>No</v>
      </c>
      <c r="L92" s="12" t="str">
        <f aca="false">IF($A92="","",IF(INDEX(c_AUM,$A92)="","",INDEX(c_AUM,$A92)))</f>
        <v/>
      </c>
      <c r="M92" s="11" t="str">
        <f aca="false">IF($A92="","",INDEX(c_Source,$A92)&amp;"")</f>
        <v>Branch Directors</v>
      </c>
      <c r="N92" s="11" t="str">
        <f aca="false">IF($A92="","",INDEX(c_Notes,$A92)&amp;"")</f>
        <v/>
      </c>
    </row>
    <row r="93" customFormat="false" ht="15" hidden="false" customHeight="false" outlineLevel="0" collapsed="false">
      <c r="A93" s="32" t="n">
        <f aca="false">IFERROR(MATCH(ROW()-5,c_Seq,0),"")</f>
        <v>88</v>
      </c>
      <c r="B93" s="15" t="str">
        <f aca="false">IF($A93="","",INDEX(c_Name,$A93)&amp;"")</f>
        <v>Derek Ho Wee Teck</v>
      </c>
      <c r="C93" s="15" t="str">
        <f aca="false">IF($A93="","",INDEX(c_Firm,$A93)&amp;"")</f>
        <v>iFast</v>
      </c>
      <c r="D93" s="15" t="str">
        <f aca="false">IF($A93="","",INDEX(c_Type,$A93)&amp;"")</f>
        <v>Consultant</v>
      </c>
      <c r="E93" s="15" t="str">
        <f aca="false">IF($A93="","",INDEX(c_Email,$A93)&amp;"")</f>
        <v/>
      </c>
      <c r="F93" s="36" t="str">
        <f aca="false">IF($A93="","",INDEX(c_Met,$A93)&amp;"")</f>
        <v>No</v>
      </c>
      <c r="G93" s="26" t="str">
        <f aca="false">IF($A93="","",IF(INDEX(c_Date,$A93)="","",INDEX(c_Date,$A93)))</f>
        <v/>
      </c>
      <c r="H93" s="35" t="str">
        <f aca="false">IF($A93="","",IF(INDEX(c_Days,$A93)="","",INDEX(c_Days,$A93)))</f>
        <v/>
      </c>
      <c r="I93" s="41" t="n">
        <f aca="false">IF($A93="","",IF(INDEX(c_Mtgs,$A93)="","",INDEX(c_Mtgs,$A93)))</f>
        <v>0</v>
      </c>
      <c r="J93" s="15" t="str">
        <f aca="false">IF($A93="","",INDEX(c_EvtNames,$A93)&amp;"")</f>
        <v/>
      </c>
      <c r="K93" s="36" t="str">
        <f aca="false">IF($A93="","",INDEX(c_Invested,$A93)&amp;"")</f>
        <v>No</v>
      </c>
      <c r="L93" s="16" t="str">
        <f aca="false">IF($A93="","",IF(INDEX(c_AUM,$A93)="","",INDEX(c_AUM,$A93)))</f>
        <v/>
      </c>
      <c r="M93" s="15" t="str">
        <f aca="false">IF($A93="","",INDEX(c_Source,$A93)&amp;"")</f>
        <v>Branch Directors</v>
      </c>
      <c r="N93" s="15" t="str">
        <f aca="false">IF($A93="","",INDEX(c_Notes,$A93)&amp;"")</f>
        <v>Reports to Bernard Chan</v>
      </c>
    </row>
    <row r="94" customFormat="false" ht="15" hidden="false" customHeight="false" outlineLevel="0" collapsed="false">
      <c r="A94" s="32" t="n">
        <f aca="false">IFERROR(MATCH(ROW()-5,c_Seq,0),"")</f>
        <v>89</v>
      </c>
      <c r="B94" s="11" t="str">
        <f aca="false">IF($A94="","",INDEX(c_Name,$A94)&amp;"")</f>
        <v>Diana Tan</v>
      </c>
      <c r="C94" s="11" t="str">
        <f aca="false">IF($A94="","",INDEX(c_Firm,$A94)&amp;"")</f>
        <v>iFast</v>
      </c>
      <c r="D94" s="11" t="str">
        <f aca="false">IF($A94="","",INDEX(c_Type,$A94)&amp;"")</f>
        <v>Adviser</v>
      </c>
      <c r="E94" s="11" t="str">
        <f aca="false">IF($A94="","",INDEX(c_Email,$A94)&amp;"")</f>
        <v>diana.tan@ifastgm.com</v>
      </c>
      <c r="F94" s="34" t="str">
        <f aca="false">IF($A94="","",INDEX(c_Met,$A94)&amp;"")</f>
        <v>No</v>
      </c>
      <c r="G94" s="25" t="str">
        <f aca="false">IF($A94="","",IF(INDEX(c_Date,$A94)="","",INDEX(c_Date,$A94)))</f>
        <v/>
      </c>
      <c r="H94" s="33" t="str">
        <f aca="false">IF($A94="","",IF(INDEX(c_Days,$A94)="","",INDEX(c_Days,$A94)))</f>
        <v/>
      </c>
      <c r="I94" s="40" t="n">
        <f aca="false">IF($A94="","",IF(INDEX(c_Mtgs,$A94)="","",INDEX(c_Mtgs,$A94)))</f>
        <v>0</v>
      </c>
      <c r="J94" s="11" t="str">
        <f aca="false">IF($A94="","",INDEX(c_EvtNames,$A94)&amp;"")</f>
        <v>May-26 Symposium</v>
      </c>
      <c r="K94" s="34" t="str">
        <f aca="false">IF($A94="","",INDEX(c_Invested,$A94)&amp;"")</f>
        <v>No</v>
      </c>
      <c r="L94" s="12" t="str">
        <f aca="false">IF($A94="","",IF(INDEX(c_AUM,$A94)="","",INDEX(c_AUM,$A94)))</f>
        <v/>
      </c>
      <c r="M94" s="11" t="str">
        <f aca="false">IF($A94="","",INDEX(c_Source,$A94)&amp;"")</f>
        <v>Meeting List + Branch Directors</v>
      </c>
      <c r="N94" s="11" t="str">
        <f aca="false">IF($A94="","",INDEX(c_Notes,$A94)&amp;"")</f>
        <v/>
      </c>
    </row>
    <row r="95" customFormat="false" ht="15" hidden="false" customHeight="false" outlineLevel="0" collapsed="false">
      <c r="A95" s="32" t="n">
        <f aca="false">IFERROR(MATCH(ROW()-5,c_Seq,0),"")</f>
        <v>90</v>
      </c>
      <c r="B95" s="15" t="str">
        <f aca="false">IF($A95="","",INDEX(c_Name,$A95)&amp;"")</f>
        <v>Elise Tan Ee Fei</v>
      </c>
      <c r="C95" s="15" t="str">
        <f aca="false">IF($A95="","",INDEX(c_Firm,$A95)&amp;"")</f>
        <v>iFast</v>
      </c>
      <c r="D95" s="15" t="str">
        <f aca="false">IF($A95="","",INDEX(c_Type,$A95)&amp;"")</f>
        <v>Consultant</v>
      </c>
      <c r="E95" s="15" t="str">
        <f aca="false">IF($A95="","",INDEX(c_Email,$A95)&amp;"")</f>
        <v/>
      </c>
      <c r="F95" s="36" t="str">
        <f aca="false">IF($A95="","",INDEX(c_Met,$A95)&amp;"")</f>
        <v>No</v>
      </c>
      <c r="G95" s="26" t="str">
        <f aca="false">IF($A95="","",IF(INDEX(c_Date,$A95)="","",INDEX(c_Date,$A95)))</f>
        <v/>
      </c>
      <c r="H95" s="35" t="str">
        <f aca="false">IF($A95="","",IF(INDEX(c_Days,$A95)="","",INDEX(c_Days,$A95)))</f>
        <v/>
      </c>
      <c r="I95" s="41" t="n">
        <f aca="false">IF($A95="","",IF(INDEX(c_Mtgs,$A95)="","",INDEX(c_Mtgs,$A95)))</f>
        <v>0</v>
      </c>
      <c r="J95" s="15" t="str">
        <f aca="false">IF($A95="","",INDEX(c_EvtNames,$A95)&amp;"")</f>
        <v/>
      </c>
      <c r="K95" s="36" t="str">
        <f aca="false">IF($A95="","",INDEX(c_Invested,$A95)&amp;"")</f>
        <v>No</v>
      </c>
      <c r="L95" s="16" t="str">
        <f aca="false">IF($A95="","",IF(INDEX(c_AUM,$A95)="","",INDEX(c_AUM,$A95)))</f>
        <v/>
      </c>
      <c r="M95" s="15" t="str">
        <f aca="false">IF($A95="","",INDEX(c_Source,$A95)&amp;"")</f>
        <v>Branch Directors</v>
      </c>
      <c r="N95" s="15" t="str">
        <f aca="false">IF($A95="","",INDEX(c_Notes,$A95)&amp;"")</f>
        <v>Reports to Bernard Chan</v>
      </c>
    </row>
    <row r="96" customFormat="false" ht="15" hidden="false" customHeight="false" outlineLevel="0" collapsed="false">
      <c r="A96" s="32" t="n">
        <f aca="false">IFERROR(MATCH(ROW()-5,c_Seq,0),"")</f>
        <v>91</v>
      </c>
      <c r="B96" s="11" t="str">
        <f aca="false">IF($A96="","",INDEX(c_Name,$A96)&amp;"")</f>
        <v>Francis Khew Guan Jie</v>
      </c>
      <c r="C96" s="11" t="str">
        <f aca="false">IF($A96="","",INDEX(c_Firm,$A96)&amp;"")</f>
        <v>iFast</v>
      </c>
      <c r="D96" s="11" t="str">
        <f aca="false">IF($A96="","",INDEX(c_Type,$A96)&amp;"")</f>
        <v>Consultant</v>
      </c>
      <c r="E96" s="11" t="str">
        <f aca="false">IF($A96="","",INDEX(c_Email,$A96)&amp;"")</f>
        <v/>
      </c>
      <c r="F96" s="34" t="str">
        <f aca="false">IF($A96="","",INDEX(c_Met,$A96)&amp;"")</f>
        <v>No</v>
      </c>
      <c r="G96" s="25" t="str">
        <f aca="false">IF($A96="","",IF(INDEX(c_Date,$A96)="","",INDEX(c_Date,$A96)))</f>
        <v/>
      </c>
      <c r="H96" s="33" t="str">
        <f aca="false">IF($A96="","",IF(INDEX(c_Days,$A96)="","",INDEX(c_Days,$A96)))</f>
        <v/>
      </c>
      <c r="I96" s="40" t="n">
        <f aca="false">IF($A96="","",IF(INDEX(c_Mtgs,$A96)="","",INDEX(c_Mtgs,$A96)))</f>
        <v>0</v>
      </c>
      <c r="J96" s="11" t="str">
        <f aca="false">IF($A96="","",INDEX(c_EvtNames,$A96)&amp;"")</f>
        <v/>
      </c>
      <c r="K96" s="34" t="str">
        <f aca="false">IF($A96="","",INDEX(c_Invested,$A96)&amp;"")</f>
        <v>No</v>
      </c>
      <c r="L96" s="12" t="str">
        <f aca="false">IF($A96="","",IF(INDEX(c_AUM,$A96)="","",INDEX(c_AUM,$A96)))</f>
        <v/>
      </c>
      <c r="M96" s="11" t="str">
        <f aca="false">IF($A96="","",INDEX(c_Source,$A96)&amp;"")</f>
        <v>Branch Directors</v>
      </c>
      <c r="N96" s="11" t="str">
        <f aca="false">IF($A96="","",INDEX(c_Notes,$A96)&amp;"")</f>
        <v>Reports to Bernard Chan</v>
      </c>
    </row>
    <row r="97" customFormat="false" ht="15" hidden="false" customHeight="false" outlineLevel="0" collapsed="false">
      <c r="A97" s="32" t="n">
        <f aca="false">IFERROR(MATCH(ROW()-5,c_Seq,0),"")</f>
        <v>92</v>
      </c>
      <c r="B97" s="15" t="str">
        <f aca="false">IF($A97="","",INDEX(c_Name,$A97)&amp;"")</f>
        <v>Giau Kim Low</v>
      </c>
      <c r="C97" s="15" t="str">
        <f aca="false">IF($A97="","",INDEX(c_Firm,$A97)&amp;"")</f>
        <v>iFast</v>
      </c>
      <c r="D97" s="15" t="str">
        <f aca="false">IF($A97="","",INDEX(c_Type,$A97)&amp;"")</f>
        <v>Adviser</v>
      </c>
      <c r="E97" s="15" t="str">
        <f aca="false">IF($A97="","",INDEX(c_Email,$A97)&amp;"")</f>
        <v>giaukim.low@ifastgm.com</v>
      </c>
      <c r="F97" s="36" t="str">
        <f aca="false">IF($A97="","",INDEX(c_Met,$A97)&amp;"")</f>
        <v>Yes</v>
      </c>
      <c r="G97" s="26" t="n">
        <f aca="false">IF($A97="","",IF(INDEX(c_Date,$A97)="","",INDEX(c_Date,$A97)))</f>
        <v>45985</v>
      </c>
      <c r="H97" s="35" t="n">
        <f aca="false">IF($A97="","",IF(INDEX(c_Days,$A97)="","",INDEX(c_Days,$A97)))</f>
        <v>256</v>
      </c>
      <c r="I97" s="41" t="n">
        <f aca="false">IF($A97="","",IF(INDEX(c_Mtgs,$A97)="","",INDEX(c_Mtgs,$A97)))</f>
        <v>1</v>
      </c>
      <c r="J97" s="15" t="str">
        <f aca="false">IF($A97="","",INDEX(c_EvtNames,$A97)&amp;"")</f>
        <v>Oct-25 Symposium</v>
      </c>
      <c r="K97" s="36" t="str">
        <f aca="false">IF($A97="","",INDEX(c_Invested,$A97)&amp;"")</f>
        <v>Yes</v>
      </c>
      <c r="L97" s="16" t="n">
        <f aca="false">IF($A97="","",IF(INDEX(c_AUM,$A97)="","",INDEX(c_AUM,$A97)))</f>
        <v>70000000</v>
      </c>
      <c r="M97" s="15" t="str">
        <f aca="false">IF($A97="","",INDEX(c_Source,$A97)&amp;"")</f>
        <v>Meeting List + ILP Data</v>
      </c>
      <c r="N97" s="15" t="str">
        <f aca="false">IF($A97="","",INDEX(c_Notes,$A97)&amp;"")</f>
        <v>May-26: not available</v>
      </c>
    </row>
    <row r="98" customFormat="false" ht="15" hidden="false" customHeight="false" outlineLevel="0" collapsed="false">
      <c r="A98" s="32" t="n">
        <f aca="false">IFERROR(MATCH(ROW()-5,c_Seq,0),"")</f>
        <v>93</v>
      </c>
      <c r="B98" s="11" t="str">
        <f aca="false">IF($A98="","",INDEX(c_Name,$A98)&amp;"")</f>
        <v>Joe Lin Xiaohan</v>
      </c>
      <c r="C98" s="11" t="str">
        <f aca="false">IF($A98="","",INDEX(c_Firm,$A98)&amp;"")</f>
        <v>iFast</v>
      </c>
      <c r="D98" s="11" t="str">
        <f aca="false">IF($A98="","",INDEX(c_Type,$A98)&amp;"")</f>
        <v>Consultant</v>
      </c>
      <c r="E98" s="11" t="str">
        <f aca="false">IF($A98="","",INDEX(c_Email,$A98)&amp;"")</f>
        <v/>
      </c>
      <c r="F98" s="34" t="str">
        <f aca="false">IF($A98="","",INDEX(c_Met,$A98)&amp;"")</f>
        <v>No</v>
      </c>
      <c r="G98" s="25" t="str">
        <f aca="false">IF($A98="","",IF(INDEX(c_Date,$A98)="","",INDEX(c_Date,$A98)))</f>
        <v/>
      </c>
      <c r="H98" s="33" t="str">
        <f aca="false">IF($A98="","",IF(INDEX(c_Days,$A98)="","",INDEX(c_Days,$A98)))</f>
        <v/>
      </c>
      <c r="I98" s="40" t="n">
        <f aca="false">IF($A98="","",IF(INDEX(c_Mtgs,$A98)="","",INDEX(c_Mtgs,$A98)))</f>
        <v>0</v>
      </c>
      <c r="J98" s="11" t="str">
        <f aca="false">IF($A98="","",INDEX(c_EvtNames,$A98)&amp;"")</f>
        <v/>
      </c>
      <c r="K98" s="34" t="str">
        <f aca="false">IF($A98="","",INDEX(c_Invested,$A98)&amp;"")</f>
        <v>No</v>
      </c>
      <c r="L98" s="12" t="str">
        <f aca="false">IF($A98="","",IF(INDEX(c_AUM,$A98)="","",INDEX(c_AUM,$A98)))</f>
        <v/>
      </c>
      <c r="M98" s="11" t="str">
        <f aca="false">IF($A98="","",INDEX(c_Source,$A98)&amp;"")</f>
        <v>Branch Directors</v>
      </c>
      <c r="N98" s="11" t="str">
        <f aca="false">IF($A98="","",INDEX(c_Notes,$A98)&amp;"")</f>
        <v>Reports to Bernard Chan</v>
      </c>
    </row>
    <row r="99" customFormat="false" ht="15" hidden="false" customHeight="false" outlineLevel="0" collapsed="false">
      <c r="A99" s="32" t="n">
        <f aca="false">IFERROR(MATCH(ROW()-5,c_Seq,0),"")</f>
        <v>94</v>
      </c>
      <c r="B99" s="15" t="str">
        <f aca="false">IF($A99="","",INDEX(c_Name,$A99)&amp;"")</f>
        <v>Joel Yong Sheng Jun</v>
      </c>
      <c r="C99" s="15" t="str">
        <f aca="false">IF($A99="","",INDEX(c_Firm,$A99)&amp;"")</f>
        <v>iFast</v>
      </c>
      <c r="D99" s="15" t="str">
        <f aca="false">IF($A99="","",INDEX(c_Type,$A99)&amp;"")</f>
        <v>Consultant</v>
      </c>
      <c r="E99" s="15" t="str">
        <f aca="false">IF($A99="","",INDEX(c_Email,$A99)&amp;"")</f>
        <v/>
      </c>
      <c r="F99" s="36" t="str">
        <f aca="false">IF($A99="","",INDEX(c_Met,$A99)&amp;"")</f>
        <v>No</v>
      </c>
      <c r="G99" s="26" t="str">
        <f aca="false">IF($A99="","",IF(INDEX(c_Date,$A99)="","",INDEX(c_Date,$A99)))</f>
        <v/>
      </c>
      <c r="H99" s="35" t="str">
        <f aca="false">IF($A99="","",IF(INDEX(c_Days,$A99)="","",INDEX(c_Days,$A99)))</f>
        <v/>
      </c>
      <c r="I99" s="41" t="n">
        <f aca="false">IF($A99="","",IF(INDEX(c_Mtgs,$A99)="","",INDEX(c_Mtgs,$A99)))</f>
        <v>0</v>
      </c>
      <c r="J99" s="15" t="str">
        <f aca="false">IF($A99="","",INDEX(c_EvtNames,$A99)&amp;"")</f>
        <v/>
      </c>
      <c r="K99" s="36" t="str">
        <f aca="false">IF($A99="","",INDEX(c_Invested,$A99)&amp;"")</f>
        <v>No</v>
      </c>
      <c r="L99" s="16" t="str">
        <f aca="false">IF($A99="","",IF(INDEX(c_AUM,$A99)="","",INDEX(c_AUM,$A99)))</f>
        <v/>
      </c>
      <c r="M99" s="15" t="str">
        <f aca="false">IF($A99="","",INDEX(c_Source,$A99)&amp;"")</f>
        <v>Branch Directors</v>
      </c>
      <c r="N99" s="15" t="str">
        <f aca="false">IF($A99="","",INDEX(c_Notes,$A99)&amp;"")</f>
        <v>Reports to Bernard Chan</v>
      </c>
    </row>
    <row r="100" customFormat="false" ht="15" hidden="false" customHeight="false" outlineLevel="0" collapsed="false">
      <c r="A100" s="32" t="n">
        <f aca="false">IFERROR(MATCH(ROW()-5,c_Seq,0),"")</f>
        <v>95</v>
      </c>
      <c r="B100" s="11" t="str">
        <f aca="false">IF($A100="","",INDEX(c_Name,$A100)&amp;"")</f>
        <v>Jon Lim Wei Jie</v>
      </c>
      <c r="C100" s="11" t="str">
        <f aca="false">IF($A100="","",INDEX(c_Firm,$A100)&amp;"")</f>
        <v>iFast</v>
      </c>
      <c r="D100" s="11" t="str">
        <f aca="false">IF($A100="","",INDEX(c_Type,$A100)&amp;"")</f>
        <v>Branch Director</v>
      </c>
      <c r="E100" s="11" t="str">
        <f aca="false">IF($A100="","",INDEX(c_Email,$A100)&amp;"")</f>
        <v/>
      </c>
      <c r="F100" s="34" t="str">
        <f aca="false">IF($A100="","",INDEX(c_Met,$A100)&amp;"")</f>
        <v>No</v>
      </c>
      <c r="G100" s="25" t="str">
        <f aca="false">IF($A100="","",IF(INDEX(c_Date,$A100)="","",INDEX(c_Date,$A100)))</f>
        <v/>
      </c>
      <c r="H100" s="33" t="str">
        <f aca="false">IF($A100="","",IF(INDEX(c_Days,$A100)="","",INDEX(c_Days,$A100)))</f>
        <v/>
      </c>
      <c r="I100" s="40" t="n">
        <f aca="false">IF($A100="","",IF(INDEX(c_Mtgs,$A100)="","",INDEX(c_Mtgs,$A100)))</f>
        <v>0</v>
      </c>
      <c r="J100" s="11" t="str">
        <f aca="false">IF($A100="","",INDEX(c_EvtNames,$A100)&amp;"")</f>
        <v/>
      </c>
      <c r="K100" s="34" t="str">
        <f aca="false">IF($A100="","",INDEX(c_Invested,$A100)&amp;"")</f>
        <v>No</v>
      </c>
      <c r="L100" s="12" t="str">
        <f aca="false">IF($A100="","",IF(INDEX(c_AUM,$A100)="","",INDEX(c_AUM,$A100)))</f>
        <v/>
      </c>
      <c r="M100" s="11" t="str">
        <f aca="false">IF($A100="","",INDEX(c_Source,$A100)&amp;"")</f>
        <v>Branch Directors</v>
      </c>
      <c r="N100" s="11" t="str">
        <f aca="false">IF($A100="","",INDEX(c_Notes,$A100)&amp;"")</f>
        <v/>
      </c>
    </row>
    <row r="101" customFormat="false" ht="15" hidden="false" customHeight="false" outlineLevel="0" collapsed="false">
      <c r="A101" s="32" t="n">
        <f aca="false">IFERROR(MATCH(ROW()-5,c_Seq,0),"")</f>
        <v>96</v>
      </c>
      <c r="B101" s="15" t="str">
        <f aca="false">IF($A101="","",INDEX(c_Name,$A101)&amp;"")</f>
        <v>Jonathan Chua Chong Kheng</v>
      </c>
      <c r="C101" s="15" t="str">
        <f aca="false">IF($A101="","",INDEX(c_Firm,$A101)&amp;"")</f>
        <v>iFast</v>
      </c>
      <c r="D101" s="15" t="str">
        <f aca="false">IF($A101="","",INDEX(c_Type,$A101)&amp;"")</f>
        <v>Consultant</v>
      </c>
      <c r="E101" s="15" t="str">
        <f aca="false">IF($A101="","",INDEX(c_Email,$A101)&amp;"")</f>
        <v/>
      </c>
      <c r="F101" s="36" t="str">
        <f aca="false">IF($A101="","",INDEX(c_Met,$A101)&amp;"")</f>
        <v>No</v>
      </c>
      <c r="G101" s="26" t="str">
        <f aca="false">IF($A101="","",IF(INDEX(c_Date,$A101)="","",INDEX(c_Date,$A101)))</f>
        <v/>
      </c>
      <c r="H101" s="35" t="str">
        <f aca="false">IF($A101="","",IF(INDEX(c_Days,$A101)="","",INDEX(c_Days,$A101)))</f>
        <v/>
      </c>
      <c r="I101" s="41" t="n">
        <f aca="false">IF($A101="","",IF(INDEX(c_Mtgs,$A101)="","",INDEX(c_Mtgs,$A101)))</f>
        <v>0</v>
      </c>
      <c r="J101" s="15" t="str">
        <f aca="false">IF($A101="","",INDEX(c_EvtNames,$A101)&amp;"")</f>
        <v/>
      </c>
      <c r="K101" s="36" t="str">
        <f aca="false">IF($A101="","",INDEX(c_Invested,$A101)&amp;"")</f>
        <v>No</v>
      </c>
      <c r="L101" s="16" t="str">
        <f aca="false">IF($A101="","",IF(INDEX(c_AUM,$A101)="","",INDEX(c_AUM,$A101)))</f>
        <v/>
      </c>
      <c r="M101" s="15" t="str">
        <f aca="false">IF($A101="","",INDEX(c_Source,$A101)&amp;"")</f>
        <v>Branch Directors</v>
      </c>
      <c r="N101" s="15" t="str">
        <f aca="false">IF($A101="","",INDEX(c_Notes,$A101)&amp;"")</f>
        <v>Reports to Bernard Chan</v>
      </c>
    </row>
    <row r="102" customFormat="false" ht="15" hidden="false" customHeight="false" outlineLevel="0" collapsed="false">
      <c r="A102" s="32" t="n">
        <f aca="false">IFERROR(MATCH(ROW()-5,c_Seq,0),"")</f>
        <v>97</v>
      </c>
      <c r="B102" s="11" t="str">
        <f aca="false">IF($A102="","",INDEX(c_Name,$A102)&amp;"")</f>
        <v>Jonathan Gui Poh Jin</v>
      </c>
      <c r="C102" s="11" t="str">
        <f aca="false">IF($A102="","",INDEX(c_Firm,$A102)&amp;"")</f>
        <v>iFast</v>
      </c>
      <c r="D102" s="11" t="str">
        <f aca="false">IF($A102="","",INDEX(c_Type,$A102)&amp;"")</f>
        <v>Consultant</v>
      </c>
      <c r="E102" s="11" t="str">
        <f aca="false">IF($A102="","",INDEX(c_Email,$A102)&amp;"")</f>
        <v/>
      </c>
      <c r="F102" s="34" t="str">
        <f aca="false">IF($A102="","",INDEX(c_Met,$A102)&amp;"")</f>
        <v>No</v>
      </c>
      <c r="G102" s="25" t="str">
        <f aca="false">IF($A102="","",IF(INDEX(c_Date,$A102)="","",INDEX(c_Date,$A102)))</f>
        <v/>
      </c>
      <c r="H102" s="33" t="str">
        <f aca="false">IF($A102="","",IF(INDEX(c_Days,$A102)="","",INDEX(c_Days,$A102)))</f>
        <v/>
      </c>
      <c r="I102" s="40" t="n">
        <f aca="false">IF($A102="","",IF(INDEX(c_Mtgs,$A102)="","",INDEX(c_Mtgs,$A102)))</f>
        <v>0</v>
      </c>
      <c r="J102" s="11" t="str">
        <f aca="false">IF($A102="","",INDEX(c_EvtNames,$A102)&amp;"")</f>
        <v/>
      </c>
      <c r="K102" s="34" t="str">
        <f aca="false">IF($A102="","",INDEX(c_Invested,$A102)&amp;"")</f>
        <v>No</v>
      </c>
      <c r="L102" s="12" t="str">
        <f aca="false">IF($A102="","",IF(INDEX(c_AUM,$A102)="","",INDEX(c_AUM,$A102)))</f>
        <v/>
      </c>
      <c r="M102" s="11" t="str">
        <f aca="false">IF($A102="","",INDEX(c_Source,$A102)&amp;"")</f>
        <v>Branch Directors</v>
      </c>
      <c r="N102" s="11" t="str">
        <f aca="false">IF($A102="","",INDEX(c_Notes,$A102)&amp;"")</f>
        <v>Reports to Bernard Chan</v>
      </c>
    </row>
    <row r="103" customFormat="false" ht="15" hidden="false" customHeight="false" outlineLevel="0" collapsed="false">
      <c r="A103" s="32" t="n">
        <f aca="false">IFERROR(MATCH(ROW()-5,c_Seq,0),"")</f>
        <v>98</v>
      </c>
      <c r="B103" s="15" t="str">
        <f aca="false">IF($A103="","",INDEX(c_Name,$A103)&amp;"")</f>
        <v>Kenrick Mak Yao Zhang</v>
      </c>
      <c r="C103" s="15" t="str">
        <f aca="false">IF($A103="","",INDEX(c_Firm,$A103)&amp;"")</f>
        <v>iFast</v>
      </c>
      <c r="D103" s="15" t="str">
        <f aca="false">IF($A103="","",INDEX(c_Type,$A103)&amp;"")</f>
        <v>Consultant</v>
      </c>
      <c r="E103" s="15" t="str">
        <f aca="false">IF($A103="","",INDEX(c_Email,$A103)&amp;"")</f>
        <v/>
      </c>
      <c r="F103" s="36" t="str">
        <f aca="false">IF($A103="","",INDEX(c_Met,$A103)&amp;"")</f>
        <v>No</v>
      </c>
      <c r="G103" s="26" t="str">
        <f aca="false">IF($A103="","",IF(INDEX(c_Date,$A103)="","",INDEX(c_Date,$A103)))</f>
        <v/>
      </c>
      <c r="H103" s="35" t="str">
        <f aca="false">IF($A103="","",IF(INDEX(c_Days,$A103)="","",INDEX(c_Days,$A103)))</f>
        <v/>
      </c>
      <c r="I103" s="41" t="n">
        <f aca="false">IF($A103="","",IF(INDEX(c_Mtgs,$A103)="","",INDEX(c_Mtgs,$A103)))</f>
        <v>0</v>
      </c>
      <c r="J103" s="15" t="str">
        <f aca="false">IF($A103="","",INDEX(c_EvtNames,$A103)&amp;"")</f>
        <v/>
      </c>
      <c r="K103" s="36" t="str">
        <f aca="false">IF($A103="","",INDEX(c_Invested,$A103)&amp;"")</f>
        <v>No</v>
      </c>
      <c r="L103" s="16" t="str">
        <f aca="false">IF($A103="","",IF(INDEX(c_AUM,$A103)="","",INDEX(c_AUM,$A103)))</f>
        <v/>
      </c>
      <c r="M103" s="15" t="str">
        <f aca="false">IF($A103="","",INDEX(c_Source,$A103)&amp;"")</f>
        <v>Branch Directors</v>
      </c>
      <c r="N103" s="15" t="str">
        <f aca="false">IF($A103="","",INDEX(c_Notes,$A103)&amp;"")</f>
        <v>Reports to Bernard Chan</v>
      </c>
    </row>
    <row r="104" customFormat="false" ht="15" hidden="false" customHeight="false" outlineLevel="0" collapsed="false">
      <c r="A104" s="32" t="n">
        <f aca="false">IFERROR(MATCH(ROW()-5,c_Seq,0),"")</f>
        <v>99</v>
      </c>
      <c r="B104" s="11" t="str">
        <f aca="false">IF($A104="","",INDEX(c_Name,$A104)&amp;"")</f>
        <v>Kerk Xiao Jing</v>
      </c>
      <c r="C104" s="11" t="str">
        <f aca="false">IF($A104="","",INDEX(c_Firm,$A104)&amp;"")</f>
        <v>iFast</v>
      </c>
      <c r="D104" s="11" t="str">
        <f aca="false">IF($A104="","",INDEX(c_Type,$A104)&amp;"")</f>
        <v>Branch Director</v>
      </c>
      <c r="E104" s="11" t="str">
        <f aca="false">IF($A104="","",INDEX(c_Email,$A104)&amp;"")</f>
        <v/>
      </c>
      <c r="F104" s="34" t="str">
        <f aca="false">IF($A104="","",INDEX(c_Met,$A104)&amp;"")</f>
        <v>No</v>
      </c>
      <c r="G104" s="25" t="str">
        <f aca="false">IF($A104="","",IF(INDEX(c_Date,$A104)="","",INDEX(c_Date,$A104)))</f>
        <v/>
      </c>
      <c r="H104" s="33" t="str">
        <f aca="false">IF($A104="","",IF(INDEX(c_Days,$A104)="","",INDEX(c_Days,$A104)))</f>
        <v/>
      </c>
      <c r="I104" s="40" t="n">
        <f aca="false">IF($A104="","",IF(INDEX(c_Mtgs,$A104)="","",INDEX(c_Mtgs,$A104)))</f>
        <v>0</v>
      </c>
      <c r="J104" s="11" t="str">
        <f aca="false">IF($A104="","",INDEX(c_EvtNames,$A104)&amp;"")</f>
        <v/>
      </c>
      <c r="K104" s="34" t="str">
        <f aca="false">IF($A104="","",INDEX(c_Invested,$A104)&amp;"")</f>
        <v>No</v>
      </c>
      <c r="L104" s="12" t="str">
        <f aca="false">IF($A104="","",IF(INDEX(c_AUM,$A104)="","",INDEX(c_AUM,$A104)))</f>
        <v/>
      </c>
      <c r="M104" s="11" t="str">
        <f aca="false">IF($A104="","",INDEX(c_Source,$A104)&amp;"")</f>
        <v>Branch Directors</v>
      </c>
      <c r="N104" s="11" t="str">
        <f aca="false">IF($A104="","",INDEX(c_Notes,$A104)&amp;"")</f>
        <v/>
      </c>
    </row>
    <row r="105" customFormat="false" ht="15" hidden="false" customHeight="false" outlineLevel="0" collapsed="false">
      <c r="A105" s="32" t="n">
        <f aca="false">IFERROR(MATCH(ROW()-5,c_Seq,0),"")</f>
        <v>100</v>
      </c>
      <c r="B105" s="15" t="str">
        <f aca="false">IF($A105="","",INDEX(c_Name,$A105)&amp;"")</f>
        <v>Ko Yang Zhi</v>
      </c>
      <c r="C105" s="15" t="str">
        <f aca="false">IF($A105="","",INDEX(c_Firm,$A105)&amp;"")</f>
        <v>iFast</v>
      </c>
      <c r="D105" s="15" t="str">
        <f aca="false">IF($A105="","",INDEX(c_Type,$A105)&amp;"")</f>
        <v>Branch Director</v>
      </c>
      <c r="E105" s="15" t="str">
        <f aca="false">IF($A105="","",INDEX(c_Email,$A105)&amp;"")</f>
        <v/>
      </c>
      <c r="F105" s="36" t="str">
        <f aca="false">IF($A105="","",INDEX(c_Met,$A105)&amp;"")</f>
        <v>No</v>
      </c>
      <c r="G105" s="26" t="str">
        <f aca="false">IF($A105="","",IF(INDEX(c_Date,$A105)="","",INDEX(c_Date,$A105)))</f>
        <v/>
      </c>
      <c r="H105" s="35" t="str">
        <f aca="false">IF($A105="","",IF(INDEX(c_Days,$A105)="","",INDEX(c_Days,$A105)))</f>
        <v/>
      </c>
      <c r="I105" s="41" t="n">
        <f aca="false">IF($A105="","",IF(INDEX(c_Mtgs,$A105)="","",INDEX(c_Mtgs,$A105)))</f>
        <v>0</v>
      </c>
      <c r="J105" s="15" t="str">
        <f aca="false">IF($A105="","",INDEX(c_EvtNames,$A105)&amp;"")</f>
        <v/>
      </c>
      <c r="K105" s="36" t="str">
        <f aca="false">IF($A105="","",INDEX(c_Invested,$A105)&amp;"")</f>
        <v>No</v>
      </c>
      <c r="L105" s="16" t="str">
        <f aca="false">IF($A105="","",IF(INDEX(c_AUM,$A105)="","",INDEX(c_AUM,$A105)))</f>
        <v/>
      </c>
      <c r="M105" s="15" t="str">
        <f aca="false">IF($A105="","",INDEX(c_Source,$A105)&amp;"")</f>
        <v>Branch Directors</v>
      </c>
      <c r="N105" s="15" t="str">
        <f aca="false">IF($A105="","",INDEX(c_Notes,$A105)&amp;"")</f>
        <v/>
      </c>
    </row>
    <row r="106" customFormat="false" ht="15" hidden="false" customHeight="false" outlineLevel="0" collapsed="false">
      <c r="A106" s="32" t="n">
        <f aca="false">IFERROR(MATCH(ROW()-5,c_Seq,0),"")</f>
        <v>101</v>
      </c>
      <c r="B106" s="11" t="str">
        <f aca="false">IF($A106="","",INDEX(c_Name,$A106)&amp;"")</f>
        <v>Lucy Cher</v>
      </c>
      <c r="C106" s="11" t="str">
        <f aca="false">IF($A106="","",INDEX(c_Firm,$A106)&amp;"")</f>
        <v>iFast</v>
      </c>
      <c r="D106" s="11" t="str">
        <f aca="false">IF($A106="","",INDEX(c_Type,$A106)&amp;"")</f>
        <v>Adviser</v>
      </c>
      <c r="E106" s="11" t="str">
        <f aca="false">IF($A106="","",INDEX(c_Email,$A106)&amp;"")</f>
        <v>lucy.cher@ifastgm.com</v>
      </c>
      <c r="F106" s="34" t="str">
        <f aca="false">IF($A106="","",INDEX(c_Met,$A106)&amp;"")</f>
        <v>No</v>
      </c>
      <c r="G106" s="25" t="str">
        <f aca="false">IF($A106="","",IF(INDEX(c_Date,$A106)="","",INDEX(c_Date,$A106)))</f>
        <v/>
      </c>
      <c r="H106" s="33" t="str">
        <f aca="false">IF($A106="","",IF(INDEX(c_Days,$A106)="","",INDEX(c_Days,$A106)))</f>
        <v/>
      </c>
      <c r="I106" s="40" t="n">
        <f aca="false">IF($A106="","",IF(INDEX(c_Mtgs,$A106)="","",INDEX(c_Mtgs,$A106)))</f>
        <v>0</v>
      </c>
      <c r="J106" s="11" t="str">
        <f aca="false">IF($A106="","",INDEX(c_EvtNames,$A106)&amp;"")</f>
        <v>May-26 Symposium</v>
      </c>
      <c r="K106" s="34" t="str">
        <f aca="false">IF($A106="","",INDEX(c_Invested,$A106)&amp;"")</f>
        <v>No</v>
      </c>
      <c r="L106" s="12" t="str">
        <f aca="false">IF($A106="","",IF(INDEX(c_AUM,$A106)="","",INDEX(c_AUM,$A106)))</f>
        <v/>
      </c>
      <c r="M106" s="11" t="str">
        <f aca="false">IF($A106="","",INDEX(c_Source,$A106)&amp;"")</f>
        <v>Meeting List</v>
      </c>
      <c r="N106" s="11" t="str">
        <f aca="false">IF($A106="","",INDEX(c_Notes,$A106)&amp;"")</f>
        <v/>
      </c>
    </row>
    <row r="107" customFormat="false" ht="15" hidden="false" customHeight="false" outlineLevel="0" collapsed="false">
      <c r="A107" s="32" t="n">
        <f aca="false">IFERROR(MATCH(ROW()-5,c_Seq,0),"")</f>
        <v>102</v>
      </c>
      <c r="B107" s="15" t="str">
        <f aca="false">IF($A107="","",INDEX(c_Name,$A107)&amp;"")</f>
        <v>Ou Da Wei</v>
      </c>
      <c r="C107" s="15" t="str">
        <f aca="false">IF($A107="","",INDEX(c_Firm,$A107)&amp;"")</f>
        <v>iFast</v>
      </c>
      <c r="D107" s="15" t="str">
        <f aca="false">IF($A107="","",INDEX(c_Type,$A107)&amp;"")</f>
        <v>Consultant</v>
      </c>
      <c r="E107" s="15" t="str">
        <f aca="false">IF($A107="","",INDEX(c_Email,$A107)&amp;"")</f>
        <v/>
      </c>
      <c r="F107" s="36" t="str">
        <f aca="false">IF($A107="","",INDEX(c_Met,$A107)&amp;"")</f>
        <v>No</v>
      </c>
      <c r="G107" s="26" t="str">
        <f aca="false">IF($A107="","",IF(INDEX(c_Date,$A107)="","",INDEX(c_Date,$A107)))</f>
        <v/>
      </c>
      <c r="H107" s="35" t="str">
        <f aca="false">IF($A107="","",IF(INDEX(c_Days,$A107)="","",INDEX(c_Days,$A107)))</f>
        <v/>
      </c>
      <c r="I107" s="41" t="n">
        <f aca="false">IF($A107="","",IF(INDEX(c_Mtgs,$A107)="","",INDEX(c_Mtgs,$A107)))</f>
        <v>0</v>
      </c>
      <c r="J107" s="15" t="str">
        <f aca="false">IF($A107="","",INDEX(c_EvtNames,$A107)&amp;"")</f>
        <v/>
      </c>
      <c r="K107" s="36" t="str">
        <f aca="false">IF($A107="","",INDEX(c_Invested,$A107)&amp;"")</f>
        <v>No</v>
      </c>
      <c r="L107" s="16" t="str">
        <f aca="false">IF($A107="","",IF(INDEX(c_AUM,$A107)="","",INDEX(c_AUM,$A107)))</f>
        <v/>
      </c>
      <c r="M107" s="15" t="str">
        <f aca="false">IF($A107="","",INDEX(c_Source,$A107)&amp;"")</f>
        <v>Branch Directors</v>
      </c>
      <c r="N107" s="15" t="str">
        <f aca="false">IF($A107="","",INDEX(c_Notes,$A107)&amp;"")</f>
        <v>Reports to Bernard Chan</v>
      </c>
    </row>
    <row r="108" customFormat="false" ht="15" hidden="false" customHeight="false" outlineLevel="0" collapsed="false">
      <c r="A108" s="32" t="n">
        <f aca="false">IFERROR(MATCH(ROW()-5,c_Seq,0),"")</f>
        <v>103</v>
      </c>
      <c r="B108" s="11" t="str">
        <f aca="false">IF($A108="","",INDEX(c_Name,$A108)&amp;"")</f>
        <v>Seng Bingyang</v>
      </c>
      <c r="C108" s="11" t="str">
        <f aca="false">IF($A108="","",INDEX(c_Firm,$A108)&amp;"")</f>
        <v>iFast</v>
      </c>
      <c r="D108" s="11" t="str">
        <f aca="false">IF($A108="","",INDEX(c_Type,$A108)&amp;"")</f>
        <v>Branch Director</v>
      </c>
      <c r="E108" s="11" t="str">
        <f aca="false">IF($A108="","",INDEX(c_Email,$A108)&amp;"")</f>
        <v/>
      </c>
      <c r="F108" s="34" t="str">
        <f aca="false">IF($A108="","",INDEX(c_Met,$A108)&amp;"")</f>
        <v>No</v>
      </c>
      <c r="G108" s="25" t="str">
        <f aca="false">IF($A108="","",IF(INDEX(c_Date,$A108)="","",INDEX(c_Date,$A108)))</f>
        <v/>
      </c>
      <c r="H108" s="33" t="str">
        <f aca="false">IF($A108="","",IF(INDEX(c_Days,$A108)="","",INDEX(c_Days,$A108)))</f>
        <v/>
      </c>
      <c r="I108" s="40" t="n">
        <f aca="false">IF($A108="","",IF(INDEX(c_Mtgs,$A108)="","",INDEX(c_Mtgs,$A108)))</f>
        <v>0</v>
      </c>
      <c r="J108" s="11" t="str">
        <f aca="false">IF($A108="","",INDEX(c_EvtNames,$A108)&amp;"")</f>
        <v/>
      </c>
      <c r="K108" s="34" t="str">
        <f aca="false">IF($A108="","",INDEX(c_Invested,$A108)&amp;"")</f>
        <v>No</v>
      </c>
      <c r="L108" s="12" t="str">
        <f aca="false">IF($A108="","",IF(INDEX(c_AUM,$A108)="","",INDEX(c_AUM,$A108)))</f>
        <v/>
      </c>
      <c r="M108" s="11" t="str">
        <f aca="false">IF($A108="","",INDEX(c_Source,$A108)&amp;"")</f>
        <v>Branch Directors</v>
      </c>
      <c r="N108" s="11" t="str">
        <f aca="false">IF($A108="","",INDEX(c_Notes,$A108)&amp;"")</f>
        <v/>
      </c>
    </row>
    <row r="109" customFormat="false" ht="15" hidden="false" customHeight="false" outlineLevel="0" collapsed="false">
      <c r="A109" s="32" t="n">
        <f aca="false">IFERROR(MATCH(ROW()-5,c_Seq,0),"")</f>
        <v>104</v>
      </c>
      <c r="B109" s="15" t="str">
        <f aca="false">IF($A109="","",INDEX(c_Name,$A109)&amp;"")</f>
        <v>Shiyao Ng</v>
      </c>
      <c r="C109" s="15" t="str">
        <f aca="false">IF($A109="","",INDEX(c_Firm,$A109)&amp;"")</f>
        <v>iFast</v>
      </c>
      <c r="D109" s="15" t="str">
        <f aca="false">IF($A109="","",INDEX(c_Type,$A109)&amp;"")</f>
        <v>Adviser</v>
      </c>
      <c r="E109" s="15" t="str">
        <f aca="false">IF($A109="","",INDEX(c_Email,$A109)&amp;"")</f>
        <v/>
      </c>
      <c r="F109" s="36" t="str">
        <f aca="false">IF($A109="","",INDEX(c_Met,$A109)&amp;"")</f>
        <v>Yes</v>
      </c>
      <c r="G109" s="26" t="n">
        <f aca="false">IF($A109="","",IF(INDEX(c_Date,$A109)="","",INDEX(c_Date,$A109)))</f>
        <v>46132</v>
      </c>
      <c r="H109" s="35" t="n">
        <f aca="false">IF($A109="","",IF(INDEX(c_Days,$A109)="","",INDEX(c_Days,$A109)))</f>
        <v>109</v>
      </c>
      <c r="I109" s="41" t="n">
        <f aca="false">IF($A109="","",IF(INDEX(c_Mtgs,$A109)="","",INDEX(c_Mtgs,$A109)))</f>
        <v>1</v>
      </c>
      <c r="J109" s="15" t="str">
        <f aca="false">IF($A109="","",INDEX(c_EvtNames,$A109)&amp;"")</f>
        <v/>
      </c>
      <c r="K109" s="36" t="str">
        <f aca="false">IF($A109="","",INDEX(c_Invested,$A109)&amp;"")</f>
        <v>No</v>
      </c>
      <c r="L109" s="16" t="str">
        <f aca="false">IF($A109="","",IF(INDEX(c_AUM,$A109)="","",INDEX(c_AUM,$A109)))</f>
        <v/>
      </c>
      <c r="M109" s="15" t="str">
        <f aca="false">IF($A109="","",INDEX(c_Source,$A109)&amp;"")</f>
        <v>Meeting List</v>
      </c>
      <c r="N109" s="15" t="str">
        <f aca="false">IF($A109="","",INDEX(c_Notes,$A109)&amp;"")</f>
        <v/>
      </c>
    </row>
    <row r="110" customFormat="false" ht="15" hidden="false" customHeight="false" outlineLevel="0" collapsed="false">
      <c r="A110" s="32" t="n">
        <f aca="false">IFERROR(MATCH(ROW()-5,c_Seq,0),"")</f>
        <v>105</v>
      </c>
      <c r="B110" s="11" t="str">
        <f aca="false">IF($A110="","",INDEX(c_Name,$A110)&amp;"")</f>
        <v>Stanley ong</v>
      </c>
      <c r="C110" s="11" t="str">
        <f aca="false">IF($A110="","",INDEX(c_Firm,$A110)&amp;"")</f>
        <v>iFast</v>
      </c>
      <c r="D110" s="11" t="str">
        <f aca="false">IF($A110="","",INDEX(c_Type,$A110)&amp;"")</f>
        <v>Adviser</v>
      </c>
      <c r="E110" s="11" t="str">
        <f aca="false">IF($A110="","",INDEX(c_Email,$A110)&amp;"")</f>
        <v>stanley.ong@ifastgm.com</v>
      </c>
      <c r="F110" s="34" t="str">
        <f aca="false">IF($A110="","",INDEX(c_Met,$A110)&amp;"")</f>
        <v>No</v>
      </c>
      <c r="G110" s="25" t="str">
        <f aca="false">IF($A110="","",IF(INDEX(c_Date,$A110)="","",INDEX(c_Date,$A110)))</f>
        <v/>
      </c>
      <c r="H110" s="33" t="str">
        <f aca="false">IF($A110="","",IF(INDEX(c_Days,$A110)="","",INDEX(c_Days,$A110)))</f>
        <v/>
      </c>
      <c r="I110" s="40" t="n">
        <f aca="false">IF($A110="","",IF(INDEX(c_Mtgs,$A110)="","",INDEX(c_Mtgs,$A110)))</f>
        <v>0</v>
      </c>
      <c r="J110" s="11" t="str">
        <f aca="false">IF($A110="","",INDEX(c_EvtNames,$A110)&amp;"")</f>
        <v>Oct-25 Symposium</v>
      </c>
      <c r="K110" s="34" t="str">
        <f aca="false">IF($A110="","",INDEX(c_Invested,$A110)&amp;"")</f>
        <v>No</v>
      </c>
      <c r="L110" s="12" t="n">
        <f aca="false">IF($A110="","",IF(INDEX(c_AUM,$A110)="","",INDEX(c_AUM,$A110)))</f>
        <v>20000000</v>
      </c>
      <c r="M110" s="11" t="str">
        <f aca="false">IF($A110="","",INDEX(c_Source,$A110)&amp;"")</f>
        <v>Meeting List + ILP Data + Branch Directors</v>
      </c>
      <c r="N110" s="11" t="str">
        <f aca="false">IF($A110="","",INDEX(c_Notes,$A110)&amp;"")</f>
        <v>May-26: not available</v>
      </c>
    </row>
    <row r="111" customFormat="false" ht="15" hidden="false" customHeight="false" outlineLevel="0" collapsed="false">
      <c r="A111" s="32" t="n">
        <f aca="false">IFERROR(MATCH(ROW()-5,c_Seq,0),"")</f>
        <v>106</v>
      </c>
      <c r="B111" s="15" t="str">
        <f aca="false">IF($A111="","",INDEX(c_Name,$A111)&amp;"")</f>
        <v>Tan Yong Guan</v>
      </c>
      <c r="C111" s="15" t="str">
        <f aca="false">IF($A111="","",INDEX(c_Firm,$A111)&amp;"")</f>
        <v>iFast</v>
      </c>
      <c r="D111" s="15" t="str">
        <f aca="false">IF($A111="","",INDEX(c_Type,$A111)&amp;"")</f>
        <v>Adviser</v>
      </c>
      <c r="E111" s="15" t="str">
        <f aca="false">IF($A111="","",INDEX(c_Email,$A111)&amp;"")</f>
        <v>tan.yongguan@ifastgm.com</v>
      </c>
      <c r="F111" s="36" t="str">
        <f aca="false">IF($A111="","",INDEX(c_Met,$A111)&amp;"")</f>
        <v>No</v>
      </c>
      <c r="G111" s="26" t="str">
        <f aca="false">IF($A111="","",IF(INDEX(c_Date,$A111)="","",INDEX(c_Date,$A111)))</f>
        <v/>
      </c>
      <c r="H111" s="35" t="str">
        <f aca="false">IF($A111="","",IF(INDEX(c_Days,$A111)="","",INDEX(c_Days,$A111)))</f>
        <v/>
      </c>
      <c r="I111" s="41" t="n">
        <f aca="false">IF($A111="","",IF(INDEX(c_Mtgs,$A111)="","",INDEX(c_Mtgs,$A111)))</f>
        <v>0</v>
      </c>
      <c r="J111" s="15" t="str">
        <f aca="false">IF($A111="","",INDEX(c_EvtNames,$A111)&amp;"")</f>
        <v>Oct-25 Symposium, May-26 Symposium</v>
      </c>
      <c r="K111" s="36" t="str">
        <f aca="false">IF($A111="","",INDEX(c_Invested,$A111)&amp;"")</f>
        <v>No</v>
      </c>
      <c r="L111" s="16" t="n">
        <f aca="false">IF($A111="","",IF(INDEX(c_AUM,$A111)="","",INDEX(c_AUM,$A111)))</f>
        <v>40000000</v>
      </c>
      <c r="M111" s="15" t="str">
        <f aca="false">IF($A111="","",INDEX(c_Source,$A111)&amp;"")</f>
        <v>Meeting List + ILP Data</v>
      </c>
      <c r="N111" s="15" t="str">
        <f aca="false">IF($A111="","",INDEX(c_Notes,$A111)&amp;"")</f>
        <v/>
      </c>
    </row>
    <row r="112" customFormat="false" ht="15" hidden="false" customHeight="false" outlineLevel="0" collapsed="false">
      <c r="A112" s="32" t="n">
        <f aca="false">IFERROR(MATCH(ROW()-5,c_Seq,0),"")</f>
        <v>107</v>
      </c>
      <c r="B112" s="11" t="str">
        <f aca="false">IF($A112="","",INDEX(c_Name,$A112)&amp;"")</f>
        <v>Wendy Yeo</v>
      </c>
      <c r="C112" s="11" t="str">
        <f aca="false">IF($A112="","",INDEX(c_Firm,$A112)&amp;"")</f>
        <v>iFast</v>
      </c>
      <c r="D112" s="11" t="str">
        <f aca="false">IF($A112="","",INDEX(c_Type,$A112)&amp;"")</f>
        <v>Adviser</v>
      </c>
      <c r="E112" s="11" t="str">
        <f aca="false">IF($A112="","",INDEX(c_Email,$A112)&amp;"")</f>
        <v>wendy.yeo@ifastfinancial.com</v>
      </c>
      <c r="F112" s="34" t="str">
        <f aca="false">IF($A112="","",INDEX(c_Met,$A112)&amp;"")</f>
        <v>No</v>
      </c>
      <c r="G112" s="25" t="str">
        <f aca="false">IF($A112="","",IF(INDEX(c_Date,$A112)="","",INDEX(c_Date,$A112)))</f>
        <v/>
      </c>
      <c r="H112" s="33" t="str">
        <f aca="false">IF($A112="","",IF(INDEX(c_Days,$A112)="","",INDEX(c_Days,$A112)))</f>
        <v/>
      </c>
      <c r="I112" s="40" t="n">
        <f aca="false">IF($A112="","",IF(INDEX(c_Mtgs,$A112)="","",INDEX(c_Mtgs,$A112)))</f>
        <v>0</v>
      </c>
      <c r="J112" s="11" t="str">
        <f aca="false">IF($A112="","",INDEX(c_EvtNames,$A112)&amp;"")</f>
        <v>May-26 Symposium</v>
      </c>
      <c r="K112" s="34" t="str">
        <f aca="false">IF($A112="","",INDEX(c_Invested,$A112)&amp;"")</f>
        <v>No</v>
      </c>
      <c r="L112" s="12" t="str">
        <f aca="false">IF($A112="","",IF(INDEX(c_AUM,$A112)="","",INDEX(c_AUM,$A112)))</f>
        <v/>
      </c>
      <c r="M112" s="11" t="str">
        <f aca="false">IF($A112="","",INDEX(c_Source,$A112)&amp;"")</f>
        <v>Meeting List</v>
      </c>
      <c r="N112" s="11" t="str">
        <f aca="false">IF($A112="","",INDEX(c_Notes,$A112)&amp;"")</f>
        <v/>
      </c>
    </row>
    <row r="113" customFormat="false" ht="15" hidden="false" customHeight="false" outlineLevel="0" collapsed="false">
      <c r="A113" s="32" t="n">
        <f aca="false">IFERROR(MATCH(ROW()-5,c_Seq,0),"")</f>
        <v>108</v>
      </c>
      <c r="B113" s="15" t="str">
        <f aca="false">IF($A113="","",INDEX(c_Name,$A113)&amp;"")</f>
        <v>Young Soon Jey</v>
      </c>
      <c r="C113" s="15" t="str">
        <f aca="false">IF($A113="","",INDEX(c_Firm,$A113)&amp;"")</f>
        <v>iFast</v>
      </c>
      <c r="D113" s="15" t="str">
        <f aca="false">IF($A113="","",INDEX(c_Type,$A113)&amp;"")</f>
        <v>Branch Director</v>
      </c>
      <c r="E113" s="15" t="str">
        <f aca="false">IF($A113="","",INDEX(c_Email,$A113)&amp;"")</f>
        <v/>
      </c>
      <c r="F113" s="36" t="str">
        <f aca="false">IF($A113="","",INDEX(c_Met,$A113)&amp;"")</f>
        <v>No</v>
      </c>
      <c r="G113" s="26" t="str">
        <f aca="false">IF($A113="","",IF(INDEX(c_Date,$A113)="","",INDEX(c_Date,$A113)))</f>
        <v/>
      </c>
      <c r="H113" s="35" t="str">
        <f aca="false">IF($A113="","",IF(INDEX(c_Days,$A113)="","",INDEX(c_Days,$A113)))</f>
        <v/>
      </c>
      <c r="I113" s="41" t="n">
        <f aca="false">IF($A113="","",IF(INDEX(c_Mtgs,$A113)="","",INDEX(c_Mtgs,$A113)))</f>
        <v>0</v>
      </c>
      <c r="J113" s="15" t="str">
        <f aca="false">IF($A113="","",INDEX(c_EvtNames,$A113)&amp;"")</f>
        <v/>
      </c>
      <c r="K113" s="36" t="str">
        <f aca="false">IF($A113="","",INDEX(c_Invested,$A113)&amp;"")</f>
        <v>No</v>
      </c>
      <c r="L113" s="16" t="str">
        <f aca="false">IF($A113="","",IF(INDEX(c_AUM,$A113)="","",INDEX(c_AUM,$A113)))</f>
        <v/>
      </c>
      <c r="M113" s="15" t="str">
        <f aca="false">IF($A113="","",INDEX(c_Source,$A113)&amp;"")</f>
        <v>Branch Directors</v>
      </c>
      <c r="N113" s="15" t="str">
        <f aca="false">IF($A113="","",INDEX(c_Notes,$A113)&amp;"")</f>
        <v/>
      </c>
    </row>
    <row r="114" customFormat="false" ht="15" hidden="false" customHeight="false" outlineLevel="0" collapsed="false">
      <c r="A114" s="32" t="n">
        <f aca="false">IFERROR(MATCH(ROW()-5,c_Seq,0),"")</f>
        <v>109</v>
      </c>
      <c r="B114" s="11" t="str">
        <f aca="false">IF($A114="","",INDEX(c_Name,$A114)&amp;"")</f>
        <v>Zann Sim Lee Peng</v>
      </c>
      <c r="C114" s="11" t="str">
        <f aca="false">IF($A114="","",INDEX(c_Firm,$A114)&amp;"")</f>
        <v>iFast</v>
      </c>
      <c r="D114" s="11" t="str">
        <f aca="false">IF($A114="","",INDEX(c_Type,$A114)&amp;"")</f>
        <v>Consultant</v>
      </c>
      <c r="E114" s="11" t="str">
        <f aca="false">IF($A114="","",INDEX(c_Email,$A114)&amp;"")</f>
        <v/>
      </c>
      <c r="F114" s="34" t="str">
        <f aca="false">IF($A114="","",INDEX(c_Met,$A114)&amp;"")</f>
        <v>No</v>
      </c>
      <c r="G114" s="25" t="str">
        <f aca="false">IF($A114="","",IF(INDEX(c_Date,$A114)="","",INDEX(c_Date,$A114)))</f>
        <v/>
      </c>
      <c r="H114" s="33" t="str">
        <f aca="false">IF($A114="","",IF(INDEX(c_Days,$A114)="","",INDEX(c_Days,$A114)))</f>
        <v/>
      </c>
      <c r="I114" s="40" t="n">
        <f aca="false">IF($A114="","",IF(INDEX(c_Mtgs,$A114)="","",INDEX(c_Mtgs,$A114)))</f>
        <v>0</v>
      </c>
      <c r="J114" s="11" t="str">
        <f aca="false">IF($A114="","",INDEX(c_EvtNames,$A114)&amp;"")</f>
        <v/>
      </c>
      <c r="K114" s="34" t="str">
        <f aca="false">IF($A114="","",INDEX(c_Invested,$A114)&amp;"")</f>
        <v>No</v>
      </c>
      <c r="L114" s="12" t="str">
        <f aca="false">IF($A114="","",IF(INDEX(c_AUM,$A114)="","",INDEX(c_AUM,$A114)))</f>
        <v/>
      </c>
      <c r="M114" s="11" t="str">
        <f aca="false">IF($A114="","",INDEX(c_Source,$A114)&amp;"")</f>
        <v>Branch Directors</v>
      </c>
      <c r="N114" s="11" t="str">
        <f aca="false">IF($A114="","",INDEX(c_Notes,$A114)&amp;"")</f>
        <v>Reports to Bernard Chan</v>
      </c>
    </row>
    <row r="115" customFormat="false" ht="15" hidden="false" customHeight="false" outlineLevel="0" collapsed="false">
      <c r="A115" s="32" t="n">
        <f aca="false">IFERROR(MATCH(ROW()-5,c_Seq,0),"")</f>
        <v>110</v>
      </c>
      <c r="B115" s="15" t="str">
        <f aca="false">IF($A115="","",INDEX(c_Name,$A115)&amp;"")</f>
        <v>Benedict Lim</v>
      </c>
      <c r="C115" s="15" t="str">
        <f aca="false">IF($A115="","",INDEX(c_Firm,$A115)&amp;"")</f>
        <v>Income Advisory</v>
      </c>
      <c r="D115" s="15" t="str">
        <f aca="false">IF($A115="","",INDEX(c_Type,$A115)&amp;"")</f>
        <v>Branch Director</v>
      </c>
      <c r="E115" s="15" t="str">
        <f aca="false">IF($A115="","",INDEX(c_Email,$A115)&amp;"")</f>
        <v/>
      </c>
      <c r="F115" s="36" t="str">
        <f aca="false">IF($A115="","",INDEX(c_Met,$A115)&amp;"")</f>
        <v>No</v>
      </c>
      <c r="G115" s="26" t="str">
        <f aca="false">IF($A115="","",IF(INDEX(c_Date,$A115)="","",INDEX(c_Date,$A115)))</f>
        <v/>
      </c>
      <c r="H115" s="35" t="str">
        <f aca="false">IF($A115="","",IF(INDEX(c_Days,$A115)="","",INDEX(c_Days,$A115)))</f>
        <v/>
      </c>
      <c r="I115" s="41" t="n">
        <f aca="false">IF($A115="","",IF(INDEX(c_Mtgs,$A115)="","",INDEX(c_Mtgs,$A115)))</f>
        <v>0</v>
      </c>
      <c r="J115" s="15" t="str">
        <f aca="false">IF($A115="","",INDEX(c_EvtNames,$A115)&amp;"")</f>
        <v/>
      </c>
      <c r="K115" s="36" t="str">
        <f aca="false">IF($A115="","",INDEX(c_Invested,$A115)&amp;"")</f>
        <v>No</v>
      </c>
      <c r="L115" s="16" t="str">
        <f aca="false">IF($A115="","",IF(INDEX(c_AUM,$A115)="","",INDEX(c_AUM,$A115)))</f>
        <v/>
      </c>
      <c r="M115" s="15" t="str">
        <f aca="false">IF($A115="","",INDEX(c_Source,$A115)&amp;"")</f>
        <v>Branch Directors</v>
      </c>
      <c r="N115" s="15" t="str">
        <f aca="false">IF($A115="","",INDEX(c_Notes,$A115)&amp;"")</f>
        <v>Branch: Vertex</v>
      </c>
    </row>
    <row r="116" customFormat="false" ht="15" hidden="false" customHeight="false" outlineLevel="0" collapsed="false">
      <c r="A116" s="32" t="n">
        <f aca="false">IFERROR(MATCH(ROW()-5,c_Seq,0),"")</f>
        <v>111</v>
      </c>
      <c r="B116" s="11" t="str">
        <f aca="false">IF($A116="","",INDEX(c_Name,$A116)&amp;"")</f>
        <v>Carlos Lee</v>
      </c>
      <c r="C116" s="11" t="str">
        <f aca="false">IF($A116="","",INDEX(c_Firm,$A116)&amp;"")</f>
        <v>Income Advisory</v>
      </c>
      <c r="D116" s="11" t="str">
        <f aca="false">IF($A116="","",INDEX(c_Type,$A116)&amp;"")</f>
        <v>Branch Director</v>
      </c>
      <c r="E116" s="11" t="str">
        <f aca="false">IF($A116="","",INDEX(c_Email,$A116)&amp;"")</f>
        <v/>
      </c>
      <c r="F116" s="34" t="str">
        <f aca="false">IF($A116="","",INDEX(c_Met,$A116)&amp;"")</f>
        <v>No</v>
      </c>
      <c r="G116" s="25" t="str">
        <f aca="false">IF($A116="","",IF(INDEX(c_Date,$A116)="","",INDEX(c_Date,$A116)))</f>
        <v/>
      </c>
      <c r="H116" s="33" t="str">
        <f aca="false">IF($A116="","",IF(INDEX(c_Days,$A116)="","",INDEX(c_Days,$A116)))</f>
        <v/>
      </c>
      <c r="I116" s="40" t="n">
        <f aca="false">IF($A116="","",IF(INDEX(c_Mtgs,$A116)="","",INDEX(c_Mtgs,$A116)))</f>
        <v>0</v>
      </c>
      <c r="J116" s="11" t="str">
        <f aca="false">IF($A116="","",INDEX(c_EvtNames,$A116)&amp;"")</f>
        <v/>
      </c>
      <c r="K116" s="34" t="str">
        <f aca="false">IF($A116="","",INDEX(c_Invested,$A116)&amp;"")</f>
        <v>No</v>
      </c>
      <c r="L116" s="12" t="str">
        <f aca="false">IF($A116="","",IF(INDEX(c_AUM,$A116)="","",INDEX(c_AUM,$A116)))</f>
        <v/>
      </c>
      <c r="M116" s="11" t="str">
        <f aca="false">IF($A116="","",INDEX(c_Source,$A116)&amp;"")</f>
        <v>Branch Directors</v>
      </c>
      <c r="N116" s="11" t="str">
        <f aca="false">IF($A116="","",INDEX(c_Notes,$A116)&amp;"")</f>
        <v>Branch: Ascendia Advisory</v>
      </c>
    </row>
    <row r="117" customFormat="false" ht="15" hidden="false" customHeight="false" outlineLevel="0" collapsed="false">
      <c r="A117" s="32" t="n">
        <f aca="false">IFERROR(MATCH(ROW()-5,c_Seq,0),"")</f>
        <v>112</v>
      </c>
      <c r="B117" s="15" t="str">
        <f aca="false">IF($A117="","",INDEX(c_Name,$A117)&amp;"")</f>
        <v>Charles Tiong</v>
      </c>
      <c r="C117" s="15" t="str">
        <f aca="false">IF($A117="","",INDEX(c_Firm,$A117)&amp;"")</f>
        <v>Income Advisory</v>
      </c>
      <c r="D117" s="15" t="str">
        <f aca="false">IF($A117="","",INDEX(c_Type,$A117)&amp;"")</f>
        <v>Branch Director</v>
      </c>
      <c r="E117" s="15" t="str">
        <f aca="false">IF($A117="","",INDEX(c_Email,$A117)&amp;"")</f>
        <v/>
      </c>
      <c r="F117" s="36" t="str">
        <f aca="false">IF($A117="","",INDEX(c_Met,$A117)&amp;"")</f>
        <v>No</v>
      </c>
      <c r="G117" s="26" t="str">
        <f aca="false">IF($A117="","",IF(INDEX(c_Date,$A117)="","",INDEX(c_Date,$A117)))</f>
        <v/>
      </c>
      <c r="H117" s="35" t="str">
        <f aca="false">IF($A117="","",IF(INDEX(c_Days,$A117)="","",INDEX(c_Days,$A117)))</f>
        <v/>
      </c>
      <c r="I117" s="41" t="n">
        <f aca="false">IF($A117="","",IF(INDEX(c_Mtgs,$A117)="","",INDEX(c_Mtgs,$A117)))</f>
        <v>0</v>
      </c>
      <c r="J117" s="15" t="str">
        <f aca="false">IF($A117="","",INDEX(c_EvtNames,$A117)&amp;"")</f>
        <v/>
      </c>
      <c r="K117" s="36" t="str">
        <f aca="false">IF($A117="","",INDEX(c_Invested,$A117)&amp;"")</f>
        <v>No</v>
      </c>
      <c r="L117" s="16" t="str">
        <f aca="false">IF($A117="","",IF(INDEX(c_AUM,$A117)="","",INDEX(c_AUM,$A117)))</f>
        <v/>
      </c>
      <c r="M117" s="15" t="str">
        <f aca="false">IF($A117="","",INDEX(c_Source,$A117)&amp;"")</f>
        <v>Branch Directors</v>
      </c>
      <c r="N117" s="15" t="str">
        <f aca="false">IF($A117="","",INDEX(c_Notes,$A117)&amp;"")</f>
        <v>Branch: Financial Dynamics</v>
      </c>
    </row>
    <row r="118" customFormat="false" ht="15" hidden="false" customHeight="false" outlineLevel="0" collapsed="false">
      <c r="A118" s="32" t="n">
        <f aca="false">IFERROR(MATCH(ROW()-5,c_Seq,0),"")</f>
        <v>113</v>
      </c>
      <c r="B118" s="11" t="str">
        <f aca="false">IF($A118="","",INDEX(c_Name,$A118)&amp;"")</f>
        <v>Dr U-Jin Chow</v>
      </c>
      <c r="C118" s="11" t="str">
        <f aca="false">IF($A118="","",INDEX(c_Firm,$A118)&amp;"")</f>
        <v>Income Advisory</v>
      </c>
      <c r="D118" s="11" t="str">
        <f aca="false">IF($A118="","",INDEX(c_Type,$A118)&amp;"")</f>
        <v>Branch Director</v>
      </c>
      <c r="E118" s="11" t="str">
        <f aca="false">IF($A118="","",INDEX(c_Email,$A118)&amp;"")</f>
        <v/>
      </c>
      <c r="F118" s="34" t="str">
        <f aca="false">IF($A118="","",INDEX(c_Met,$A118)&amp;"")</f>
        <v>No</v>
      </c>
      <c r="G118" s="25" t="str">
        <f aca="false">IF($A118="","",IF(INDEX(c_Date,$A118)="","",INDEX(c_Date,$A118)))</f>
        <v/>
      </c>
      <c r="H118" s="33" t="str">
        <f aca="false">IF($A118="","",IF(INDEX(c_Days,$A118)="","",INDEX(c_Days,$A118)))</f>
        <v/>
      </c>
      <c r="I118" s="40" t="n">
        <f aca="false">IF($A118="","",IF(INDEX(c_Mtgs,$A118)="","",INDEX(c_Mtgs,$A118)))</f>
        <v>0</v>
      </c>
      <c r="J118" s="11" t="str">
        <f aca="false">IF($A118="","",INDEX(c_EvtNames,$A118)&amp;"")</f>
        <v/>
      </c>
      <c r="K118" s="34" t="str">
        <f aca="false">IF($A118="","",INDEX(c_Invested,$A118)&amp;"")</f>
        <v>No</v>
      </c>
      <c r="L118" s="12" t="str">
        <f aca="false">IF($A118="","",IF(INDEX(c_AUM,$A118)="","",INDEX(c_AUM,$A118)))</f>
        <v/>
      </c>
      <c r="M118" s="11" t="str">
        <f aca="false">IF($A118="","",INDEX(c_Source,$A118)&amp;"")</f>
        <v>Branch Directors</v>
      </c>
      <c r="N118" s="11" t="str">
        <f aca="false">IF($A118="","",INDEX(c_Notes,$A118)&amp;"")</f>
        <v>Branch: FinHealth</v>
      </c>
    </row>
    <row r="119" customFormat="false" ht="15" hidden="false" customHeight="false" outlineLevel="0" collapsed="false">
      <c r="A119" s="32" t="n">
        <f aca="false">IFERROR(MATCH(ROW()-5,c_Seq,0),"")</f>
        <v>114</v>
      </c>
      <c r="B119" s="15" t="str">
        <f aca="false">IF($A119="","",INDEX(c_Name,$A119)&amp;"")</f>
        <v>Dylan Wong</v>
      </c>
      <c r="C119" s="15" t="str">
        <f aca="false">IF($A119="","",INDEX(c_Firm,$A119)&amp;"")</f>
        <v>Income Advisory</v>
      </c>
      <c r="D119" s="15" t="str">
        <f aca="false">IF($A119="","",INDEX(c_Type,$A119)&amp;"")</f>
        <v>Branch Director</v>
      </c>
      <c r="E119" s="15" t="str">
        <f aca="false">IF($A119="","",INDEX(c_Email,$A119)&amp;"")</f>
        <v/>
      </c>
      <c r="F119" s="36" t="str">
        <f aca="false">IF($A119="","",INDEX(c_Met,$A119)&amp;"")</f>
        <v>No</v>
      </c>
      <c r="G119" s="26" t="str">
        <f aca="false">IF($A119="","",IF(INDEX(c_Date,$A119)="","",INDEX(c_Date,$A119)))</f>
        <v/>
      </c>
      <c r="H119" s="35" t="str">
        <f aca="false">IF($A119="","",IF(INDEX(c_Days,$A119)="","",INDEX(c_Days,$A119)))</f>
        <v/>
      </c>
      <c r="I119" s="41" t="n">
        <f aca="false">IF($A119="","",IF(INDEX(c_Mtgs,$A119)="","",INDEX(c_Mtgs,$A119)))</f>
        <v>0</v>
      </c>
      <c r="J119" s="15" t="str">
        <f aca="false">IF($A119="","",INDEX(c_EvtNames,$A119)&amp;"")</f>
        <v/>
      </c>
      <c r="K119" s="36" t="str">
        <f aca="false">IF($A119="","",INDEX(c_Invested,$A119)&amp;"")</f>
        <v>No</v>
      </c>
      <c r="L119" s="16" t="str">
        <f aca="false">IF($A119="","",IF(INDEX(c_AUM,$A119)="","",INDEX(c_AUM,$A119)))</f>
        <v/>
      </c>
      <c r="M119" s="15" t="str">
        <f aca="false">IF($A119="","",INDEX(c_Source,$A119)&amp;"")</f>
        <v>Branch Directors</v>
      </c>
      <c r="N119" s="15" t="str">
        <f aca="false">IF($A119="","",INDEX(c_Notes,$A119)&amp;"")</f>
        <v>Branch: Elios Wealth Management</v>
      </c>
    </row>
    <row r="120" customFormat="false" ht="15" hidden="false" customHeight="false" outlineLevel="0" collapsed="false">
      <c r="A120" s="32" t="n">
        <f aca="false">IFERROR(MATCH(ROW()-5,c_Seq,0),"")</f>
        <v>115</v>
      </c>
      <c r="B120" s="11" t="str">
        <f aca="false">IF($A120="","",INDEX(c_Name,$A120)&amp;"")</f>
        <v>Jasmine Sng</v>
      </c>
      <c r="C120" s="11" t="str">
        <f aca="false">IF($A120="","",INDEX(c_Firm,$A120)&amp;"")</f>
        <v>Income Advisory</v>
      </c>
      <c r="D120" s="11" t="str">
        <f aca="false">IF($A120="","",INDEX(c_Type,$A120)&amp;"")</f>
        <v>Branch Director</v>
      </c>
      <c r="E120" s="11" t="str">
        <f aca="false">IF($A120="","",INDEX(c_Email,$A120)&amp;"")</f>
        <v/>
      </c>
      <c r="F120" s="34" t="str">
        <f aca="false">IF($A120="","",INDEX(c_Met,$A120)&amp;"")</f>
        <v>No</v>
      </c>
      <c r="G120" s="25" t="str">
        <f aca="false">IF($A120="","",IF(INDEX(c_Date,$A120)="","",INDEX(c_Date,$A120)))</f>
        <v/>
      </c>
      <c r="H120" s="33" t="str">
        <f aca="false">IF($A120="","",IF(INDEX(c_Days,$A120)="","",INDEX(c_Days,$A120)))</f>
        <v/>
      </c>
      <c r="I120" s="40" t="n">
        <f aca="false">IF($A120="","",IF(INDEX(c_Mtgs,$A120)="","",INDEX(c_Mtgs,$A120)))</f>
        <v>0</v>
      </c>
      <c r="J120" s="11" t="str">
        <f aca="false">IF($A120="","",INDEX(c_EvtNames,$A120)&amp;"")</f>
        <v/>
      </c>
      <c r="K120" s="34" t="str">
        <f aca="false">IF($A120="","",INDEX(c_Invested,$A120)&amp;"")</f>
        <v>No</v>
      </c>
      <c r="L120" s="12" t="str">
        <f aca="false">IF($A120="","",IF(INDEX(c_AUM,$A120)="","",INDEX(c_AUM,$A120)))</f>
        <v/>
      </c>
      <c r="M120" s="11" t="str">
        <f aca="false">IF($A120="","",INDEX(c_Source,$A120)&amp;"")</f>
        <v>Branch Directors</v>
      </c>
      <c r="N120" s="11" t="str">
        <f aca="false">IF($A120="","",INDEX(c_Notes,$A120)&amp;"")</f>
        <v>Branch: Treasures Advisory Group</v>
      </c>
    </row>
    <row r="121" customFormat="false" ht="15" hidden="false" customHeight="false" outlineLevel="0" collapsed="false">
      <c r="A121" s="32" t="n">
        <f aca="false">IFERROR(MATCH(ROW()-5,c_Seq,0),"")</f>
        <v>116</v>
      </c>
      <c r="B121" s="15" t="str">
        <f aca="false">IF($A121="","",INDEX(c_Name,$A121)&amp;"")</f>
        <v>Jenniffer Lim</v>
      </c>
      <c r="C121" s="15" t="str">
        <f aca="false">IF($A121="","",INDEX(c_Firm,$A121)&amp;"")</f>
        <v>Income Advisory</v>
      </c>
      <c r="D121" s="15" t="str">
        <f aca="false">IF($A121="","",INDEX(c_Type,$A121)&amp;"")</f>
        <v>Branch Director</v>
      </c>
      <c r="E121" s="15" t="str">
        <f aca="false">IF($A121="","",INDEX(c_Email,$A121)&amp;"")</f>
        <v/>
      </c>
      <c r="F121" s="36" t="str">
        <f aca="false">IF($A121="","",INDEX(c_Met,$A121)&amp;"")</f>
        <v>No</v>
      </c>
      <c r="G121" s="26" t="str">
        <f aca="false">IF($A121="","",IF(INDEX(c_Date,$A121)="","",INDEX(c_Date,$A121)))</f>
        <v/>
      </c>
      <c r="H121" s="35" t="str">
        <f aca="false">IF($A121="","",IF(INDEX(c_Days,$A121)="","",INDEX(c_Days,$A121)))</f>
        <v/>
      </c>
      <c r="I121" s="41" t="n">
        <f aca="false">IF($A121="","",IF(INDEX(c_Mtgs,$A121)="","",INDEX(c_Mtgs,$A121)))</f>
        <v>0</v>
      </c>
      <c r="J121" s="15" t="str">
        <f aca="false">IF($A121="","",INDEX(c_EvtNames,$A121)&amp;"")</f>
        <v/>
      </c>
      <c r="K121" s="36" t="str">
        <f aca="false">IF($A121="","",INDEX(c_Invested,$A121)&amp;"")</f>
        <v>No</v>
      </c>
      <c r="L121" s="16" t="str">
        <f aca="false">IF($A121="","",IF(INDEX(c_AUM,$A121)="","",INDEX(c_AUM,$A121)))</f>
        <v/>
      </c>
      <c r="M121" s="15" t="str">
        <f aca="false">IF($A121="","",INDEX(c_Source,$A121)&amp;"")</f>
        <v>Branch Directors</v>
      </c>
      <c r="N121" s="15" t="str">
        <f aca="false">IF($A121="","",INDEX(c_Notes,$A121)&amp;"")</f>
        <v>Branch: Aurelis Wealth</v>
      </c>
    </row>
    <row r="122" customFormat="false" ht="15" hidden="false" customHeight="false" outlineLevel="0" collapsed="false">
      <c r="A122" s="32" t="n">
        <f aca="false">IFERROR(MATCH(ROW()-5,c_Seq,0),"")</f>
        <v>117</v>
      </c>
      <c r="B122" s="11" t="str">
        <f aca="false">IF($A122="","",INDEX(c_Name,$A122)&amp;"")</f>
        <v>Lim Kwok Ing Jessica</v>
      </c>
      <c r="C122" s="11" t="str">
        <f aca="false">IF($A122="","",INDEX(c_Firm,$A122)&amp;"")</f>
        <v>Income Advisory</v>
      </c>
      <c r="D122" s="11" t="str">
        <f aca="false">IF($A122="","",INDEX(c_Type,$A122)&amp;"")</f>
        <v>Branch Director</v>
      </c>
      <c r="E122" s="11" t="str">
        <f aca="false">IF($A122="","",INDEX(c_Email,$A122)&amp;"")</f>
        <v/>
      </c>
      <c r="F122" s="34" t="str">
        <f aca="false">IF($A122="","",INDEX(c_Met,$A122)&amp;"")</f>
        <v>No</v>
      </c>
      <c r="G122" s="25" t="str">
        <f aca="false">IF($A122="","",IF(INDEX(c_Date,$A122)="","",INDEX(c_Date,$A122)))</f>
        <v/>
      </c>
      <c r="H122" s="33" t="str">
        <f aca="false">IF($A122="","",IF(INDEX(c_Days,$A122)="","",INDEX(c_Days,$A122)))</f>
        <v/>
      </c>
      <c r="I122" s="40" t="n">
        <f aca="false">IF($A122="","",IF(INDEX(c_Mtgs,$A122)="","",INDEX(c_Mtgs,$A122)))</f>
        <v>0</v>
      </c>
      <c r="J122" s="11" t="str">
        <f aca="false">IF($A122="","",INDEX(c_EvtNames,$A122)&amp;"")</f>
        <v/>
      </c>
      <c r="K122" s="34" t="str">
        <f aca="false">IF($A122="","",INDEX(c_Invested,$A122)&amp;"")</f>
        <v>No</v>
      </c>
      <c r="L122" s="12" t="str">
        <f aca="false">IF($A122="","",IF(INDEX(c_AUM,$A122)="","",INDEX(c_AUM,$A122)))</f>
        <v/>
      </c>
      <c r="M122" s="11" t="str">
        <f aca="false">IF($A122="","",INDEX(c_Source,$A122)&amp;"")</f>
        <v>Branch Directors</v>
      </c>
      <c r="N122" s="11" t="str">
        <f aca="false">IF($A122="","",INDEX(c_Notes,$A122)&amp;"")</f>
        <v>Branch: Apricus Alliance</v>
      </c>
    </row>
    <row r="123" customFormat="false" ht="15" hidden="false" customHeight="false" outlineLevel="0" collapsed="false">
      <c r="A123" s="32" t="n">
        <f aca="false">IFERROR(MATCH(ROW()-5,c_Seq,0),"")</f>
        <v>118</v>
      </c>
      <c r="B123" s="15" t="str">
        <f aca="false">IF($A123="","",INDEX(c_Name,$A123)&amp;"")</f>
        <v>Lo Kiang Sheng</v>
      </c>
      <c r="C123" s="15" t="str">
        <f aca="false">IF($A123="","",INDEX(c_Firm,$A123)&amp;"")</f>
        <v>Income Advisory</v>
      </c>
      <c r="D123" s="15" t="str">
        <f aca="false">IF($A123="","",INDEX(c_Type,$A123)&amp;"")</f>
        <v>Branch Director</v>
      </c>
      <c r="E123" s="15" t="str">
        <f aca="false">IF($A123="","",INDEX(c_Email,$A123)&amp;"")</f>
        <v/>
      </c>
      <c r="F123" s="36" t="str">
        <f aca="false">IF($A123="","",INDEX(c_Met,$A123)&amp;"")</f>
        <v>No</v>
      </c>
      <c r="G123" s="26" t="str">
        <f aca="false">IF($A123="","",IF(INDEX(c_Date,$A123)="","",INDEX(c_Date,$A123)))</f>
        <v/>
      </c>
      <c r="H123" s="35" t="str">
        <f aca="false">IF($A123="","",IF(INDEX(c_Days,$A123)="","",INDEX(c_Days,$A123)))</f>
        <v/>
      </c>
      <c r="I123" s="41" t="n">
        <f aca="false">IF($A123="","",IF(INDEX(c_Mtgs,$A123)="","",INDEX(c_Mtgs,$A123)))</f>
        <v>0</v>
      </c>
      <c r="J123" s="15" t="str">
        <f aca="false">IF($A123="","",INDEX(c_EvtNames,$A123)&amp;"")</f>
        <v/>
      </c>
      <c r="K123" s="36" t="str">
        <f aca="false">IF($A123="","",INDEX(c_Invested,$A123)&amp;"")</f>
        <v>No</v>
      </c>
      <c r="L123" s="16" t="str">
        <f aca="false">IF($A123="","",IF(INDEX(c_AUM,$A123)="","",INDEX(c_AUM,$A123)))</f>
        <v/>
      </c>
      <c r="M123" s="15" t="str">
        <f aca="false">IF($A123="","",INDEX(c_Source,$A123)&amp;"")</f>
        <v>Branch Directors</v>
      </c>
      <c r="N123" s="15" t="str">
        <f aca="false">IF($A123="","",INDEX(c_Notes,$A123)&amp;"")</f>
        <v>Branch: I Insurance</v>
      </c>
    </row>
    <row r="124" customFormat="false" ht="15" hidden="false" customHeight="false" outlineLevel="0" collapsed="false">
      <c r="A124" s="32" t="n">
        <f aca="false">IFERROR(MATCH(ROW()-5,c_Seq,0),"")</f>
        <v>119</v>
      </c>
      <c r="B124" s="11" t="str">
        <f aca="false">IF($A124="","",INDEX(c_Name,$A124)&amp;"")</f>
        <v>Nethan Chew</v>
      </c>
      <c r="C124" s="11" t="str">
        <f aca="false">IF($A124="","",INDEX(c_Firm,$A124)&amp;"")</f>
        <v>Income Advisory</v>
      </c>
      <c r="D124" s="11" t="str">
        <f aca="false">IF($A124="","",INDEX(c_Type,$A124)&amp;"")</f>
        <v>Branch Director</v>
      </c>
      <c r="E124" s="11" t="str">
        <f aca="false">IF($A124="","",INDEX(c_Email,$A124)&amp;"")</f>
        <v/>
      </c>
      <c r="F124" s="34" t="str">
        <f aca="false">IF($A124="","",INDEX(c_Met,$A124)&amp;"")</f>
        <v>No</v>
      </c>
      <c r="G124" s="25" t="str">
        <f aca="false">IF($A124="","",IF(INDEX(c_Date,$A124)="","",INDEX(c_Date,$A124)))</f>
        <v/>
      </c>
      <c r="H124" s="33" t="str">
        <f aca="false">IF($A124="","",IF(INDEX(c_Days,$A124)="","",INDEX(c_Days,$A124)))</f>
        <v/>
      </c>
      <c r="I124" s="40" t="n">
        <f aca="false">IF($A124="","",IF(INDEX(c_Mtgs,$A124)="","",INDEX(c_Mtgs,$A124)))</f>
        <v>0</v>
      </c>
      <c r="J124" s="11" t="str">
        <f aca="false">IF($A124="","",INDEX(c_EvtNames,$A124)&amp;"")</f>
        <v/>
      </c>
      <c r="K124" s="34" t="str">
        <f aca="false">IF($A124="","",INDEX(c_Invested,$A124)&amp;"")</f>
        <v>No</v>
      </c>
      <c r="L124" s="12" t="str">
        <f aca="false">IF($A124="","",IF(INDEX(c_AUM,$A124)="","",INDEX(c_AUM,$A124)))</f>
        <v/>
      </c>
      <c r="M124" s="11" t="str">
        <f aca="false">IF($A124="","",INDEX(c_Source,$A124)&amp;"")</f>
        <v>Branch Directors</v>
      </c>
      <c r="N124" s="11" t="str">
        <f aca="false">IF($A124="","",INDEX(c_Notes,$A124)&amp;"")</f>
        <v>Branch: XChange</v>
      </c>
    </row>
    <row r="125" customFormat="false" ht="15" hidden="false" customHeight="false" outlineLevel="0" collapsed="false">
      <c r="A125" s="32" t="n">
        <f aca="false">IFERROR(MATCH(ROW()-5,c_Seq,0),"")</f>
        <v>120</v>
      </c>
      <c r="B125" s="15" t="str">
        <f aca="false">IF($A125="","",INDEX(c_Name,$A125)&amp;"")</f>
        <v>Willie Tan</v>
      </c>
      <c r="C125" s="15" t="str">
        <f aca="false">IF($A125="","",INDEX(c_Firm,$A125)&amp;"")</f>
        <v>Income Advisory</v>
      </c>
      <c r="D125" s="15" t="str">
        <f aca="false">IF($A125="","",INDEX(c_Type,$A125)&amp;"")</f>
        <v>Branch Director</v>
      </c>
      <c r="E125" s="15" t="str">
        <f aca="false">IF($A125="","",INDEX(c_Email,$A125)&amp;"")</f>
        <v/>
      </c>
      <c r="F125" s="36" t="str">
        <f aca="false">IF($A125="","",INDEX(c_Met,$A125)&amp;"")</f>
        <v>No</v>
      </c>
      <c r="G125" s="26" t="str">
        <f aca="false">IF($A125="","",IF(INDEX(c_Date,$A125)="","",INDEX(c_Date,$A125)))</f>
        <v/>
      </c>
      <c r="H125" s="35" t="str">
        <f aca="false">IF($A125="","",IF(INDEX(c_Days,$A125)="","",INDEX(c_Days,$A125)))</f>
        <v/>
      </c>
      <c r="I125" s="41" t="n">
        <f aca="false">IF($A125="","",IF(INDEX(c_Mtgs,$A125)="","",INDEX(c_Mtgs,$A125)))</f>
        <v>0</v>
      </c>
      <c r="J125" s="15" t="str">
        <f aca="false">IF($A125="","",INDEX(c_EvtNames,$A125)&amp;"")</f>
        <v/>
      </c>
      <c r="K125" s="36" t="str">
        <f aca="false">IF($A125="","",INDEX(c_Invested,$A125)&amp;"")</f>
        <v>No</v>
      </c>
      <c r="L125" s="16" t="str">
        <f aca="false">IF($A125="","",IF(INDEX(c_AUM,$A125)="","",INDEX(c_AUM,$A125)))</f>
        <v/>
      </c>
      <c r="M125" s="15" t="str">
        <f aca="false">IF($A125="","",INDEX(c_Source,$A125)&amp;"")</f>
        <v>Branch Directors</v>
      </c>
      <c r="N125" s="15" t="str">
        <f aca="false">IF($A125="","",INDEX(c_Notes,$A125)&amp;"")</f>
        <v>Branch: Harmony Group</v>
      </c>
    </row>
    <row r="126" customFormat="false" ht="15" hidden="false" customHeight="false" outlineLevel="0" collapsed="false">
      <c r="A126" s="32" t="n">
        <f aca="false">IFERROR(MATCH(ROW()-5,c_Seq,0),"")</f>
        <v>121</v>
      </c>
      <c r="B126" s="11" t="str">
        <f aca="false">IF($A126="","",INDEX(c_Name,$A126)&amp;"")</f>
        <v>Anand Francis</v>
      </c>
      <c r="C126" s="11" t="str">
        <f aca="false">IF($A126="","",INDEX(c_Firm,$A126)&amp;"")</f>
        <v>Infinity FA</v>
      </c>
      <c r="D126" s="11" t="str">
        <f aca="false">IF($A126="","",INDEX(c_Type,$A126)&amp;"")</f>
        <v>Adviser</v>
      </c>
      <c r="E126" s="11" t="str">
        <f aca="false">IF($A126="","",INDEX(c_Email,$A126)&amp;"")</f>
        <v>anand.francis@infinityfa.com.sg</v>
      </c>
      <c r="F126" s="34" t="str">
        <f aca="false">IF($A126="","",INDEX(c_Met,$A126)&amp;"")</f>
        <v>Yes</v>
      </c>
      <c r="G126" s="25" t="n">
        <f aca="false">IF($A126="","",IF(INDEX(c_Date,$A126)="","",INDEX(c_Date,$A126)))</f>
        <v>45936</v>
      </c>
      <c r="H126" s="33" t="n">
        <f aca="false">IF($A126="","",IF(INDEX(c_Days,$A126)="","",INDEX(c_Days,$A126)))</f>
        <v>305</v>
      </c>
      <c r="I126" s="40" t="n">
        <f aca="false">IF($A126="","",IF(INDEX(c_Mtgs,$A126)="","",INDEX(c_Mtgs,$A126)))</f>
        <v>1</v>
      </c>
      <c r="J126" s="11" t="str">
        <f aca="false">IF($A126="","",INDEX(c_EvtNames,$A126)&amp;"")</f>
        <v>May-26 Symposium</v>
      </c>
      <c r="K126" s="34" t="str">
        <f aca="false">IF($A126="","",INDEX(c_Invested,$A126)&amp;"")</f>
        <v>No</v>
      </c>
      <c r="L126" s="12" t="str">
        <f aca="false">IF($A126="","",IF(INDEX(c_AUM,$A126)="","",INDEX(c_AUM,$A126)))</f>
        <v/>
      </c>
      <c r="M126" s="11" t="str">
        <f aca="false">IF($A126="","",INDEX(c_Source,$A126)&amp;"")</f>
        <v>Meeting List + ILP Data</v>
      </c>
      <c r="N126" s="11" t="str">
        <f aca="false">IF($A126="","",INDEX(c_Notes,$A126)&amp;"")</f>
        <v>ILP: Investment</v>
      </c>
    </row>
    <row r="127" customFormat="false" ht="15" hidden="false" customHeight="false" outlineLevel="0" collapsed="false">
      <c r="A127" s="32" t="n">
        <f aca="false">IFERROR(MATCH(ROW()-5,c_Seq,0),"")</f>
        <v>122</v>
      </c>
      <c r="B127" s="15" t="str">
        <f aca="false">IF($A127="","",INDEX(c_Name,$A127)&amp;"")</f>
        <v>Andy Ng</v>
      </c>
      <c r="C127" s="15" t="str">
        <f aca="false">IF($A127="","",INDEX(c_Firm,$A127)&amp;"")</f>
        <v>Infinity FA</v>
      </c>
      <c r="D127" s="15" t="str">
        <f aca="false">IF($A127="","",INDEX(c_Type,$A127)&amp;"")</f>
        <v>Adviser</v>
      </c>
      <c r="E127" s="15" t="str">
        <f aca="false">IF($A127="","",INDEX(c_Email,$A127)&amp;"")</f>
        <v>andy.ng@infinityfa.com.sg</v>
      </c>
      <c r="F127" s="36" t="str">
        <f aca="false">IF($A127="","",INDEX(c_Met,$A127)&amp;"")</f>
        <v>Yes</v>
      </c>
      <c r="G127" s="26" t="n">
        <f aca="false">IF($A127="","",IF(INDEX(c_Date,$A127)="","",INDEX(c_Date,$A127)))</f>
        <v>46056</v>
      </c>
      <c r="H127" s="35" t="n">
        <f aca="false">IF($A127="","",IF(INDEX(c_Days,$A127)="","",INDEX(c_Days,$A127)))</f>
        <v>185</v>
      </c>
      <c r="I127" s="41" t="n">
        <f aca="false">IF($A127="","",IF(INDEX(c_Mtgs,$A127)="","",INDEX(c_Mtgs,$A127)))</f>
        <v>1</v>
      </c>
      <c r="J127" s="15" t="str">
        <f aca="false">IF($A127="","",INDEX(c_EvtNames,$A127)&amp;"")</f>
        <v/>
      </c>
      <c r="K127" s="36" t="str">
        <f aca="false">IF($A127="","",INDEX(c_Invested,$A127)&amp;"")</f>
        <v>No</v>
      </c>
      <c r="L127" s="16" t="n">
        <f aca="false">IF($A127="","",IF(INDEX(c_AUM,$A127)="","",INDEX(c_AUM,$A127)))</f>
        <v>30000000</v>
      </c>
      <c r="M127" s="15" t="str">
        <f aca="false">IF($A127="","",INDEX(c_Source,$A127)&amp;"")</f>
        <v>Meeting List + ILP Data</v>
      </c>
      <c r="N127" s="15" t="str">
        <f aca="false">IF($A127="","",INDEX(c_Notes,$A127)&amp;"")</f>
        <v/>
      </c>
    </row>
    <row r="128" customFormat="false" ht="15" hidden="false" customHeight="false" outlineLevel="0" collapsed="false">
      <c r="A128" s="32" t="n">
        <f aca="false">IFERROR(MATCH(ROW()-5,c_Seq,0),"")</f>
        <v>123</v>
      </c>
      <c r="B128" s="11" t="str">
        <f aca="false">IF($A128="","",INDEX(c_Name,$A128)&amp;"")</f>
        <v>Clarence Wong</v>
      </c>
      <c r="C128" s="11" t="str">
        <f aca="false">IF($A128="","",INDEX(c_Firm,$A128)&amp;"")</f>
        <v>Infinity FA</v>
      </c>
      <c r="D128" s="11" t="str">
        <f aca="false">IF($A128="","",INDEX(c_Type,$A128)&amp;"")</f>
        <v>Adviser</v>
      </c>
      <c r="E128" s="11" t="str">
        <f aca="false">IF($A128="","",INDEX(c_Email,$A128)&amp;"")</f>
        <v>clarence.cheong@infinityfa.com.sg</v>
      </c>
      <c r="F128" s="34" t="str">
        <f aca="false">IF($A128="","",INDEX(c_Met,$A128)&amp;"")</f>
        <v>No</v>
      </c>
      <c r="G128" s="25" t="str">
        <f aca="false">IF($A128="","",IF(INDEX(c_Date,$A128)="","",INDEX(c_Date,$A128)))</f>
        <v/>
      </c>
      <c r="H128" s="33" t="str">
        <f aca="false">IF($A128="","",IF(INDEX(c_Days,$A128)="","",INDEX(c_Days,$A128)))</f>
        <v/>
      </c>
      <c r="I128" s="40" t="n">
        <f aca="false">IF($A128="","",IF(INDEX(c_Mtgs,$A128)="","",INDEX(c_Mtgs,$A128)))</f>
        <v>0</v>
      </c>
      <c r="J128" s="11" t="str">
        <f aca="false">IF($A128="","",INDEX(c_EvtNames,$A128)&amp;"")</f>
        <v>Oct-25 Symposium</v>
      </c>
      <c r="K128" s="34" t="str">
        <f aca="false">IF($A128="","",INDEX(c_Invested,$A128)&amp;"")</f>
        <v>No</v>
      </c>
      <c r="L128" s="12" t="n">
        <f aca="false">IF($A128="","",IF(INDEX(c_AUM,$A128)="","",INDEX(c_AUM,$A128)))</f>
        <v>20000000</v>
      </c>
      <c r="M128" s="11" t="str">
        <f aca="false">IF($A128="","",INDEX(c_Source,$A128)&amp;"")</f>
        <v>Meeting List + ILP Data</v>
      </c>
      <c r="N128" s="11" t="str">
        <f aca="false">IF($A128="","",INDEX(c_Notes,$A128)&amp;"")</f>
        <v/>
      </c>
    </row>
    <row r="129" customFormat="false" ht="15" hidden="false" customHeight="false" outlineLevel="0" collapsed="false">
      <c r="A129" s="32" t="n">
        <f aca="false">IFERROR(MATCH(ROW()-5,c_Seq,0),"")</f>
        <v>124</v>
      </c>
      <c r="B129" s="15" t="str">
        <f aca="false">IF($A129="","",INDEX(c_Name,$A129)&amp;"")</f>
        <v>Faith Wong</v>
      </c>
      <c r="C129" s="15" t="str">
        <f aca="false">IF($A129="","",INDEX(c_Firm,$A129)&amp;"")</f>
        <v>Infinity FA</v>
      </c>
      <c r="D129" s="15" t="str">
        <f aca="false">IF($A129="","",INDEX(c_Type,$A129)&amp;"")</f>
        <v>Adviser</v>
      </c>
      <c r="E129" s="15" t="str">
        <f aca="false">IF($A129="","",INDEX(c_Email,$A129)&amp;"")</f>
        <v>faith.wong@infinityfa.com.sg</v>
      </c>
      <c r="F129" s="36" t="str">
        <f aca="false">IF($A129="","",INDEX(c_Met,$A129)&amp;"")</f>
        <v>No</v>
      </c>
      <c r="G129" s="26" t="str">
        <f aca="false">IF($A129="","",IF(INDEX(c_Date,$A129)="","",INDEX(c_Date,$A129)))</f>
        <v/>
      </c>
      <c r="H129" s="35" t="str">
        <f aca="false">IF($A129="","",IF(INDEX(c_Days,$A129)="","",INDEX(c_Days,$A129)))</f>
        <v/>
      </c>
      <c r="I129" s="41" t="n">
        <f aca="false">IF($A129="","",IF(INDEX(c_Mtgs,$A129)="","",INDEX(c_Mtgs,$A129)))</f>
        <v>0</v>
      </c>
      <c r="J129" s="15" t="str">
        <f aca="false">IF($A129="","",INDEX(c_EvtNames,$A129)&amp;"")</f>
        <v/>
      </c>
      <c r="K129" s="36" t="str">
        <f aca="false">IF($A129="","",INDEX(c_Invested,$A129)&amp;"")</f>
        <v>No</v>
      </c>
      <c r="L129" s="16" t="str">
        <f aca="false">IF($A129="","",IF(INDEX(c_AUM,$A129)="","",INDEX(c_AUM,$A129)))</f>
        <v/>
      </c>
      <c r="M129" s="15" t="str">
        <f aca="false">IF($A129="","",INDEX(c_Source,$A129)&amp;"")</f>
        <v>Meeting List</v>
      </c>
      <c r="N129" s="15" t="str">
        <f aca="false">IF($A129="","",INDEX(c_Notes,$A129)&amp;"")</f>
        <v/>
      </c>
    </row>
    <row r="130" customFormat="false" ht="15" hidden="false" customHeight="false" outlineLevel="0" collapsed="false">
      <c r="A130" s="32" t="n">
        <f aca="false">IFERROR(MATCH(ROW()-5,c_Seq,0),"")</f>
        <v>125</v>
      </c>
      <c r="B130" s="11" t="str">
        <f aca="false">IF($A130="","",INDEX(c_Name,$A130)&amp;"")</f>
        <v>Ian Foong</v>
      </c>
      <c r="C130" s="11" t="str">
        <f aca="false">IF($A130="","",INDEX(c_Firm,$A130)&amp;"")</f>
        <v>Infinity FA</v>
      </c>
      <c r="D130" s="11" t="str">
        <f aca="false">IF($A130="","",INDEX(c_Type,$A130)&amp;"")</f>
        <v>Adviser</v>
      </c>
      <c r="E130" s="11" t="str">
        <f aca="false">IF($A130="","",INDEX(c_Email,$A130)&amp;"")</f>
        <v>ian.foong@infinityfa.com.sg</v>
      </c>
      <c r="F130" s="34" t="str">
        <f aca="false">IF($A130="","",INDEX(c_Met,$A130)&amp;"")</f>
        <v>No</v>
      </c>
      <c r="G130" s="25" t="str">
        <f aca="false">IF($A130="","",IF(INDEX(c_Date,$A130)="","",INDEX(c_Date,$A130)))</f>
        <v/>
      </c>
      <c r="H130" s="33" t="str">
        <f aca="false">IF($A130="","",IF(INDEX(c_Days,$A130)="","",INDEX(c_Days,$A130)))</f>
        <v/>
      </c>
      <c r="I130" s="40" t="n">
        <f aca="false">IF($A130="","",IF(INDEX(c_Mtgs,$A130)="","",INDEX(c_Mtgs,$A130)))</f>
        <v>0</v>
      </c>
      <c r="J130" s="11" t="str">
        <f aca="false">IF($A130="","",INDEX(c_EvtNames,$A130)&amp;"")</f>
        <v>May-26 Symposium</v>
      </c>
      <c r="K130" s="34" t="str">
        <f aca="false">IF($A130="","",INDEX(c_Invested,$A130)&amp;"")</f>
        <v>No</v>
      </c>
      <c r="L130" s="12" t="str">
        <f aca="false">IF($A130="","",IF(INDEX(c_AUM,$A130)="","",INDEX(c_AUM,$A130)))</f>
        <v/>
      </c>
      <c r="M130" s="11" t="str">
        <f aca="false">IF($A130="","",INDEX(c_Source,$A130)&amp;"")</f>
        <v>Meeting List</v>
      </c>
      <c r="N130" s="11" t="str">
        <f aca="false">IF($A130="","",INDEX(c_Notes,$A130)&amp;"")</f>
        <v/>
      </c>
    </row>
    <row r="131" customFormat="false" ht="15" hidden="false" customHeight="false" outlineLevel="0" collapsed="false">
      <c r="A131" s="32" t="n">
        <f aca="false">IFERROR(MATCH(ROW()-5,c_Seq,0),"")</f>
        <v>126</v>
      </c>
      <c r="B131" s="15" t="str">
        <f aca="false">IF($A131="","",INDEX(c_Name,$A131)&amp;"")</f>
        <v>Jeffrey Lim</v>
      </c>
      <c r="C131" s="15" t="str">
        <f aca="false">IF($A131="","",INDEX(c_Firm,$A131)&amp;"")</f>
        <v>Infinity FA</v>
      </c>
      <c r="D131" s="15" t="str">
        <f aca="false">IF($A131="","",INDEX(c_Type,$A131)&amp;"")</f>
        <v>Adviser</v>
      </c>
      <c r="E131" s="15" t="str">
        <f aca="false">IF($A131="","",INDEX(c_Email,$A131)&amp;"")</f>
        <v>Jeffrey.lim@infinityfa.com.sg</v>
      </c>
      <c r="F131" s="36" t="str">
        <f aca="false">IF($A131="","",INDEX(c_Met,$A131)&amp;"")</f>
        <v>No</v>
      </c>
      <c r="G131" s="26" t="str">
        <f aca="false">IF($A131="","",IF(INDEX(c_Date,$A131)="","",INDEX(c_Date,$A131)))</f>
        <v/>
      </c>
      <c r="H131" s="35" t="str">
        <f aca="false">IF($A131="","",IF(INDEX(c_Days,$A131)="","",INDEX(c_Days,$A131)))</f>
        <v/>
      </c>
      <c r="I131" s="41" t="n">
        <f aca="false">IF($A131="","",IF(INDEX(c_Mtgs,$A131)="","",INDEX(c_Mtgs,$A131)))</f>
        <v>0</v>
      </c>
      <c r="J131" s="15" t="str">
        <f aca="false">IF($A131="","",INDEX(c_EvtNames,$A131)&amp;"")</f>
        <v>Oct-25 Symposium</v>
      </c>
      <c r="K131" s="36" t="str">
        <f aca="false">IF($A131="","",INDEX(c_Invested,$A131)&amp;"")</f>
        <v>No</v>
      </c>
      <c r="L131" s="16" t="n">
        <f aca="false">IF($A131="","",IF(INDEX(c_AUM,$A131)="","",INDEX(c_AUM,$A131)))</f>
        <v>5000000</v>
      </c>
      <c r="M131" s="15" t="str">
        <f aca="false">IF($A131="","",INDEX(c_Source,$A131)&amp;"")</f>
        <v>Meeting List + ILP Data</v>
      </c>
      <c r="N131" s="15" t="str">
        <f aca="false">IF($A131="","",INDEX(c_Notes,$A131)&amp;"")</f>
        <v/>
      </c>
    </row>
    <row r="132" customFormat="false" ht="15" hidden="false" customHeight="false" outlineLevel="0" collapsed="false">
      <c r="A132" s="32" t="n">
        <f aca="false">IFERROR(MATCH(ROW()-5,c_Seq,0),"")</f>
        <v>127</v>
      </c>
      <c r="B132" s="11" t="str">
        <f aca="false">IF($A132="","",INDEX(c_Name,$A132)&amp;"")</f>
        <v>Jeshua Lim</v>
      </c>
      <c r="C132" s="11" t="str">
        <f aca="false">IF($A132="","",INDEX(c_Firm,$A132)&amp;"")</f>
        <v>Infinity FA</v>
      </c>
      <c r="D132" s="11" t="str">
        <f aca="false">IF($A132="","",INDEX(c_Type,$A132)&amp;"")</f>
        <v>Adviser</v>
      </c>
      <c r="E132" s="11" t="str">
        <f aca="false">IF($A132="","",INDEX(c_Email,$A132)&amp;"")</f>
        <v>jeshua.lim@infinityfa.com.sg</v>
      </c>
      <c r="F132" s="34" t="str">
        <f aca="false">IF($A132="","",INDEX(c_Met,$A132)&amp;"")</f>
        <v>No</v>
      </c>
      <c r="G132" s="25" t="str">
        <f aca="false">IF($A132="","",IF(INDEX(c_Date,$A132)="","",INDEX(c_Date,$A132)))</f>
        <v/>
      </c>
      <c r="H132" s="33" t="str">
        <f aca="false">IF($A132="","",IF(INDEX(c_Days,$A132)="","",INDEX(c_Days,$A132)))</f>
        <v/>
      </c>
      <c r="I132" s="40" t="n">
        <f aca="false">IF($A132="","",IF(INDEX(c_Mtgs,$A132)="","",INDEX(c_Mtgs,$A132)))</f>
        <v>0</v>
      </c>
      <c r="J132" s="11" t="str">
        <f aca="false">IF($A132="","",INDEX(c_EvtNames,$A132)&amp;"")</f>
        <v>May-26 Symposium</v>
      </c>
      <c r="K132" s="34" t="str">
        <f aca="false">IF($A132="","",INDEX(c_Invested,$A132)&amp;"")</f>
        <v>No</v>
      </c>
      <c r="L132" s="12" t="str">
        <f aca="false">IF($A132="","",IF(INDEX(c_AUM,$A132)="","",INDEX(c_AUM,$A132)))</f>
        <v/>
      </c>
      <c r="M132" s="11" t="str">
        <f aca="false">IF($A132="","",INDEX(c_Source,$A132)&amp;"")</f>
        <v>Meeting List</v>
      </c>
      <c r="N132" s="11" t="str">
        <f aca="false">IF($A132="","",INDEX(c_Notes,$A132)&amp;"")</f>
        <v/>
      </c>
    </row>
    <row r="133" customFormat="false" ht="15" hidden="false" customHeight="false" outlineLevel="0" collapsed="false">
      <c r="A133" s="32" t="n">
        <f aca="false">IFERROR(MATCH(ROW()-5,c_Seq,0),"")</f>
        <v>128</v>
      </c>
      <c r="B133" s="15" t="str">
        <f aca="false">IF($A133="","",INDEX(c_Name,$A133)&amp;"")</f>
        <v>Khim Lim</v>
      </c>
      <c r="C133" s="15" t="str">
        <f aca="false">IF($A133="","",INDEX(c_Firm,$A133)&amp;"")</f>
        <v>Infinity FA</v>
      </c>
      <c r="D133" s="15" t="str">
        <f aca="false">IF($A133="","",INDEX(c_Type,$A133)&amp;"")</f>
        <v>Adviser</v>
      </c>
      <c r="E133" s="15" t="str">
        <f aca="false">IF($A133="","",INDEX(c_Email,$A133)&amp;"")</f>
        <v>khim.lim@infinityfa.com.sg</v>
      </c>
      <c r="F133" s="36" t="str">
        <f aca="false">IF($A133="","",INDEX(c_Met,$A133)&amp;"")</f>
        <v>No</v>
      </c>
      <c r="G133" s="26" t="str">
        <f aca="false">IF($A133="","",IF(INDEX(c_Date,$A133)="","",INDEX(c_Date,$A133)))</f>
        <v/>
      </c>
      <c r="H133" s="35" t="str">
        <f aca="false">IF($A133="","",IF(INDEX(c_Days,$A133)="","",INDEX(c_Days,$A133)))</f>
        <v/>
      </c>
      <c r="I133" s="41" t="n">
        <f aca="false">IF($A133="","",IF(INDEX(c_Mtgs,$A133)="","",INDEX(c_Mtgs,$A133)))</f>
        <v>0</v>
      </c>
      <c r="J133" s="15" t="str">
        <f aca="false">IF($A133="","",INDEX(c_EvtNames,$A133)&amp;"")</f>
        <v>May-26 Symposium</v>
      </c>
      <c r="K133" s="36" t="str">
        <f aca="false">IF($A133="","",INDEX(c_Invested,$A133)&amp;"")</f>
        <v>No</v>
      </c>
      <c r="L133" s="16" t="str">
        <f aca="false">IF($A133="","",IF(INDEX(c_AUM,$A133)="","",INDEX(c_AUM,$A133)))</f>
        <v/>
      </c>
      <c r="M133" s="15" t="str">
        <f aca="false">IF($A133="","",INDEX(c_Source,$A133)&amp;"")</f>
        <v>Meeting List</v>
      </c>
      <c r="N133" s="15" t="str">
        <f aca="false">IF($A133="","",INDEX(c_Notes,$A133)&amp;"")</f>
        <v/>
      </c>
    </row>
    <row r="134" customFormat="false" ht="15" hidden="false" customHeight="false" outlineLevel="0" collapsed="false">
      <c r="A134" s="32" t="n">
        <f aca="false">IFERROR(MATCH(ROW()-5,c_Seq,0),"")</f>
        <v>129</v>
      </c>
      <c r="B134" s="11" t="str">
        <f aca="false">IF($A134="","",INDEX(c_Name,$A134)&amp;"")</f>
        <v>Shaun Boon</v>
      </c>
      <c r="C134" s="11" t="str">
        <f aca="false">IF($A134="","",INDEX(c_Firm,$A134)&amp;"")</f>
        <v>Infinity FA</v>
      </c>
      <c r="D134" s="11" t="str">
        <f aca="false">IF($A134="","",INDEX(c_Type,$A134)&amp;"")</f>
        <v>Adviser</v>
      </c>
      <c r="E134" s="11" t="str">
        <f aca="false">IF($A134="","",INDEX(c_Email,$A134)&amp;"")</f>
        <v>shaun.boon@infinityfa.com.sg</v>
      </c>
      <c r="F134" s="34" t="str">
        <f aca="false">IF($A134="","",INDEX(c_Met,$A134)&amp;"")</f>
        <v>No</v>
      </c>
      <c r="G134" s="25" t="str">
        <f aca="false">IF($A134="","",IF(INDEX(c_Date,$A134)="","",INDEX(c_Date,$A134)))</f>
        <v/>
      </c>
      <c r="H134" s="33" t="str">
        <f aca="false">IF($A134="","",IF(INDEX(c_Days,$A134)="","",INDEX(c_Days,$A134)))</f>
        <v/>
      </c>
      <c r="I134" s="40" t="n">
        <f aca="false">IF($A134="","",IF(INDEX(c_Mtgs,$A134)="","",INDEX(c_Mtgs,$A134)))</f>
        <v>0</v>
      </c>
      <c r="J134" s="11" t="str">
        <f aca="false">IF($A134="","",INDEX(c_EvtNames,$A134)&amp;"")</f>
        <v>May-26 Symposium</v>
      </c>
      <c r="K134" s="34" t="str">
        <f aca="false">IF($A134="","",INDEX(c_Invested,$A134)&amp;"")</f>
        <v>No</v>
      </c>
      <c r="L134" s="12" t="str">
        <f aca="false">IF($A134="","",IF(INDEX(c_AUM,$A134)="","",INDEX(c_AUM,$A134)))</f>
        <v/>
      </c>
      <c r="M134" s="11" t="str">
        <f aca="false">IF($A134="","",INDEX(c_Source,$A134)&amp;"")</f>
        <v>Meeting List</v>
      </c>
      <c r="N134" s="11" t="str">
        <f aca="false">IF($A134="","",INDEX(c_Notes,$A134)&amp;"")</f>
        <v/>
      </c>
    </row>
    <row r="135" customFormat="false" ht="15" hidden="false" customHeight="false" outlineLevel="0" collapsed="false">
      <c r="A135" s="32" t="n">
        <f aca="false">IFERROR(MATCH(ROW()-5,c_Seq,0),"")</f>
        <v>130</v>
      </c>
      <c r="B135" s="15" t="str">
        <f aca="false">IF($A135="","",INDEX(c_Name,$A135)&amp;"")</f>
        <v>Tan Yong Kang</v>
      </c>
      <c r="C135" s="15" t="str">
        <f aca="false">IF($A135="","",INDEX(c_Firm,$A135)&amp;"")</f>
        <v>Infinity FA</v>
      </c>
      <c r="D135" s="15" t="str">
        <f aca="false">IF($A135="","",INDEX(c_Type,$A135)&amp;"")</f>
        <v>Adviser</v>
      </c>
      <c r="E135" s="15" t="str">
        <f aca="false">IF($A135="","",INDEX(c_Email,$A135)&amp;"")</f>
        <v>yongkang.tan@infinityfa.com.sg</v>
      </c>
      <c r="F135" s="36" t="str">
        <f aca="false">IF($A135="","",INDEX(c_Met,$A135)&amp;"")</f>
        <v>No</v>
      </c>
      <c r="G135" s="26" t="str">
        <f aca="false">IF($A135="","",IF(INDEX(c_Date,$A135)="","",INDEX(c_Date,$A135)))</f>
        <v/>
      </c>
      <c r="H135" s="35" t="str">
        <f aca="false">IF($A135="","",IF(INDEX(c_Days,$A135)="","",INDEX(c_Days,$A135)))</f>
        <v/>
      </c>
      <c r="I135" s="41" t="n">
        <f aca="false">IF($A135="","",IF(INDEX(c_Mtgs,$A135)="","",INDEX(c_Mtgs,$A135)))</f>
        <v>0</v>
      </c>
      <c r="J135" s="15" t="str">
        <f aca="false">IF($A135="","",INDEX(c_EvtNames,$A135)&amp;"")</f>
        <v>May-26 Symposium</v>
      </c>
      <c r="K135" s="36" t="str">
        <f aca="false">IF($A135="","",INDEX(c_Invested,$A135)&amp;"")</f>
        <v>No</v>
      </c>
      <c r="L135" s="16" t="str">
        <f aca="false">IF($A135="","",IF(INDEX(c_AUM,$A135)="","",INDEX(c_AUM,$A135)))</f>
        <v/>
      </c>
      <c r="M135" s="15" t="str">
        <f aca="false">IF($A135="","",INDEX(c_Source,$A135)&amp;"")</f>
        <v>Meeting List</v>
      </c>
      <c r="N135" s="15" t="str">
        <f aca="false">IF($A135="","",INDEX(c_Notes,$A135)&amp;"")</f>
        <v/>
      </c>
    </row>
    <row r="136" customFormat="false" ht="15" hidden="false" customHeight="false" outlineLevel="0" collapsed="false">
      <c r="A136" s="32" t="n">
        <f aca="false">IFERROR(MATCH(ROW()-5,c_Seq,0),"")</f>
        <v>131</v>
      </c>
      <c r="B136" s="11" t="str">
        <f aca="false">IF($A136="","",INDEX(c_Name,$A136)&amp;"")</f>
        <v>Zest Chia</v>
      </c>
      <c r="C136" s="11" t="str">
        <f aca="false">IF($A136="","",INDEX(c_Firm,$A136)&amp;"")</f>
        <v>Infinity FA</v>
      </c>
      <c r="D136" s="11" t="str">
        <f aca="false">IF($A136="","",INDEX(c_Type,$A136)&amp;"")</f>
        <v>Adviser</v>
      </c>
      <c r="E136" s="11" t="str">
        <f aca="false">IF($A136="","",INDEX(c_Email,$A136)&amp;"")</f>
        <v>zest.chia@infinityfa.com.sg</v>
      </c>
      <c r="F136" s="34" t="str">
        <f aca="false">IF($A136="","",INDEX(c_Met,$A136)&amp;"")</f>
        <v>No</v>
      </c>
      <c r="G136" s="25" t="str">
        <f aca="false">IF($A136="","",IF(INDEX(c_Date,$A136)="","",INDEX(c_Date,$A136)))</f>
        <v/>
      </c>
      <c r="H136" s="33" t="str">
        <f aca="false">IF($A136="","",IF(INDEX(c_Days,$A136)="","",INDEX(c_Days,$A136)))</f>
        <v/>
      </c>
      <c r="I136" s="40" t="n">
        <f aca="false">IF($A136="","",IF(INDEX(c_Mtgs,$A136)="","",INDEX(c_Mtgs,$A136)))</f>
        <v>0</v>
      </c>
      <c r="J136" s="11" t="str">
        <f aca="false">IF($A136="","",INDEX(c_EvtNames,$A136)&amp;"")</f>
        <v/>
      </c>
      <c r="K136" s="34" t="str">
        <f aca="false">IF($A136="","",INDEX(c_Invested,$A136)&amp;"")</f>
        <v>No</v>
      </c>
      <c r="L136" s="12" t="n">
        <f aca="false">IF($A136="","",IF(INDEX(c_AUM,$A136)="","",INDEX(c_AUM,$A136)))</f>
        <v>7000000</v>
      </c>
      <c r="M136" s="11" t="str">
        <f aca="false">IF($A136="","",INDEX(c_Source,$A136)&amp;"")</f>
        <v>Meeting List + ILP Data</v>
      </c>
      <c r="N136" s="11" t="str">
        <f aca="false">IF($A136="","",INDEX(c_Notes,$A136)&amp;"")</f>
        <v>May-26: not available</v>
      </c>
    </row>
    <row r="137" customFormat="false" ht="15" hidden="false" customHeight="false" outlineLevel="0" collapsed="false">
      <c r="A137" s="32" t="n">
        <f aca="false">IFERROR(MATCH(ROW()-5,c_Seq,0),"")</f>
        <v>132</v>
      </c>
      <c r="B137" s="15" t="str">
        <f aca="false">IF($A137="","",INDEX(c_Name,$A137)&amp;"")</f>
        <v>Zhuming Tham</v>
      </c>
      <c r="C137" s="15" t="str">
        <f aca="false">IF($A137="","",INDEX(c_Firm,$A137)&amp;"")</f>
        <v>Infinity FA</v>
      </c>
      <c r="D137" s="15" t="str">
        <f aca="false">IF($A137="","",INDEX(c_Type,$A137)&amp;"")</f>
        <v>Adviser</v>
      </c>
      <c r="E137" s="15" t="str">
        <f aca="false">IF($A137="","",INDEX(c_Email,$A137)&amp;"")</f>
        <v>Zhuming.tham@infinityfa.com.sg</v>
      </c>
      <c r="F137" s="36" t="str">
        <f aca="false">IF($A137="","",INDEX(c_Met,$A137)&amp;"")</f>
        <v>No</v>
      </c>
      <c r="G137" s="26" t="str">
        <f aca="false">IF($A137="","",IF(INDEX(c_Date,$A137)="","",INDEX(c_Date,$A137)))</f>
        <v/>
      </c>
      <c r="H137" s="35" t="str">
        <f aca="false">IF($A137="","",IF(INDEX(c_Days,$A137)="","",INDEX(c_Days,$A137)))</f>
        <v/>
      </c>
      <c r="I137" s="41" t="n">
        <f aca="false">IF($A137="","",IF(INDEX(c_Mtgs,$A137)="","",INDEX(c_Mtgs,$A137)))</f>
        <v>0</v>
      </c>
      <c r="J137" s="15" t="str">
        <f aca="false">IF($A137="","",INDEX(c_EvtNames,$A137)&amp;"")</f>
        <v>Oct-25 Symposium</v>
      </c>
      <c r="K137" s="36" t="str">
        <f aca="false">IF($A137="","",INDEX(c_Invested,$A137)&amp;"")</f>
        <v>No</v>
      </c>
      <c r="L137" s="16" t="n">
        <f aca="false">IF($A137="","",IF(INDEX(c_AUM,$A137)="","",INDEX(c_AUM,$A137)))</f>
        <v>5000000</v>
      </c>
      <c r="M137" s="15" t="str">
        <f aca="false">IF($A137="","",INDEX(c_Source,$A137)&amp;"")</f>
        <v>Meeting List + ILP Data</v>
      </c>
      <c r="N137" s="15" t="str">
        <f aca="false">IF($A137="","",INDEX(c_Notes,$A137)&amp;"")</f>
        <v/>
      </c>
    </row>
    <row r="138" customFormat="false" ht="15" hidden="false" customHeight="false" outlineLevel="0" collapsed="false">
      <c r="A138" s="32" t="n">
        <f aca="false">IFERROR(MATCH(ROW()-5,c_Seq,0),"")</f>
        <v>133</v>
      </c>
      <c r="B138" s="11" t="str">
        <f aca="false">IF($A138="","",INDEX(c_Name,$A138)&amp;"")</f>
        <v>Vee Kiat Lim</v>
      </c>
      <c r="C138" s="11" t="str">
        <f aca="false">IF($A138="","",INDEX(c_Firm,$A138)&amp;"")</f>
        <v>IPP FA</v>
      </c>
      <c r="D138" s="11" t="str">
        <f aca="false">IF($A138="","",INDEX(c_Type,$A138)&amp;"")</f>
        <v>Adviser</v>
      </c>
      <c r="E138" s="11" t="str">
        <f aca="false">IF($A138="","",INDEX(c_Email,$A138)&amp;"")</f>
        <v>vklim@ippfa.com</v>
      </c>
      <c r="F138" s="34" t="str">
        <f aca="false">IF($A138="","",INDEX(c_Met,$A138)&amp;"")</f>
        <v>Yes</v>
      </c>
      <c r="G138" s="25" t="n">
        <f aca="false">IF($A138="","",IF(INDEX(c_Date,$A138)="","",INDEX(c_Date,$A138)))</f>
        <v>46084</v>
      </c>
      <c r="H138" s="33" t="n">
        <f aca="false">IF($A138="","",IF(INDEX(c_Days,$A138)="","",INDEX(c_Days,$A138)))</f>
        <v>157</v>
      </c>
      <c r="I138" s="40" t="n">
        <f aca="false">IF($A138="","",IF(INDEX(c_Mtgs,$A138)="","",INDEX(c_Mtgs,$A138)))</f>
        <v>1</v>
      </c>
      <c r="J138" s="11" t="str">
        <f aca="false">IF($A138="","",INDEX(c_EvtNames,$A138)&amp;"")</f>
        <v/>
      </c>
      <c r="K138" s="34" t="str">
        <f aca="false">IF($A138="","",INDEX(c_Invested,$A138)&amp;"")</f>
        <v>No</v>
      </c>
      <c r="L138" s="12" t="n">
        <f aca="false">IF($A138="","",IF(INDEX(c_AUM,$A138)="","",INDEX(c_AUM,$A138)))</f>
        <v>6000000</v>
      </c>
      <c r="M138" s="11" t="str">
        <f aca="false">IF($A138="","",INDEX(c_Source,$A138)&amp;"")</f>
        <v>Meeting List + ILP Data</v>
      </c>
      <c r="N138" s="11" t="str">
        <f aca="false">IF($A138="","",INDEX(c_Notes,$A138)&amp;"")</f>
        <v/>
      </c>
    </row>
    <row r="139" customFormat="false" ht="15" hidden="false" customHeight="false" outlineLevel="0" collapsed="false">
      <c r="A139" s="32" t="n">
        <f aca="false">IFERROR(MATCH(ROW()-5,c_Seq,0),"")</f>
        <v>134</v>
      </c>
      <c r="B139" s="15" t="str">
        <f aca="false">IF($A139="","",INDEX(c_Name,$A139)&amp;"")</f>
        <v>Adrian Lee</v>
      </c>
      <c r="C139" s="15" t="str">
        <f aca="false">IF($A139="","",INDEX(c_Firm,$A139)&amp;"")</f>
        <v>Manulife FA</v>
      </c>
      <c r="D139" s="15" t="str">
        <f aca="false">IF($A139="","",INDEX(c_Type,$A139)&amp;"")</f>
        <v>Branch Director</v>
      </c>
      <c r="E139" s="15" t="str">
        <f aca="false">IF($A139="","",INDEX(c_Email,$A139)&amp;"")</f>
        <v>adrian.lee@manulifefa.com.sg</v>
      </c>
      <c r="F139" s="36" t="str">
        <f aca="false">IF($A139="","",INDEX(c_Met,$A139)&amp;"")</f>
        <v>No</v>
      </c>
      <c r="G139" s="26" t="str">
        <f aca="false">IF($A139="","",IF(INDEX(c_Date,$A139)="","",INDEX(c_Date,$A139)))</f>
        <v/>
      </c>
      <c r="H139" s="35" t="str">
        <f aca="false">IF($A139="","",IF(INDEX(c_Days,$A139)="","",INDEX(c_Days,$A139)))</f>
        <v/>
      </c>
      <c r="I139" s="41" t="n">
        <f aca="false">IF($A139="","",IF(INDEX(c_Mtgs,$A139)="","",INDEX(c_Mtgs,$A139)))</f>
        <v>0</v>
      </c>
      <c r="J139" s="15" t="str">
        <f aca="false">IF($A139="","",INDEX(c_EvtNames,$A139)&amp;"")</f>
        <v/>
      </c>
      <c r="K139" s="36" t="str">
        <f aca="false">IF($A139="","",INDEX(c_Invested,$A139)&amp;"")</f>
        <v>No</v>
      </c>
      <c r="L139" s="16" t="str">
        <f aca="false">IF($A139="","",IF(INDEX(c_AUM,$A139)="","",INDEX(c_AUM,$A139)))</f>
        <v/>
      </c>
      <c r="M139" s="15" t="str">
        <f aca="false">IF($A139="","",INDEX(c_Source,$A139)&amp;"")</f>
        <v>Branch Directors</v>
      </c>
      <c r="N139" s="15" t="str">
        <f aca="false">IF($A139="","",INDEX(c_Notes,$A139)&amp;"")</f>
        <v>Branch: ADR Group</v>
      </c>
    </row>
    <row r="140" customFormat="false" ht="15" hidden="false" customHeight="false" outlineLevel="0" collapsed="false">
      <c r="A140" s="32" t="n">
        <f aca="false">IFERROR(MATCH(ROW()-5,c_Seq,0),"")</f>
        <v>135</v>
      </c>
      <c r="B140" s="11" t="str">
        <f aca="false">IF($A140="","",INDEX(c_Name,$A140)&amp;"")</f>
        <v>Alvin Cher</v>
      </c>
      <c r="C140" s="11" t="str">
        <f aca="false">IF($A140="","",INDEX(c_Firm,$A140)&amp;"")</f>
        <v>Manulife FA</v>
      </c>
      <c r="D140" s="11" t="str">
        <f aca="false">IF($A140="","",INDEX(c_Type,$A140)&amp;"")</f>
        <v>Branch Director</v>
      </c>
      <c r="E140" s="11" t="str">
        <f aca="false">IF($A140="","",INDEX(c_Email,$A140)&amp;"")</f>
        <v>alvin.cher@manulifefa.com.sg</v>
      </c>
      <c r="F140" s="34" t="str">
        <f aca="false">IF($A140="","",INDEX(c_Met,$A140)&amp;"")</f>
        <v>No</v>
      </c>
      <c r="G140" s="25" t="str">
        <f aca="false">IF($A140="","",IF(INDEX(c_Date,$A140)="","",INDEX(c_Date,$A140)))</f>
        <v/>
      </c>
      <c r="H140" s="33" t="str">
        <f aca="false">IF($A140="","",IF(INDEX(c_Days,$A140)="","",INDEX(c_Days,$A140)))</f>
        <v/>
      </c>
      <c r="I140" s="40" t="n">
        <f aca="false">IF($A140="","",IF(INDEX(c_Mtgs,$A140)="","",INDEX(c_Mtgs,$A140)))</f>
        <v>0</v>
      </c>
      <c r="J140" s="11" t="str">
        <f aca="false">IF($A140="","",INDEX(c_EvtNames,$A140)&amp;"")</f>
        <v/>
      </c>
      <c r="K140" s="34" t="str">
        <f aca="false">IF($A140="","",INDEX(c_Invested,$A140)&amp;"")</f>
        <v>No</v>
      </c>
      <c r="L140" s="12" t="str">
        <f aca="false">IF($A140="","",IF(INDEX(c_AUM,$A140)="","",INDEX(c_AUM,$A140)))</f>
        <v/>
      </c>
      <c r="M140" s="11" t="str">
        <f aca="false">IF($A140="","",INDEX(c_Source,$A140)&amp;"")</f>
        <v>Branch Directors</v>
      </c>
      <c r="N140" s="11" t="str">
        <f aca="false">IF($A140="","",INDEX(c_Notes,$A140)&amp;"")</f>
        <v>Branch: Summit Planners Titans</v>
      </c>
    </row>
    <row r="141" customFormat="false" ht="15" hidden="false" customHeight="false" outlineLevel="0" collapsed="false">
      <c r="A141" s="32" t="n">
        <f aca="false">IFERROR(MATCH(ROW()-5,c_Seq,0),"")</f>
        <v>136</v>
      </c>
      <c r="B141" s="15" t="str">
        <f aca="false">IF($A141="","",INDEX(c_Name,$A141)&amp;"")</f>
        <v>Andy Chen</v>
      </c>
      <c r="C141" s="15" t="str">
        <f aca="false">IF($A141="","",INDEX(c_Firm,$A141)&amp;"")</f>
        <v>Manulife FA</v>
      </c>
      <c r="D141" s="15" t="str">
        <f aca="false">IF($A141="","",INDEX(c_Type,$A141)&amp;"")</f>
        <v>Branch Director</v>
      </c>
      <c r="E141" s="15" t="str">
        <f aca="false">IF($A141="","",INDEX(c_Email,$A141)&amp;"")</f>
        <v>andy.chen@manulifefa.com.sg</v>
      </c>
      <c r="F141" s="36" t="str">
        <f aca="false">IF($A141="","",INDEX(c_Met,$A141)&amp;"")</f>
        <v>No</v>
      </c>
      <c r="G141" s="26" t="str">
        <f aca="false">IF($A141="","",IF(INDEX(c_Date,$A141)="","",INDEX(c_Date,$A141)))</f>
        <v/>
      </c>
      <c r="H141" s="35" t="str">
        <f aca="false">IF($A141="","",IF(INDEX(c_Days,$A141)="","",INDEX(c_Days,$A141)))</f>
        <v/>
      </c>
      <c r="I141" s="41" t="n">
        <f aca="false">IF($A141="","",IF(INDEX(c_Mtgs,$A141)="","",INDEX(c_Mtgs,$A141)))</f>
        <v>0</v>
      </c>
      <c r="J141" s="15" t="str">
        <f aca="false">IF($A141="","",INDEX(c_EvtNames,$A141)&amp;"")</f>
        <v/>
      </c>
      <c r="K141" s="36" t="str">
        <f aca="false">IF($A141="","",INDEX(c_Invested,$A141)&amp;"")</f>
        <v>No</v>
      </c>
      <c r="L141" s="16" t="str">
        <f aca="false">IF($A141="","",IF(INDEX(c_AUM,$A141)="","",INDEX(c_AUM,$A141)))</f>
        <v/>
      </c>
      <c r="M141" s="15" t="str">
        <f aca="false">IF($A141="","",INDEX(c_Source,$A141)&amp;"")</f>
        <v>Branch Directors</v>
      </c>
      <c r="N141" s="15" t="str">
        <f aca="false">IF($A141="","",INDEX(c_Notes,$A141)&amp;"")</f>
        <v>Branch: Aspire Alliance</v>
      </c>
    </row>
    <row r="142" customFormat="false" ht="15" hidden="false" customHeight="false" outlineLevel="0" collapsed="false">
      <c r="A142" s="32" t="n">
        <f aca="false">IFERROR(MATCH(ROW()-5,c_Seq,0),"")</f>
        <v>137</v>
      </c>
      <c r="B142" s="11" t="str">
        <f aca="false">IF($A142="","",INDEX(c_Name,$A142)&amp;"")</f>
        <v>Andy Ong</v>
      </c>
      <c r="C142" s="11" t="str">
        <f aca="false">IF($A142="","",INDEX(c_Firm,$A142)&amp;"")</f>
        <v>Manulife FA</v>
      </c>
      <c r="D142" s="11" t="str">
        <f aca="false">IF($A142="","",INDEX(c_Type,$A142)&amp;"")</f>
        <v>Branch Director</v>
      </c>
      <c r="E142" s="11" t="str">
        <f aca="false">IF($A142="","",INDEX(c_Email,$A142)&amp;"")</f>
        <v>andy.ong@manulifefa.com.sg</v>
      </c>
      <c r="F142" s="34" t="str">
        <f aca="false">IF($A142="","",INDEX(c_Met,$A142)&amp;"")</f>
        <v>No</v>
      </c>
      <c r="G142" s="25" t="str">
        <f aca="false">IF($A142="","",IF(INDEX(c_Date,$A142)="","",INDEX(c_Date,$A142)))</f>
        <v/>
      </c>
      <c r="H142" s="33" t="str">
        <f aca="false">IF($A142="","",IF(INDEX(c_Days,$A142)="","",INDEX(c_Days,$A142)))</f>
        <v/>
      </c>
      <c r="I142" s="40" t="n">
        <f aca="false">IF($A142="","",IF(INDEX(c_Mtgs,$A142)="","",INDEX(c_Mtgs,$A142)))</f>
        <v>0</v>
      </c>
      <c r="J142" s="11" t="str">
        <f aca="false">IF($A142="","",INDEX(c_EvtNames,$A142)&amp;"")</f>
        <v/>
      </c>
      <c r="K142" s="34" t="str">
        <f aca="false">IF($A142="","",INDEX(c_Invested,$A142)&amp;"")</f>
        <v>No</v>
      </c>
      <c r="L142" s="12" t="str">
        <f aca="false">IF($A142="","",IF(INDEX(c_AUM,$A142)="","",INDEX(c_AUM,$A142)))</f>
        <v/>
      </c>
      <c r="M142" s="11" t="str">
        <f aca="false">IF($A142="","",INDEX(c_Source,$A142)&amp;"")</f>
        <v>Branch Directors</v>
      </c>
      <c r="N142" s="11" t="str">
        <f aca="false">IF($A142="","",INDEX(c_Notes,$A142)&amp;"")</f>
        <v>Branch: Forte Group</v>
      </c>
    </row>
    <row r="143" customFormat="false" ht="15" hidden="false" customHeight="false" outlineLevel="0" collapsed="false">
      <c r="A143" s="32" t="n">
        <f aca="false">IFERROR(MATCH(ROW()-5,c_Seq,0),"")</f>
        <v>138</v>
      </c>
      <c r="B143" s="15" t="str">
        <f aca="false">IF($A143="","",INDEX(c_Name,$A143)&amp;"")</f>
        <v>Bentley Cheng</v>
      </c>
      <c r="C143" s="15" t="str">
        <f aca="false">IF($A143="","",INDEX(c_Firm,$A143)&amp;"")</f>
        <v>Manulife FA</v>
      </c>
      <c r="D143" s="15" t="str">
        <f aca="false">IF($A143="","",INDEX(c_Type,$A143)&amp;"")</f>
        <v>Branch Director</v>
      </c>
      <c r="E143" s="15" t="str">
        <f aca="false">IF($A143="","",INDEX(c_Email,$A143)&amp;"")</f>
        <v>bentley.cheng@manulifefa.com.sg</v>
      </c>
      <c r="F143" s="36" t="str">
        <f aca="false">IF($A143="","",INDEX(c_Met,$A143)&amp;"")</f>
        <v>No</v>
      </c>
      <c r="G143" s="26" t="str">
        <f aca="false">IF($A143="","",IF(INDEX(c_Date,$A143)="","",INDEX(c_Date,$A143)))</f>
        <v/>
      </c>
      <c r="H143" s="35" t="str">
        <f aca="false">IF($A143="","",IF(INDEX(c_Days,$A143)="","",INDEX(c_Days,$A143)))</f>
        <v/>
      </c>
      <c r="I143" s="41" t="n">
        <f aca="false">IF($A143="","",IF(INDEX(c_Mtgs,$A143)="","",INDEX(c_Mtgs,$A143)))</f>
        <v>0</v>
      </c>
      <c r="J143" s="15" t="str">
        <f aca="false">IF($A143="","",INDEX(c_EvtNames,$A143)&amp;"")</f>
        <v/>
      </c>
      <c r="K143" s="36" t="str">
        <f aca="false">IF($A143="","",INDEX(c_Invested,$A143)&amp;"")</f>
        <v>No</v>
      </c>
      <c r="L143" s="16" t="str">
        <f aca="false">IF($A143="","",IF(INDEX(c_AUM,$A143)="","",INDEX(c_AUM,$A143)))</f>
        <v/>
      </c>
      <c r="M143" s="15" t="str">
        <f aca="false">IF($A143="","",INDEX(c_Source,$A143)&amp;"")</f>
        <v>Branch Directors</v>
      </c>
      <c r="N143" s="15" t="str">
        <f aca="false">IF($A143="","",INDEX(c_Notes,$A143)&amp;"")</f>
        <v>Branch: VA Legacy</v>
      </c>
    </row>
    <row r="144" customFormat="false" ht="15" hidden="false" customHeight="false" outlineLevel="0" collapsed="false">
      <c r="A144" s="32" t="n">
        <f aca="false">IFERROR(MATCH(ROW()-5,c_Seq,0),"")</f>
        <v>139</v>
      </c>
      <c r="B144" s="11" t="str">
        <f aca="false">IF($A144="","",INDEX(c_Name,$A144)&amp;"")</f>
        <v>Chew Shao Liang</v>
      </c>
      <c r="C144" s="11" t="str">
        <f aca="false">IF($A144="","",INDEX(c_Firm,$A144)&amp;"")</f>
        <v>Manulife FA</v>
      </c>
      <c r="D144" s="11" t="str">
        <f aca="false">IF($A144="","",INDEX(c_Type,$A144)&amp;"")</f>
        <v>Branch Director</v>
      </c>
      <c r="E144" s="11" t="str">
        <f aca="false">IF($A144="","",INDEX(c_Email,$A144)&amp;"")</f>
        <v/>
      </c>
      <c r="F144" s="34" t="str">
        <f aca="false">IF($A144="","",INDEX(c_Met,$A144)&amp;"")</f>
        <v>No</v>
      </c>
      <c r="G144" s="25" t="str">
        <f aca="false">IF($A144="","",IF(INDEX(c_Date,$A144)="","",INDEX(c_Date,$A144)))</f>
        <v/>
      </c>
      <c r="H144" s="33" t="str">
        <f aca="false">IF($A144="","",IF(INDEX(c_Days,$A144)="","",INDEX(c_Days,$A144)))</f>
        <v/>
      </c>
      <c r="I144" s="40" t="n">
        <f aca="false">IF($A144="","",IF(INDEX(c_Mtgs,$A144)="","",INDEX(c_Mtgs,$A144)))</f>
        <v>0</v>
      </c>
      <c r="J144" s="11" t="str">
        <f aca="false">IF($A144="","",INDEX(c_EvtNames,$A144)&amp;"")</f>
        <v/>
      </c>
      <c r="K144" s="34" t="str">
        <f aca="false">IF($A144="","",INDEX(c_Invested,$A144)&amp;"")</f>
        <v>No</v>
      </c>
      <c r="L144" s="12" t="str">
        <f aca="false">IF($A144="","",IF(INDEX(c_AUM,$A144)="","",INDEX(c_AUM,$A144)))</f>
        <v/>
      </c>
      <c r="M144" s="11" t="str">
        <f aca="false">IF($A144="","",INDEX(c_Source,$A144)&amp;"")</f>
        <v>Branch Directors</v>
      </c>
      <c r="N144" s="11" t="str">
        <f aca="false">IF($A144="","",INDEX(c_Notes,$A144)&amp;"")</f>
        <v>Branch: Summit Planner Exchange</v>
      </c>
    </row>
    <row r="145" customFormat="false" ht="15" hidden="false" customHeight="false" outlineLevel="0" collapsed="false">
      <c r="A145" s="32" t="n">
        <f aca="false">IFERROR(MATCH(ROW()-5,c_Seq,0),"")</f>
        <v>140</v>
      </c>
      <c r="B145" s="15" t="str">
        <f aca="false">IF($A145="","",INDEX(c_Name,$A145)&amp;"")</f>
        <v>Christopher Lim</v>
      </c>
      <c r="C145" s="15" t="str">
        <f aca="false">IF($A145="","",INDEX(c_Firm,$A145)&amp;"")</f>
        <v>Manulife FA</v>
      </c>
      <c r="D145" s="15" t="str">
        <f aca="false">IF($A145="","",INDEX(c_Type,$A145)&amp;"")</f>
        <v>Branch Director</v>
      </c>
      <c r="E145" s="15" t="str">
        <f aca="false">IF($A145="","",INDEX(c_Email,$A145)&amp;"")</f>
        <v>christopher.lim@manulifefa.com.sg</v>
      </c>
      <c r="F145" s="36" t="str">
        <f aca="false">IF($A145="","",INDEX(c_Met,$A145)&amp;"")</f>
        <v>No</v>
      </c>
      <c r="G145" s="26" t="str">
        <f aca="false">IF($A145="","",IF(INDEX(c_Date,$A145)="","",INDEX(c_Date,$A145)))</f>
        <v/>
      </c>
      <c r="H145" s="35" t="str">
        <f aca="false">IF($A145="","",IF(INDEX(c_Days,$A145)="","",INDEX(c_Days,$A145)))</f>
        <v/>
      </c>
      <c r="I145" s="41" t="n">
        <f aca="false">IF($A145="","",IF(INDEX(c_Mtgs,$A145)="","",INDEX(c_Mtgs,$A145)))</f>
        <v>0</v>
      </c>
      <c r="J145" s="15" t="str">
        <f aca="false">IF($A145="","",INDEX(c_EvtNames,$A145)&amp;"")</f>
        <v/>
      </c>
      <c r="K145" s="36" t="str">
        <f aca="false">IF($A145="","",INDEX(c_Invested,$A145)&amp;"")</f>
        <v>No</v>
      </c>
      <c r="L145" s="16" t="str">
        <f aca="false">IF($A145="","",IF(INDEX(c_AUM,$A145)="","",INDEX(c_AUM,$A145)))</f>
        <v/>
      </c>
      <c r="M145" s="15" t="str">
        <f aca="false">IF($A145="","",INDEX(c_Source,$A145)&amp;"")</f>
        <v>Branch Directors</v>
      </c>
      <c r="N145" s="15" t="str">
        <f aca="false">IF($A145="","",INDEX(c_Notes,$A145)&amp;"")</f>
        <v>Branch: Summit Planners ACE</v>
      </c>
    </row>
    <row r="146" customFormat="false" ht="15" hidden="false" customHeight="false" outlineLevel="0" collapsed="false">
      <c r="A146" s="32" t="n">
        <f aca="false">IFERROR(MATCH(ROW()-5,c_Seq,0),"")</f>
        <v>141</v>
      </c>
      <c r="B146" s="11" t="str">
        <f aca="false">IF($A146="","",INDEX(c_Name,$A146)&amp;"")</f>
        <v>Daryl Lau</v>
      </c>
      <c r="C146" s="11" t="str">
        <f aca="false">IF($A146="","",INDEX(c_Firm,$A146)&amp;"")</f>
        <v>Manulife FA</v>
      </c>
      <c r="D146" s="11" t="str">
        <f aca="false">IF($A146="","",INDEX(c_Type,$A146)&amp;"")</f>
        <v>Branch Director</v>
      </c>
      <c r="E146" s="11" t="str">
        <f aca="false">IF($A146="","",INDEX(c_Email,$A146)&amp;"")</f>
        <v>daryl.lau@manulifefa.com.sg</v>
      </c>
      <c r="F146" s="34" t="str">
        <f aca="false">IF($A146="","",INDEX(c_Met,$A146)&amp;"")</f>
        <v>No</v>
      </c>
      <c r="G146" s="25" t="str">
        <f aca="false">IF($A146="","",IF(INDEX(c_Date,$A146)="","",INDEX(c_Date,$A146)))</f>
        <v/>
      </c>
      <c r="H146" s="33" t="str">
        <f aca="false">IF($A146="","",IF(INDEX(c_Days,$A146)="","",INDEX(c_Days,$A146)))</f>
        <v/>
      </c>
      <c r="I146" s="40" t="n">
        <f aca="false">IF($A146="","",IF(INDEX(c_Mtgs,$A146)="","",INDEX(c_Mtgs,$A146)))</f>
        <v>0</v>
      </c>
      <c r="J146" s="11" t="str">
        <f aca="false">IF($A146="","",INDEX(c_EvtNames,$A146)&amp;"")</f>
        <v/>
      </c>
      <c r="K146" s="34" t="str">
        <f aca="false">IF($A146="","",INDEX(c_Invested,$A146)&amp;"")</f>
        <v>No</v>
      </c>
      <c r="L146" s="12" t="str">
        <f aca="false">IF($A146="","",IF(INDEX(c_AUM,$A146)="","",INDEX(c_AUM,$A146)))</f>
        <v/>
      </c>
      <c r="M146" s="11" t="str">
        <f aca="false">IF($A146="","",INDEX(c_Source,$A146)&amp;"")</f>
        <v>Branch Directors</v>
      </c>
      <c r="N146" s="11" t="str">
        <f aca="false">IF($A146="","",INDEX(c_Notes,$A146)&amp;"")</f>
        <v>Branch: Summit Planners Pinnacle</v>
      </c>
    </row>
    <row r="147" customFormat="false" ht="15" hidden="false" customHeight="false" outlineLevel="0" collapsed="false">
      <c r="A147" s="32" t="n">
        <f aca="false">IFERROR(MATCH(ROW()-5,c_Seq,0),"")</f>
        <v>142</v>
      </c>
      <c r="B147" s="15" t="str">
        <f aca="false">IF($A147="","",INDEX(c_Name,$A147)&amp;"")</f>
        <v>Desmond Teo</v>
      </c>
      <c r="C147" s="15" t="str">
        <f aca="false">IF($A147="","",INDEX(c_Firm,$A147)&amp;"")</f>
        <v>Manulife FA</v>
      </c>
      <c r="D147" s="15" t="str">
        <f aca="false">IF($A147="","",INDEX(c_Type,$A147)&amp;"")</f>
        <v>Branch Director</v>
      </c>
      <c r="E147" s="15" t="str">
        <f aca="false">IF($A147="","",INDEX(c_Email,$A147)&amp;"")</f>
        <v>desmond.teo@manulifefa.com.sg</v>
      </c>
      <c r="F147" s="36" t="str">
        <f aca="false">IF($A147="","",INDEX(c_Met,$A147)&amp;"")</f>
        <v>No</v>
      </c>
      <c r="G147" s="26" t="str">
        <f aca="false">IF($A147="","",IF(INDEX(c_Date,$A147)="","",INDEX(c_Date,$A147)))</f>
        <v/>
      </c>
      <c r="H147" s="35" t="str">
        <f aca="false">IF($A147="","",IF(INDEX(c_Days,$A147)="","",INDEX(c_Days,$A147)))</f>
        <v/>
      </c>
      <c r="I147" s="41" t="n">
        <f aca="false">IF($A147="","",IF(INDEX(c_Mtgs,$A147)="","",INDEX(c_Mtgs,$A147)))</f>
        <v>0</v>
      </c>
      <c r="J147" s="15" t="str">
        <f aca="false">IF($A147="","",INDEX(c_EvtNames,$A147)&amp;"")</f>
        <v/>
      </c>
      <c r="K147" s="36" t="str">
        <f aca="false">IF($A147="","",INDEX(c_Invested,$A147)&amp;"")</f>
        <v>No</v>
      </c>
      <c r="L147" s="16" t="str">
        <f aca="false">IF($A147="","",IF(INDEX(c_AUM,$A147)="","",INDEX(c_AUM,$A147)))</f>
        <v/>
      </c>
      <c r="M147" s="15" t="str">
        <f aca="false">IF($A147="","",INDEX(c_Source,$A147)&amp;"")</f>
        <v>Branch Directors</v>
      </c>
      <c r="N147" s="15" t="str">
        <f aca="false">IF($A147="","",INDEX(c_Notes,$A147)&amp;"")</f>
        <v>Branch: Prestige Dynamic</v>
      </c>
    </row>
    <row r="148" customFormat="false" ht="15" hidden="false" customHeight="false" outlineLevel="0" collapsed="false">
      <c r="A148" s="32" t="n">
        <f aca="false">IFERROR(MATCH(ROW()-5,c_Seq,0),"")</f>
        <v>143</v>
      </c>
      <c r="B148" s="11" t="str">
        <f aca="false">IF($A148="","",INDEX(c_Name,$A148)&amp;"")</f>
        <v>Dobby Ng</v>
      </c>
      <c r="C148" s="11" t="str">
        <f aca="false">IF($A148="","",INDEX(c_Firm,$A148)&amp;"")</f>
        <v>Manulife FA</v>
      </c>
      <c r="D148" s="11" t="str">
        <f aca="false">IF($A148="","",INDEX(c_Type,$A148)&amp;"")</f>
        <v>Branch Director</v>
      </c>
      <c r="E148" s="11" t="str">
        <f aca="false">IF($A148="","",INDEX(c_Email,$A148)&amp;"")</f>
        <v>dobby.ng@manulifefa.com.sg</v>
      </c>
      <c r="F148" s="34" t="str">
        <f aca="false">IF($A148="","",INDEX(c_Met,$A148)&amp;"")</f>
        <v>No</v>
      </c>
      <c r="G148" s="25" t="str">
        <f aca="false">IF($A148="","",IF(INDEX(c_Date,$A148)="","",INDEX(c_Date,$A148)))</f>
        <v/>
      </c>
      <c r="H148" s="33" t="str">
        <f aca="false">IF($A148="","",IF(INDEX(c_Days,$A148)="","",INDEX(c_Days,$A148)))</f>
        <v/>
      </c>
      <c r="I148" s="40" t="n">
        <f aca="false">IF($A148="","",IF(INDEX(c_Mtgs,$A148)="","",INDEX(c_Mtgs,$A148)))</f>
        <v>0</v>
      </c>
      <c r="J148" s="11" t="str">
        <f aca="false">IF($A148="","",INDEX(c_EvtNames,$A148)&amp;"")</f>
        <v/>
      </c>
      <c r="K148" s="34" t="str">
        <f aca="false">IF($A148="","",INDEX(c_Invested,$A148)&amp;"")</f>
        <v>No</v>
      </c>
      <c r="L148" s="12" t="str">
        <f aca="false">IF($A148="","",IF(INDEX(c_AUM,$A148)="","",INDEX(c_AUM,$A148)))</f>
        <v/>
      </c>
      <c r="M148" s="11" t="str">
        <f aca="false">IF($A148="","",INDEX(c_Source,$A148)&amp;"")</f>
        <v>Branch Directors</v>
      </c>
      <c r="N148" s="11" t="str">
        <f aca="false">IF($A148="","",INDEX(c_Notes,$A148)&amp;"")</f>
        <v>Branch: Summit Planners Crusaders</v>
      </c>
    </row>
    <row r="149" customFormat="false" ht="15" hidden="false" customHeight="false" outlineLevel="0" collapsed="false">
      <c r="A149" s="32" t="n">
        <f aca="false">IFERROR(MATCH(ROW()-5,c_Seq,0),"")</f>
        <v>144</v>
      </c>
      <c r="B149" s="15" t="str">
        <f aca="false">IF($A149="","",INDEX(c_Name,$A149)&amp;"")</f>
        <v>Edmund Ang</v>
      </c>
      <c r="C149" s="15" t="str">
        <f aca="false">IF($A149="","",INDEX(c_Firm,$A149)&amp;"")</f>
        <v>Manulife FA</v>
      </c>
      <c r="D149" s="15" t="str">
        <f aca="false">IF($A149="","",INDEX(c_Type,$A149)&amp;"")</f>
        <v>Branch Director</v>
      </c>
      <c r="E149" s="15" t="str">
        <f aca="false">IF($A149="","",INDEX(c_Email,$A149)&amp;"")</f>
        <v>edmund.ang@manulifefa.com.sg</v>
      </c>
      <c r="F149" s="36" t="str">
        <f aca="false">IF($A149="","",INDEX(c_Met,$A149)&amp;"")</f>
        <v>No</v>
      </c>
      <c r="G149" s="26" t="str">
        <f aca="false">IF($A149="","",IF(INDEX(c_Date,$A149)="","",INDEX(c_Date,$A149)))</f>
        <v/>
      </c>
      <c r="H149" s="35" t="str">
        <f aca="false">IF($A149="","",IF(INDEX(c_Days,$A149)="","",INDEX(c_Days,$A149)))</f>
        <v/>
      </c>
      <c r="I149" s="41" t="n">
        <f aca="false">IF($A149="","",IF(INDEX(c_Mtgs,$A149)="","",INDEX(c_Mtgs,$A149)))</f>
        <v>0</v>
      </c>
      <c r="J149" s="15" t="str">
        <f aca="false">IF($A149="","",INDEX(c_EvtNames,$A149)&amp;"")</f>
        <v/>
      </c>
      <c r="K149" s="36" t="str">
        <f aca="false">IF($A149="","",INDEX(c_Invested,$A149)&amp;"")</f>
        <v>No</v>
      </c>
      <c r="L149" s="16" t="str">
        <f aca="false">IF($A149="","",IF(INDEX(c_AUM,$A149)="","",INDEX(c_AUM,$A149)))</f>
        <v/>
      </c>
      <c r="M149" s="15" t="str">
        <f aca="false">IF($A149="","",INDEX(c_Source,$A149)&amp;"")</f>
        <v>Branch Directors</v>
      </c>
      <c r="N149" s="15" t="str">
        <f aca="false">IF($A149="","",INDEX(c_Notes,$A149)&amp;"")</f>
        <v>Branch: Summit Planners Invictus</v>
      </c>
    </row>
    <row r="150" customFormat="false" ht="15" hidden="false" customHeight="false" outlineLevel="0" collapsed="false">
      <c r="A150" s="32" t="n">
        <f aca="false">IFERROR(MATCH(ROW()-5,c_Seq,0),"")</f>
        <v>145</v>
      </c>
      <c r="B150" s="11" t="str">
        <f aca="false">IF($A150="","",INDEX(c_Name,$A150)&amp;"")</f>
        <v>Ethan Chen</v>
      </c>
      <c r="C150" s="11" t="str">
        <f aca="false">IF($A150="","",INDEX(c_Firm,$A150)&amp;"")</f>
        <v>Manulife FA</v>
      </c>
      <c r="D150" s="11" t="str">
        <f aca="false">IF($A150="","",INDEX(c_Type,$A150)&amp;"")</f>
        <v>Branch Director</v>
      </c>
      <c r="E150" s="11" t="str">
        <f aca="false">IF($A150="","",INDEX(c_Email,$A150)&amp;"")</f>
        <v>ethan.chen@manulifefa.com.sg</v>
      </c>
      <c r="F150" s="34" t="str">
        <f aca="false">IF($A150="","",INDEX(c_Met,$A150)&amp;"")</f>
        <v>No</v>
      </c>
      <c r="G150" s="25" t="str">
        <f aca="false">IF($A150="","",IF(INDEX(c_Date,$A150)="","",INDEX(c_Date,$A150)))</f>
        <v/>
      </c>
      <c r="H150" s="33" t="str">
        <f aca="false">IF($A150="","",IF(INDEX(c_Days,$A150)="","",INDEX(c_Days,$A150)))</f>
        <v/>
      </c>
      <c r="I150" s="40" t="n">
        <f aca="false">IF($A150="","",IF(INDEX(c_Mtgs,$A150)="","",INDEX(c_Mtgs,$A150)))</f>
        <v>0</v>
      </c>
      <c r="J150" s="11" t="str">
        <f aca="false">IF($A150="","",INDEX(c_EvtNames,$A150)&amp;"")</f>
        <v/>
      </c>
      <c r="K150" s="34" t="str">
        <f aca="false">IF($A150="","",INDEX(c_Invested,$A150)&amp;"")</f>
        <v>No</v>
      </c>
      <c r="L150" s="12" t="str">
        <f aca="false">IF($A150="","",IF(INDEX(c_AUM,$A150)="","",INDEX(c_AUM,$A150)))</f>
        <v/>
      </c>
      <c r="M150" s="11" t="str">
        <f aca="false">IF($A150="","",INDEX(c_Source,$A150)&amp;"")</f>
        <v>Branch Directors</v>
      </c>
      <c r="N150" s="11" t="str">
        <f aca="false">IF($A150="","",INDEX(c_Notes,$A150)&amp;"")</f>
        <v>Branch: Summit Planners APX Financial</v>
      </c>
    </row>
    <row r="151" customFormat="false" ht="15" hidden="false" customHeight="false" outlineLevel="0" collapsed="false">
      <c r="A151" s="32" t="n">
        <f aca="false">IFERROR(MATCH(ROW()-5,c_Seq,0),"")</f>
        <v>146</v>
      </c>
      <c r="B151" s="15" t="str">
        <f aca="false">IF($A151="","",INDEX(c_Name,$A151)&amp;"")</f>
        <v>Evan ong</v>
      </c>
      <c r="C151" s="15" t="str">
        <f aca="false">IF($A151="","",INDEX(c_Firm,$A151)&amp;"")</f>
        <v>Manulife FA</v>
      </c>
      <c r="D151" s="15" t="str">
        <f aca="false">IF($A151="","",INDEX(c_Type,$A151)&amp;"")</f>
        <v>Branch Director</v>
      </c>
      <c r="E151" s="15" t="str">
        <f aca="false">IF($A151="","",INDEX(c_Email,$A151)&amp;"")</f>
        <v>evan.ong@manulifefa.com.sg</v>
      </c>
      <c r="F151" s="36" t="str">
        <f aca="false">IF($A151="","",INDEX(c_Met,$A151)&amp;"")</f>
        <v>No</v>
      </c>
      <c r="G151" s="26" t="str">
        <f aca="false">IF($A151="","",IF(INDEX(c_Date,$A151)="","",INDEX(c_Date,$A151)))</f>
        <v/>
      </c>
      <c r="H151" s="35" t="str">
        <f aca="false">IF($A151="","",IF(INDEX(c_Days,$A151)="","",INDEX(c_Days,$A151)))</f>
        <v/>
      </c>
      <c r="I151" s="41" t="n">
        <f aca="false">IF($A151="","",IF(INDEX(c_Mtgs,$A151)="","",INDEX(c_Mtgs,$A151)))</f>
        <v>0</v>
      </c>
      <c r="J151" s="15" t="str">
        <f aca="false">IF($A151="","",INDEX(c_EvtNames,$A151)&amp;"")</f>
        <v/>
      </c>
      <c r="K151" s="36" t="str">
        <f aca="false">IF($A151="","",INDEX(c_Invested,$A151)&amp;"")</f>
        <v>No</v>
      </c>
      <c r="L151" s="16" t="str">
        <f aca="false">IF($A151="","",IF(INDEX(c_AUM,$A151)="","",INDEX(c_AUM,$A151)))</f>
        <v/>
      </c>
      <c r="M151" s="15" t="str">
        <f aca="false">IF($A151="","",INDEX(c_Source,$A151)&amp;"")</f>
        <v>Branch Directors</v>
      </c>
      <c r="N151" s="15" t="str">
        <f aca="false">IF($A151="","",INDEX(c_Notes,$A151)&amp;"")</f>
        <v>Branch: Summit Planner Exodus Capital</v>
      </c>
    </row>
    <row r="152" customFormat="false" ht="15" hidden="false" customHeight="false" outlineLevel="0" collapsed="false">
      <c r="A152" s="32" t="n">
        <f aca="false">IFERROR(MATCH(ROW()-5,c_Seq,0),"")</f>
        <v>147</v>
      </c>
      <c r="B152" s="11" t="str">
        <f aca="false">IF($A152="","",INDEX(c_Name,$A152)&amp;"")</f>
        <v>Garry Lim</v>
      </c>
      <c r="C152" s="11" t="str">
        <f aca="false">IF($A152="","",INDEX(c_Firm,$A152)&amp;"")</f>
        <v>Manulife FA</v>
      </c>
      <c r="D152" s="11" t="str">
        <f aca="false">IF($A152="","",INDEX(c_Type,$A152)&amp;"")</f>
        <v>Branch Director</v>
      </c>
      <c r="E152" s="11" t="str">
        <f aca="false">IF($A152="","",INDEX(c_Email,$A152)&amp;"")</f>
        <v>garry.lim@manulifefa.com.sg</v>
      </c>
      <c r="F152" s="34" t="str">
        <f aca="false">IF($A152="","",INDEX(c_Met,$A152)&amp;"")</f>
        <v>No</v>
      </c>
      <c r="G152" s="25" t="str">
        <f aca="false">IF($A152="","",IF(INDEX(c_Date,$A152)="","",INDEX(c_Date,$A152)))</f>
        <v/>
      </c>
      <c r="H152" s="33" t="str">
        <f aca="false">IF($A152="","",IF(INDEX(c_Days,$A152)="","",INDEX(c_Days,$A152)))</f>
        <v/>
      </c>
      <c r="I152" s="40" t="n">
        <f aca="false">IF($A152="","",IF(INDEX(c_Mtgs,$A152)="","",INDEX(c_Mtgs,$A152)))</f>
        <v>0</v>
      </c>
      <c r="J152" s="11" t="str">
        <f aca="false">IF($A152="","",INDEX(c_EvtNames,$A152)&amp;"")</f>
        <v/>
      </c>
      <c r="K152" s="34" t="str">
        <f aca="false">IF($A152="","",INDEX(c_Invested,$A152)&amp;"")</f>
        <v>No</v>
      </c>
      <c r="L152" s="12" t="str">
        <f aca="false">IF($A152="","",IF(INDEX(c_AUM,$A152)="","",INDEX(c_AUM,$A152)))</f>
        <v/>
      </c>
      <c r="M152" s="11" t="str">
        <f aca="false">IF($A152="","",INDEX(c_Source,$A152)&amp;"")</f>
        <v>Branch Directors</v>
      </c>
      <c r="N152" s="11" t="str">
        <f aca="false">IF($A152="","",INDEX(c_Notes,$A152)&amp;"")</f>
        <v>Branch: Trillion Financial Planners</v>
      </c>
    </row>
    <row r="153" customFormat="false" ht="15" hidden="false" customHeight="false" outlineLevel="0" collapsed="false">
      <c r="A153" s="32" t="n">
        <f aca="false">IFERROR(MATCH(ROW()-5,c_Seq,0),"")</f>
        <v>148</v>
      </c>
      <c r="B153" s="15" t="str">
        <f aca="false">IF($A153="","",INDEX(c_Name,$A153)&amp;"")</f>
        <v>Iris Peh</v>
      </c>
      <c r="C153" s="15" t="str">
        <f aca="false">IF($A153="","",INDEX(c_Firm,$A153)&amp;"")</f>
        <v>Manulife FA</v>
      </c>
      <c r="D153" s="15" t="str">
        <f aca="false">IF($A153="","",INDEX(c_Type,$A153)&amp;"")</f>
        <v>Branch Director</v>
      </c>
      <c r="E153" s="15" t="str">
        <f aca="false">IF($A153="","",INDEX(c_Email,$A153)&amp;"")</f>
        <v>iris.peh@manulifefa.com.sg</v>
      </c>
      <c r="F153" s="36" t="str">
        <f aca="false">IF($A153="","",INDEX(c_Met,$A153)&amp;"")</f>
        <v>No</v>
      </c>
      <c r="G153" s="26" t="str">
        <f aca="false">IF($A153="","",IF(INDEX(c_Date,$A153)="","",INDEX(c_Date,$A153)))</f>
        <v/>
      </c>
      <c r="H153" s="35" t="str">
        <f aca="false">IF($A153="","",IF(INDEX(c_Days,$A153)="","",INDEX(c_Days,$A153)))</f>
        <v/>
      </c>
      <c r="I153" s="41" t="n">
        <f aca="false">IF($A153="","",IF(INDEX(c_Mtgs,$A153)="","",INDEX(c_Mtgs,$A153)))</f>
        <v>0</v>
      </c>
      <c r="J153" s="15" t="str">
        <f aca="false">IF($A153="","",INDEX(c_EvtNames,$A153)&amp;"")</f>
        <v/>
      </c>
      <c r="K153" s="36" t="str">
        <f aca="false">IF($A153="","",INDEX(c_Invested,$A153)&amp;"")</f>
        <v>No</v>
      </c>
      <c r="L153" s="16" t="str">
        <f aca="false">IF($A153="","",IF(INDEX(c_AUM,$A153)="","",INDEX(c_AUM,$A153)))</f>
        <v/>
      </c>
      <c r="M153" s="15" t="str">
        <f aca="false">IF($A153="","",INDEX(c_Source,$A153)&amp;"")</f>
        <v>Branch Directors</v>
      </c>
      <c r="N153" s="15" t="str">
        <f aca="false">IF($A153="","",INDEX(c_Notes,$A153)&amp;"")</f>
        <v>Branch: IPA Advisory</v>
      </c>
    </row>
    <row r="154" customFormat="false" ht="15" hidden="false" customHeight="false" outlineLevel="0" collapsed="false">
      <c r="A154" s="32" t="n">
        <f aca="false">IFERROR(MATCH(ROW()-5,c_Seq,0),"")</f>
        <v>149</v>
      </c>
      <c r="B154" s="11" t="str">
        <f aca="false">IF($A154="","",INDEX(c_Name,$A154)&amp;"")</f>
        <v>Jared Lim</v>
      </c>
      <c r="C154" s="11" t="str">
        <f aca="false">IF($A154="","",INDEX(c_Firm,$A154)&amp;"")</f>
        <v>Manulife FA</v>
      </c>
      <c r="D154" s="11" t="str">
        <f aca="false">IF($A154="","",INDEX(c_Type,$A154)&amp;"")</f>
        <v>Branch Director</v>
      </c>
      <c r="E154" s="11" t="str">
        <f aca="false">IF($A154="","",INDEX(c_Email,$A154)&amp;"")</f>
        <v>jared.lim@manulifefa.com.sg</v>
      </c>
      <c r="F154" s="34" t="str">
        <f aca="false">IF($A154="","",INDEX(c_Met,$A154)&amp;"")</f>
        <v>No</v>
      </c>
      <c r="G154" s="25" t="str">
        <f aca="false">IF($A154="","",IF(INDEX(c_Date,$A154)="","",INDEX(c_Date,$A154)))</f>
        <v/>
      </c>
      <c r="H154" s="33" t="str">
        <f aca="false">IF($A154="","",IF(INDEX(c_Days,$A154)="","",INDEX(c_Days,$A154)))</f>
        <v/>
      </c>
      <c r="I154" s="40" t="n">
        <f aca="false">IF($A154="","",IF(INDEX(c_Mtgs,$A154)="","",INDEX(c_Mtgs,$A154)))</f>
        <v>0</v>
      </c>
      <c r="J154" s="11" t="str">
        <f aca="false">IF($A154="","",INDEX(c_EvtNames,$A154)&amp;"")</f>
        <v/>
      </c>
      <c r="K154" s="34" t="str">
        <f aca="false">IF($A154="","",INDEX(c_Invested,$A154)&amp;"")</f>
        <v>No</v>
      </c>
      <c r="L154" s="12" t="str">
        <f aca="false">IF($A154="","",IF(INDEX(c_AUM,$A154)="","",INDEX(c_AUM,$A154)))</f>
        <v/>
      </c>
      <c r="M154" s="11" t="str">
        <f aca="false">IF($A154="","",INDEX(c_Source,$A154)&amp;"")</f>
        <v>Branch Directors</v>
      </c>
      <c r="N154" s="11" t="str">
        <f aca="false">IF($A154="","",INDEX(c_Notes,$A154)&amp;"")</f>
        <v>Branch: Acquity Planners</v>
      </c>
    </row>
    <row r="155" customFormat="false" ht="15" hidden="false" customHeight="false" outlineLevel="0" collapsed="false">
      <c r="A155" s="32" t="n">
        <f aca="false">IFERROR(MATCH(ROW()-5,c_Seq,0),"")</f>
        <v>150</v>
      </c>
      <c r="B155" s="15" t="str">
        <f aca="false">IF($A155="","",INDEX(c_Name,$A155)&amp;"")</f>
        <v>Jason lim</v>
      </c>
      <c r="C155" s="15" t="str">
        <f aca="false">IF($A155="","",INDEX(c_Firm,$A155)&amp;"")</f>
        <v>Manulife FA</v>
      </c>
      <c r="D155" s="15" t="str">
        <f aca="false">IF($A155="","",INDEX(c_Type,$A155)&amp;"")</f>
        <v>Branch Director</v>
      </c>
      <c r="E155" s="15" t="str">
        <f aca="false">IF($A155="","",INDEX(c_Email,$A155)&amp;"")</f>
        <v>jason.lim@manulifefa.com.sg</v>
      </c>
      <c r="F155" s="36" t="str">
        <f aca="false">IF($A155="","",INDEX(c_Met,$A155)&amp;"")</f>
        <v>No</v>
      </c>
      <c r="G155" s="26" t="str">
        <f aca="false">IF($A155="","",IF(INDEX(c_Date,$A155)="","",INDEX(c_Date,$A155)))</f>
        <v/>
      </c>
      <c r="H155" s="35" t="str">
        <f aca="false">IF($A155="","",IF(INDEX(c_Days,$A155)="","",INDEX(c_Days,$A155)))</f>
        <v/>
      </c>
      <c r="I155" s="41" t="n">
        <f aca="false">IF($A155="","",IF(INDEX(c_Mtgs,$A155)="","",INDEX(c_Mtgs,$A155)))</f>
        <v>0</v>
      </c>
      <c r="J155" s="15" t="str">
        <f aca="false">IF($A155="","",INDEX(c_EvtNames,$A155)&amp;"")</f>
        <v/>
      </c>
      <c r="K155" s="36" t="str">
        <f aca="false">IF($A155="","",INDEX(c_Invested,$A155)&amp;"")</f>
        <v>No</v>
      </c>
      <c r="L155" s="16" t="str">
        <f aca="false">IF($A155="","",IF(INDEX(c_AUM,$A155)="","",INDEX(c_AUM,$A155)))</f>
        <v/>
      </c>
      <c r="M155" s="15" t="str">
        <f aca="false">IF($A155="","",INDEX(c_Source,$A155)&amp;"")</f>
        <v>Branch Directors</v>
      </c>
      <c r="N155" s="15" t="str">
        <f aca="false">IF($A155="","",INDEX(c_Notes,$A155)&amp;"")</f>
        <v>Branch: Summit Planner Maximus</v>
      </c>
    </row>
    <row r="156" customFormat="false" ht="15" hidden="false" customHeight="false" outlineLevel="0" collapsed="false">
      <c r="A156" s="32" t="n">
        <f aca="false">IFERROR(MATCH(ROW()-5,c_Seq,0),"")</f>
        <v>151</v>
      </c>
      <c r="B156" s="11" t="str">
        <f aca="false">IF($A156="","",INDEX(c_Name,$A156)&amp;"")</f>
        <v>Jex Hok</v>
      </c>
      <c r="C156" s="11" t="str">
        <f aca="false">IF($A156="","",INDEX(c_Firm,$A156)&amp;"")</f>
        <v>Manulife FA</v>
      </c>
      <c r="D156" s="11" t="str">
        <f aca="false">IF($A156="","",INDEX(c_Type,$A156)&amp;"")</f>
        <v>Branch Director</v>
      </c>
      <c r="E156" s="11" t="str">
        <f aca="false">IF($A156="","",INDEX(c_Email,$A156)&amp;"")</f>
        <v>jex.hok@manulifefa.com.sg</v>
      </c>
      <c r="F156" s="34" t="str">
        <f aca="false">IF($A156="","",INDEX(c_Met,$A156)&amp;"")</f>
        <v>No</v>
      </c>
      <c r="G156" s="25" t="str">
        <f aca="false">IF($A156="","",IF(INDEX(c_Date,$A156)="","",INDEX(c_Date,$A156)))</f>
        <v/>
      </c>
      <c r="H156" s="33" t="str">
        <f aca="false">IF($A156="","",IF(INDEX(c_Days,$A156)="","",INDEX(c_Days,$A156)))</f>
        <v/>
      </c>
      <c r="I156" s="40" t="n">
        <f aca="false">IF($A156="","",IF(INDEX(c_Mtgs,$A156)="","",INDEX(c_Mtgs,$A156)))</f>
        <v>0</v>
      </c>
      <c r="J156" s="11" t="str">
        <f aca="false">IF($A156="","",INDEX(c_EvtNames,$A156)&amp;"")</f>
        <v/>
      </c>
      <c r="K156" s="34" t="str">
        <f aca="false">IF($A156="","",INDEX(c_Invested,$A156)&amp;"")</f>
        <v>No</v>
      </c>
      <c r="L156" s="12" t="str">
        <f aca="false">IF($A156="","",IF(INDEX(c_AUM,$A156)="","",INDEX(c_AUM,$A156)))</f>
        <v/>
      </c>
      <c r="M156" s="11" t="str">
        <f aca="false">IF($A156="","",INDEX(c_Source,$A156)&amp;"")</f>
        <v>Branch Directors</v>
      </c>
      <c r="N156" s="11" t="str">
        <f aca="false">IF($A156="","",INDEX(c_Notes,$A156)&amp;"")</f>
        <v>Branch: Prestige Elites</v>
      </c>
    </row>
    <row r="157" customFormat="false" ht="15" hidden="false" customHeight="false" outlineLevel="0" collapsed="false">
      <c r="A157" s="32" t="n">
        <f aca="false">IFERROR(MATCH(ROW()-5,c_Seq,0),"")</f>
        <v>152</v>
      </c>
      <c r="B157" s="15" t="str">
        <f aca="false">IF($A157="","",INDEX(c_Name,$A157)&amp;"")</f>
        <v>Jym Ng</v>
      </c>
      <c r="C157" s="15" t="str">
        <f aca="false">IF($A157="","",INDEX(c_Firm,$A157)&amp;"")</f>
        <v>Manulife FA</v>
      </c>
      <c r="D157" s="15" t="str">
        <f aca="false">IF($A157="","",INDEX(c_Type,$A157)&amp;"")</f>
        <v>Branch Director</v>
      </c>
      <c r="E157" s="15" t="str">
        <f aca="false">IF($A157="","",INDEX(c_Email,$A157)&amp;"")</f>
        <v>jimmy.ng@manulifefa.com.sg</v>
      </c>
      <c r="F157" s="36" t="str">
        <f aca="false">IF($A157="","",INDEX(c_Met,$A157)&amp;"")</f>
        <v>No</v>
      </c>
      <c r="G157" s="26" t="str">
        <f aca="false">IF($A157="","",IF(INDEX(c_Date,$A157)="","",INDEX(c_Date,$A157)))</f>
        <v/>
      </c>
      <c r="H157" s="35" t="str">
        <f aca="false">IF($A157="","",IF(INDEX(c_Days,$A157)="","",INDEX(c_Days,$A157)))</f>
        <v/>
      </c>
      <c r="I157" s="41" t="n">
        <f aca="false">IF($A157="","",IF(INDEX(c_Mtgs,$A157)="","",INDEX(c_Mtgs,$A157)))</f>
        <v>0</v>
      </c>
      <c r="J157" s="15" t="str">
        <f aca="false">IF($A157="","",INDEX(c_EvtNames,$A157)&amp;"")</f>
        <v/>
      </c>
      <c r="K157" s="36" t="str">
        <f aca="false">IF($A157="","",INDEX(c_Invested,$A157)&amp;"")</f>
        <v>No</v>
      </c>
      <c r="L157" s="16" t="str">
        <f aca="false">IF($A157="","",IF(INDEX(c_AUM,$A157)="","",INDEX(c_AUM,$A157)))</f>
        <v/>
      </c>
      <c r="M157" s="15" t="str">
        <f aca="false">IF($A157="","",INDEX(c_Source,$A157)&amp;"")</f>
        <v>Branch Directors</v>
      </c>
      <c r="N157" s="15" t="str">
        <f aca="false">IF($A157="","",INDEX(c_Notes,$A157)&amp;"")</f>
        <v>Branch: VA Distinct</v>
      </c>
    </row>
    <row r="158" customFormat="false" ht="15" hidden="false" customHeight="false" outlineLevel="0" collapsed="false">
      <c r="A158" s="32" t="n">
        <f aca="false">IFERROR(MATCH(ROW()-5,c_Seq,0),"")</f>
        <v>153</v>
      </c>
      <c r="B158" s="11" t="str">
        <f aca="false">IF($A158="","",INDEX(c_Name,$A158)&amp;"")</f>
        <v>Kelvin Chua</v>
      </c>
      <c r="C158" s="11" t="str">
        <f aca="false">IF($A158="","",INDEX(c_Firm,$A158)&amp;"")</f>
        <v>Manulife FA</v>
      </c>
      <c r="D158" s="11" t="str">
        <f aca="false">IF($A158="","",INDEX(c_Type,$A158)&amp;"")</f>
        <v>Branch Director</v>
      </c>
      <c r="E158" s="11" t="str">
        <f aca="false">IF($A158="","",INDEX(c_Email,$A158)&amp;"")</f>
        <v>kelvin.chua@manulifefa.com.sg</v>
      </c>
      <c r="F158" s="34" t="str">
        <f aca="false">IF($A158="","",INDEX(c_Met,$A158)&amp;"")</f>
        <v>No</v>
      </c>
      <c r="G158" s="25" t="str">
        <f aca="false">IF($A158="","",IF(INDEX(c_Date,$A158)="","",INDEX(c_Date,$A158)))</f>
        <v/>
      </c>
      <c r="H158" s="33" t="str">
        <f aca="false">IF($A158="","",IF(INDEX(c_Days,$A158)="","",INDEX(c_Days,$A158)))</f>
        <v/>
      </c>
      <c r="I158" s="40" t="n">
        <f aca="false">IF($A158="","",IF(INDEX(c_Mtgs,$A158)="","",INDEX(c_Mtgs,$A158)))</f>
        <v>0</v>
      </c>
      <c r="J158" s="11" t="str">
        <f aca="false">IF($A158="","",INDEX(c_EvtNames,$A158)&amp;"")</f>
        <v/>
      </c>
      <c r="K158" s="34" t="str">
        <f aca="false">IF($A158="","",INDEX(c_Invested,$A158)&amp;"")</f>
        <v>No</v>
      </c>
      <c r="L158" s="12" t="str">
        <f aca="false">IF($A158="","",IF(INDEX(c_AUM,$A158)="","",INDEX(c_AUM,$A158)))</f>
        <v/>
      </c>
      <c r="M158" s="11" t="str">
        <f aca="false">IF($A158="","",INDEX(c_Source,$A158)&amp;"")</f>
        <v>Branch Directors</v>
      </c>
      <c r="N158" s="11" t="str">
        <f aca="false">IF($A158="","",INDEX(c_Notes,$A158)&amp;"")</f>
        <v>Branch: VA Cornerstone</v>
      </c>
    </row>
    <row r="159" customFormat="false" ht="15" hidden="false" customHeight="false" outlineLevel="0" collapsed="false">
      <c r="A159" s="32" t="n">
        <f aca="false">IFERROR(MATCH(ROW()-5,c_Seq,0),"")</f>
        <v>154</v>
      </c>
      <c r="B159" s="15" t="str">
        <f aca="false">IF($A159="","",INDEX(c_Name,$A159)&amp;"")</f>
        <v>Leslie Sim</v>
      </c>
      <c r="C159" s="15" t="str">
        <f aca="false">IF($A159="","",INDEX(c_Firm,$A159)&amp;"")</f>
        <v>Manulife FA</v>
      </c>
      <c r="D159" s="15" t="str">
        <f aca="false">IF($A159="","",INDEX(c_Type,$A159)&amp;"")</f>
        <v>Adviser</v>
      </c>
      <c r="E159" s="15" t="str">
        <f aca="false">IF($A159="","",INDEX(c_Email,$A159)&amp;"")</f>
        <v>leslie.sim@manulifefa.com.sg</v>
      </c>
      <c r="F159" s="36" t="str">
        <f aca="false">IF($A159="","",INDEX(c_Met,$A159)&amp;"")</f>
        <v>No</v>
      </c>
      <c r="G159" s="26" t="str">
        <f aca="false">IF($A159="","",IF(INDEX(c_Date,$A159)="","",INDEX(c_Date,$A159)))</f>
        <v/>
      </c>
      <c r="H159" s="35" t="str">
        <f aca="false">IF($A159="","",IF(INDEX(c_Days,$A159)="","",INDEX(c_Days,$A159)))</f>
        <v/>
      </c>
      <c r="I159" s="41" t="n">
        <f aca="false">IF($A159="","",IF(INDEX(c_Mtgs,$A159)="","",INDEX(c_Mtgs,$A159)))</f>
        <v>0</v>
      </c>
      <c r="J159" s="15" t="str">
        <f aca="false">IF($A159="","",INDEX(c_EvtNames,$A159)&amp;"")</f>
        <v/>
      </c>
      <c r="K159" s="36" t="str">
        <f aca="false">IF($A159="","",INDEX(c_Invested,$A159)&amp;"")</f>
        <v>No</v>
      </c>
      <c r="L159" s="16" t="str">
        <f aca="false">IF($A159="","",IF(INDEX(c_AUM,$A159)="","",INDEX(c_AUM,$A159)))</f>
        <v/>
      </c>
      <c r="M159" s="15" t="str">
        <f aca="false">IF($A159="","",INDEX(c_Source,$A159)&amp;"")</f>
        <v>Meeting List</v>
      </c>
      <c r="N159" s="15" t="str">
        <f aca="false">IF($A159="","",INDEX(c_Notes,$A159)&amp;"")</f>
        <v/>
      </c>
    </row>
    <row r="160" customFormat="false" ht="15" hidden="false" customHeight="false" outlineLevel="0" collapsed="false">
      <c r="A160" s="32" t="n">
        <f aca="false">IFERROR(MATCH(ROW()-5,c_Seq,0),"")</f>
        <v>155</v>
      </c>
      <c r="B160" s="11" t="str">
        <f aca="false">IF($A160="","",INDEX(c_Name,$A160)&amp;"")</f>
        <v>Loy Yi Zhuo</v>
      </c>
      <c r="C160" s="11" t="str">
        <f aca="false">IF($A160="","",INDEX(c_Firm,$A160)&amp;"")</f>
        <v>Manulife FA</v>
      </c>
      <c r="D160" s="11" t="str">
        <f aca="false">IF($A160="","",INDEX(c_Type,$A160)&amp;"")</f>
        <v>Branch Director</v>
      </c>
      <c r="E160" s="11" t="str">
        <f aca="false">IF($A160="","",INDEX(c_Email,$A160)&amp;"")</f>
        <v>loy@manulifefa.com.sg</v>
      </c>
      <c r="F160" s="34" t="str">
        <f aca="false">IF($A160="","",INDEX(c_Met,$A160)&amp;"")</f>
        <v>No</v>
      </c>
      <c r="G160" s="25" t="str">
        <f aca="false">IF($A160="","",IF(INDEX(c_Date,$A160)="","",INDEX(c_Date,$A160)))</f>
        <v/>
      </c>
      <c r="H160" s="33" t="str">
        <f aca="false">IF($A160="","",IF(INDEX(c_Days,$A160)="","",INDEX(c_Days,$A160)))</f>
        <v/>
      </c>
      <c r="I160" s="40" t="n">
        <f aca="false">IF($A160="","",IF(INDEX(c_Mtgs,$A160)="","",INDEX(c_Mtgs,$A160)))</f>
        <v>0</v>
      </c>
      <c r="J160" s="11" t="str">
        <f aca="false">IF($A160="","",INDEX(c_EvtNames,$A160)&amp;"")</f>
        <v/>
      </c>
      <c r="K160" s="34" t="str">
        <f aca="false">IF($A160="","",INDEX(c_Invested,$A160)&amp;"")</f>
        <v>No</v>
      </c>
      <c r="L160" s="12" t="str">
        <f aca="false">IF($A160="","",IF(INDEX(c_AUM,$A160)="","",INDEX(c_AUM,$A160)))</f>
        <v/>
      </c>
      <c r="M160" s="11" t="str">
        <f aca="false">IF($A160="","",INDEX(c_Source,$A160)&amp;"")</f>
        <v>Branch Directors</v>
      </c>
      <c r="N160" s="11" t="str">
        <f aca="false">IF($A160="","",INDEX(c_Notes,$A160)&amp;"")</f>
        <v>Branch: ChamberWealth Financial</v>
      </c>
    </row>
    <row r="161" customFormat="false" ht="15" hidden="false" customHeight="false" outlineLevel="0" collapsed="false">
      <c r="A161" s="32" t="n">
        <f aca="false">IFERROR(MATCH(ROW()-5,c_Seq,0),"")</f>
        <v>156</v>
      </c>
      <c r="B161" s="15" t="str">
        <f aca="false">IF($A161="","",INDEX(c_Name,$A161)&amp;"")</f>
        <v>Marcus Goh</v>
      </c>
      <c r="C161" s="15" t="str">
        <f aca="false">IF($A161="","",INDEX(c_Firm,$A161)&amp;"")</f>
        <v>Manulife FA</v>
      </c>
      <c r="D161" s="15" t="str">
        <f aca="false">IF($A161="","",INDEX(c_Type,$A161)&amp;"")</f>
        <v>Branch Director</v>
      </c>
      <c r="E161" s="15" t="str">
        <f aca="false">IF($A161="","",INDEX(c_Email,$A161)&amp;"")</f>
        <v>marcus.goh@manulifefa.com.sg</v>
      </c>
      <c r="F161" s="36" t="str">
        <f aca="false">IF($A161="","",INDEX(c_Met,$A161)&amp;"")</f>
        <v>No</v>
      </c>
      <c r="G161" s="26" t="str">
        <f aca="false">IF($A161="","",IF(INDEX(c_Date,$A161)="","",INDEX(c_Date,$A161)))</f>
        <v/>
      </c>
      <c r="H161" s="35" t="str">
        <f aca="false">IF($A161="","",IF(INDEX(c_Days,$A161)="","",INDEX(c_Days,$A161)))</f>
        <v/>
      </c>
      <c r="I161" s="41" t="n">
        <f aca="false">IF($A161="","",IF(INDEX(c_Mtgs,$A161)="","",INDEX(c_Mtgs,$A161)))</f>
        <v>0</v>
      </c>
      <c r="J161" s="15" t="str">
        <f aca="false">IF($A161="","",INDEX(c_EvtNames,$A161)&amp;"")</f>
        <v/>
      </c>
      <c r="K161" s="36" t="str">
        <f aca="false">IF($A161="","",INDEX(c_Invested,$A161)&amp;"")</f>
        <v>No</v>
      </c>
      <c r="L161" s="16" t="str">
        <f aca="false">IF($A161="","",IF(INDEX(c_AUM,$A161)="","",INDEX(c_AUM,$A161)))</f>
        <v/>
      </c>
      <c r="M161" s="15" t="str">
        <f aca="false">IF($A161="","",INDEX(c_Source,$A161)&amp;"")</f>
        <v>Branch Directors</v>
      </c>
      <c r="N161" s="15" t="str">
        <f aca="false">IF($A161="","",INDEX(c_Notes,$A161)&amp;"")</f>
        <v>Branch: Summit Planners Fortis</v>
      </c>
    </row>
    <row r="162" customFormat="false" ht="15" hidden="false" customHeight="false" outlineLevel="0" collapsed="false">
      <c r="A162" s="32" t="n">
        <f aca="false">IFERROR(MATCH(ROW()-5,c_Seq,0),"")</f>
        <v>157</v>
      </c>
      <c r="B162" s="11" t="str">
        <f aca="false">IF($A162="","",INDEX(c_Name,$A162)&amp;"")</f>
        <v>Marcus Khoo</v>
      </c>
      <c r="C162" s="11" t="str">
        <f aca="false">IF($A162="","",INDEX(c_Firm,$A162)&amp;"")</f>
        <v>Manulife FA</v>
      </c>
      <c r="D162" s="11" t="str">
        <f aca="false">IF($A162="","",INDEX(c_Type,$A162)&amp;"")</f>
        <v>Branch Director</v>
      </c>
      <c r="E162" s="11" t="str">
        <f aca="false">IF($A162="","",INDEX(c_Email,$A162)&amp;"")</f>
        <v>marcus.khoo@manulifefa.com.sg</v>
      </c>
      <c r="F162" s="34" t="str">
        <f aca="false">IF($A162="","",INDEX(c_Met,$A162)&amp;"")</f>
        <v>No</v>
      </c>
      <c r="G162" s="25" t="str">
        <f aca="false">IF($A162="","",IF(INDEX(c_Date,$A162)="","",INDEX(c_Date,$A162)))</f>
        <v/>
      </c>
      <c r="H162" s="33" t="str">
        <f aca="false">IF($A162="","",IF(INDEX(c_Days,$A162)="","",INDEX(c_Days,$A162)))</f>
        <v/>
      </c>
      <c r="I162" s="40" t="n">
        <f aca="false">IF($A162="","",IF(INDEX(c_Mtgs,$A162)="","",INDEX(c_Mtgs,$A162)))</f>
        <v>0</v>
      </c>
      <c r="J162" s="11" t="str">
        <f aca="false">IF($A162="","",INDEX(c_EvtNames,$A162)&amp;"")</f>
        <v/>
      </c>
      <c r="K162" s="34" t="str">
        <f aca="false">IF($A162="","",INDEX(c_Invested,$A162)&amp;"")</f>
        <v>No</v>
      </c>
      <c r="L162" s="12" t="str">
        <f aca="false">IF($A162="","",IF(INDEX(c_AUM,$A162)="","",INDEX(c_AUM,$A162)))</f>
        <v/>
      </c>
      <c r="M162" s="11" t="str">
        <f aca="false">IF($A162="","",INDEX(c_Source,$A162)&amp;"")</f>
        <v>Branch Directors</v>
      </c>
      <c r="N162" s="11" t="str">
        <f aca="false">IF($A162="","",INDEX(c_Notes,$A162)&amp;"")</f>
        <v>Branch: VA One</v>
      </c>
    </row>
    <row r="163" customFormat="false" ht="15" hidden="false" customHeight="false" outlineLevel="0" collapsed="false">
      <c r="A163" s="32" t="n">
        <f aca="false">IFERROR(MATCH(ROW()-5,c_Seq,0),"")</f>
        <v>158</v>
      </c>
      <c r="B163" s="15" t="str">
        <f aca="false">IF($A163="","",INDEX(c_Name,$A163)&amp;"")</f>
        <v>Michael Tan</v>
      </c>
      <c r="C163" s="15" t="str">
        <f aca="false">IF($A163="","",INDEX(c_Firm,$A163)&amp;"")</f>
        <v>Manulife FA</v>
      </c>
      <c r="D163" s="15" t="str">
        <f aca="false">IF($A163="","",INDEX(c_Type,$A163)&amp;"")</f>
        <v>Branch Director</v>
      </c>
      <c r="E163" s="15" t="str">
        <f aca="false">IF($A163="","",INDEX(c_Email,$A163)&amp;"")</f>
        <v>michael.tan@manulifefa.com.sg</v>
      </c>
      <c r="F163" s="36" t="str">
        <f aca="false">IF($A163="","",INDEX(c_Met,$A163)&amp;"")</f>
        <v>No</v>
      </c>
      <c r="G163" s="26" t="str">
        <f aca="false">IF($A163="","",IF(INDEX(c_Date,$A163)="","",INDEX(c_Date,$A163)))</f>
        <v/>
      </c>
      <c r="H163" s="35" t="str">
        <f aca="false">IF($A163="","",IF(INDEX(c_Days,$A163)="","",INDEX(c_Days,$A163)))</f>
        <v/>
      </c>
      <c r="I163" s="41" t="n">
        <f aca="false">IF($A163="","",IF(INDEX(c_Mtgs,$A163)="","",INDEX(c_Mtgs,$A163)))</f>
        <v>0</v>
      </c>
      <c r="J163" s="15" t="str">
        <f aca="false">IF($A163="","",INDEX(c_EvtNames,$A163)&amp;"")</f>
        <v/>
      </c>
      <c r="K163" s="36" t="str">
        <f aca="false">IF($A163="","",INDEX(c_Invested,$A163)&amp;"")</f>
        <v>No</v>
      </c>
      <c r="L163" s="16" t="str">
        <f aca="false">IF($A163="","",IF(INDEX(c_AUM,$A163)="","",INDEX(c_AUM,$A163)))</f>
        <v/>
      </c>
      <c r="M163" s="15" t="str">
        <f aca="false">IF($A163="","",INDEX(c_Source,$A163)&amp;"")</f>
        <v>Branch Directors</v>
      </c>
      <c r="N163" s="15" t="str">
        <f aca="false">IF($A163="","",INDEX(c_Notes,$A163)&amp;"")</f>
        <v>Branch: VA Elite</v>
      </c>
    </row>
    <row r="164" customFormat="false" ht="15" hidden="false" customHeight="false" outlineLevel="0" collapsed="false">
      <c r="A164" s="32" t="n">
        <f aca="false">IFERROR(MATCH(ROW()-5,c_Seq,0),"")</f>
        <v>159</v>
      </c>
      <c r="B164" s="11" t="str">
        <f aca="false">IF($A164="","",INDEX(c_Name,$A164)&amp;"")</f>
        <v>Michelle Jia</v>
      </c>
      <c r="C164" s="11" t="str">
        <f aca="false">IF($A164="","",INDEX(c_Firm,$A164)&amp;"")</f>
        <v>Manulife FA</v>
      </c>
      <c r="D164" s="11" t="str">
        <f aca="false">IF($A164="","",INDEX(c_Type,$A164)&amp;"")</f>
        <v>Branch Director</v>
      </c>
      <c r="E164" s="11" t="str">
        <f aca="false">IF($A164="","",INDEX(c_Email,$A164)&amp;"")</f>
        <v>michelle.jia@manulifefa.com.sg</v>
      </c>
      <c r="F164" s="34" t="str">
        <f aca="false">IF($A164="","",INDEX(c_Met,$A164)&amp;"")</f>
        <v>No</v>
      </c>
      <c r="G164" s="25" t="str">
        <f aca="false">IF($A164="","",IF(INDEX(c_Date,$A164)="","",INDEX(c_Date,$A164)))</f>
        <v/>
      </c>
      <c r="H164" s="33" t="str">
        <f aca="false">IF($A164="","",IF(INDEX(c_Days,$A164)="","",INDEX(c_Days,$A164)))</f>
        <v/>
      </c>
      <c r="I164" s="40" t="n">
        <f aca="false">IF($A164="","",IF(INDEX(c_Mtgs,$A164)="","",INDEX(c_Mtgs,$A164)))</f>
        <v>0</v>
      </c>
      <c r="J164" s="11" t="str">
        <f aca="false">IF($A164="","",INDEX(c_EvtNames,$A164)&amp;"")</f>
        <v/>
      </c>
      <c r="K164" s="34" t="str">
        <f aca="false">IF($A164="","",INDEX(c_Invested,$A164)&amp;"")</f>
        <v>No</v>
      </c>
      <c r="L164" s="12" t="str">
        <f aca="false">IF($A164="","",IF(INDEX(c_AUM,$A164)="","",INDEX(c_AUM,$A164)))</f>
        <v/>
      </c>
      <c r="M164" s="11" t="str">
        <f aca="false">IF($A164="","",INDEX(c_Source,$A164)&amp;"")</f>
        <v>Branch Directors</v>
      </c>
      <c r="N164" s="11" t="str">
        <f aca="false">IF($A164="","",INDEX(c_Notes,$A164)&amp;"")</f>
        <v>Branch: Summit Planners Tenet</v>
      </c>
    </row>
    <row r="165" customFormat="false" ht="15" hidden="false" customHeight="false" outlineLevel="0" collapsed="false">
      <c r="A165" s="32" t="n">
        <f aca="false">IFERROR(MATCH(ROW()-5,c_Seq,0),"")</f>
        <v>160</v>
      </c>
      <c r="B165" s="15" t="str">
        <f aca="false">IF($A165="","",INDEX(c_Name,$A165)&amp;"")</f>
        <v>Mike Tang</v>
      </c>
      <c r="C165" s="15" t="str">
        <f aca="false">IF($A165="","",INDEX(c_Firm,$A165)&amp;"")</f>
        <v>Manulife FA</v>
      </c>
      <c r="D165" s="15" t="str">
        <f aca="false">IF($A165="","",INDEX(c_Type,$A165)&amp;"")</f>
        <v>Branch Director</v>
      </c>
      <c r="E165" s="15" t="str">
        <f aca="false">IF($A165="","",INDEX(c_Email,$A165)&amp;"")</f>
        <v>mike.tang@manulifefa.com.sg</v>
      </c>
      <c r="F165" s="36" t="str">
        <f aca="false">IF($A165="","",INDEX(c_Met,$A165)&amp;"")</f>
        <v>No</v>
      </c>
      <c r="G165" s="26" t="str">
        <f aca="false">IF($A165="","",IF(INDEX(c_Date,$A165)="","",INDEX(c_Date,$A165)))</f>
        <v/>
      </c>
      <c r="H165" s="35" t="str">
        <f aca="false">IF($A165="","",IF(INDEX(c_Days,$A165)="","",INDEX(c_Days,$A165)))</f>
        <v/>
      </c>
      <c r="I165" s="41" t="n">
        <f aca="false">IF($A165="","",IF(INDEX(c_Mtgs,$A165)="","",INDEX(c_Mtgs,$A165)))</f>
        <v>0</v>
      </c>
      <c r="J165" s="15" t="str">
        <f aca="false">IF($A165="","",INDEX(c_EvtNames,$A165)&amp;"")</f>
        <v/>
      </c>
      <c r="K165" s="36" t="str">
        <f aca="false">IF($A165="","",INDEX(c_Invested,$A165)&amp;"")</f>
        <v>No</v>
      </c>
      <c r="L165" s="16" t="str">
        <f aca="false">IF($A165="","",IF(INDEX(c_AUM,$A165)="","",INDEX(c_AUM,$A165)))</f>
        <v/>
      </c>
      <c r="M165" s="15" t="str">
        <f aca="false">IF($A165="","",INDEX(c_Source,$A165)&amp;"")</f>
        <v>Branch Directors</v>
      </c>
      <c r="N165" s="15" t="str">
        <f aca="false">IF($A165="","",INDEX(c_Notes,$A165)&amp;"")</f>
        <v>Branch: Aspire Alliance</v>
      </c>
    </row>
    <row r="166" customFormat="false" ht="15" hidden="false" customHeight="false" outlineLevel="0" collapsed="false">
      <c r="A166" s="32" t="n">
        <f aca="false">IFERROR(MATCH(ROW()-5,c_Seq,0),"")</f>
        <v>161</v>
      </c>
      <c r="B166" s="11" t="str">
        <f aca="false">IF($A166="","",INDEX(c_Name,$A166)&amp;"")</f>
        <v>Nai Yan Liang</v>
      </c>
      <c r="C166" s="11" t="str">
        <f aca="false">IF($A166="","",INDEX(c_Firm,$A166)&amp;"")</f>
        <v>Manulife FA</v>
      </c>
      <c r="D166" s="11" t="str">
        <f aca="false">IF($A166="","",INDEX(c_Type,$A166)&amp;"")</f>
        <v>Branch Director</v>
      </c>
      <c r="E166" s="11" t="str">
        <f aca="false">IF($A166="","",INDEX(c_Email,$A166)&amp;"")</f>
        <v/>
      </c>
      <c r="F166" s="34" t="str">
        <f aca="false">IF($A166="","",INDEX(c_Met,$A166)&amp;"")</f>
        <v>No</v>
      </c>
      <c r="G166" s="25" t="str">
        <f aca="false">IF($A166="","",IF(INDEX(c_Date,$A166)="","",INDEX(c_Date,$A166)))</f>
        <v/>
      </c>
      <c r="H166" s="33" t="str">
        <f aca="false">IF($A166="","",IF(INDEX(c_Days,$A166)="","",INDEX(c_Days,$A166)))</f>
        <v/>
      </c>
      <c r="I166" s="40" t="n">
        <f aca="false">IF($A166="","",IF(INDEX(c_Mtgs,$A166)="","",INDEX(c_Mtgs,$A166)))</f>
        <v>0</v>
      </c>
      <c r="J166" s="11" t="str">
        <f aca="false">IF($A166="","",INDEX(c_EvtNames,$A166)&amp;"")</f>
        <v/>
      </c>
      <c r="K166" s="34" t="str">
        <f aca="false">IF($A166="","",INDEX(c_Invested,$A166)&amp;"")</f>
        <v>No</v>
      </c>
      <c r="L166" s="12" t="str">
        <f aca="false">IF($A166="","",IF(INDEX(c_AUM,$A166)="","",INDEX(c_AUM,$A166)))</f>
        <v/>
      </c>
      <c r="M166" s="11" t="str">
        <f aca="false">IF($A166="","",INDEX(c_Source,$A166)&amp;"")</f>
        <v>Branch Directors</v>
      </c>
      <c r="N166" s="11" t="str">
        <f aca="false">IF($A166="","",INDEX(c_Notes,$A166)&amp;"")</f>
        <v>Branch: Beyond Consultancy Altitude</v>
      </c>
    </row>
    <row r="167" customFormat="false" ht="15" hidden="false" customHeight="false" outlineLevel="0" collapsed="false">
      <c r="A167" s="32" t="n">
        <f aca="false">IFERROR(MATCH(ROW()-5,c_Seq,0),"")</f>
        <v>162</v>
      </c>
      <c r="B167" s="15" t="str">
        <f aca="false">IF($A167="","",INDEX(c_Name,$A167)&amp;"")</f>
        <v>Ong Pin Pin</v>
      </c>
      <c r="C167" s="15" t="str">
        <f aca="false">IF($A167="","",INDEX(c_Firm,$A167)&amp;"")</f>
        <v>Manulife FA</v>
      </c>
      <c r="D167" s="15" t="str">
        <f aca="false">IF($A167="","",INDEX(c_Type,$A167)&amp;"")</f>
        <v>Branch Director</v>
      </c>
      <c r="E167" s="15" t="str">
        <f aca="false">IF($A167="","",INDEX(c_Email,$A167)&amp;"")</f>
        <v>joleen_ong_pp@manulifefa.com.sg</v>
      </c>
      <c r="F167" s="36" t="str">
        <f aca="false">IF($A167="","",INDEX(c_Met,$A167)&amp;"")</f>
        <v>No</v>
      </c>
      <c r="G167" s="26" t="str">
        <f aca="false">IF($A167="","",IF(INDEX(c_Date,$A167)="","",INDEX(c_Date,$A167)))</f>
        <v/>
      </c>
      <c r="H167" s="35" t="str">
        <f aca="false">IF($A167="","",IF(INDEX(c_Days,$A167)="","",INDEX(c_Days,$A167)))</f>
        <v/>
      </c>
      <c r="I167" s="41" t="n">
        <f aca="false">IF($A167="","",IF(INDEX(c_Mtgs,$A167)="","",INDEX(c_Mtgs,$A167)))</f>
        <v>0</v>
      </c>
      <c r="J167" s="15" t="str">
        <f aca="false">IF($A167="","",INDEX(c_EvtNames,$A167)&amp;"")</f>
        <v/>
      </c>
      <c r="K167" s="36" t="str">
        <f aca="false">IF($A167="","",INDEX(c_Invested,$A167)&amp;"")</f>
        <v>No</v>
      </c>
      <c r="L167" s="16" t="str">
        <f aca="false">IF($A167="","",IF(INDEX(c_AUM,$A167)="","",INDEX(c_AUM,$A167)))</f>
        <v/>
      </c>
      <c r="M167" s="15" t="str">
        <f aca="false">IF($A167="","",INDEX(c_Source,$A167)&amp;"")</f>
        <v>Branch Directors</v>
      </c>
      <c r="N167" s="15" t="str">
        <f aca="false">IF($A167="","",INDEX(c_Notes,$A167)&amp;"")</f>
        <v>Branch: VA Planners</v>
      </c>
    </row>
    <row r="168" customFormat="false" ht="15" hidden="false" customHeight="false" outlineLevel="0" collapsed="false">
      <c r="A168" s="32" t="n">
        <f aca="false">IFERROR(MATCH(ROW()-5,c_Seq,0),"")</f>
        <v>163</v>
      </c>
      <c r="B168" s="11" t="str">
        <f aca="false">IF($A168="","",INDEX(c_Name,$A168)&amp;"")</f>
        <v>Quek Chung Tze</v>
      </c>
      <c r="C168" s="11" t="str">
        <f aca="false">IF($A168="","",INDEX(c_Firm,$A168)&amp;"")</f>
        <v>Manulife FA</v>
      </c>
      <c r="D168" s="11" t="str">
        <f aca="false">IF($A168="","",INDEX(c_Type,$A168)&amp;"")</f>
        <v>Branch Director</v>
      </c>
      <c r="E168" s="11" t="str">
        <f aca="false">IF($A168="","",INDEX(c_Email,$A168)&amp;"")</f>
        <v>chungtze.quek@manulifefa.com.sg</v>
      </c>
      <c r="F168" s="34" t="str">
        <f aca="false">IF($A168="","",INDEX(c_Met,$A168)&amp;"")</f>
        <v>No</v>
      </c>
      <c r="G168" s="25" t="str">
        <f aca="false">IF($A168="","",IF(INDEX(c_Date,$A168)="","",INDEX(c_Date,$A168)))</f>
        <v/>
      </c>
      <c r="H168" s="33" t="str">
        <f aca="false">IF($A168="","",IF(INDEX(c_Days,$A168)="","",INDEX(c_Days,$A168)))</f>
        <v/>
      </c>
      <c r="I168" s="40" t="n">
        <f aca="false">IF($A168="","",IF(INDEX(c_Mtgs,$A168)="","",INDEX(c_Mtgs,$A168)))</f>
        <v>0</v>
      </c>
      <c r="J168" s="11" t="str">
        <f aca="false">IF($A168="","",INDEX(c_EvtNames,$A168)&amp;"")</f>
        <v/>
      </c>
      <c r="K168" s="34" t="str">
        <f aca="false">IF($A168="","",INDEX(c_Invested,$A168)&amp;"")</f>
        <v>No</v>
      </c>
      <c r="L168" s="12" t="str">
        <f aca="false">IF($A168="","",IF(INDEX(c_AUM,$A168)="","",INDEX(c_AUM,$A168)))</f>
        <v/>
      </c>
      <c r="M168" s="11" t="str">
        <f aca="false">IF($A168="","",INDEX(c_Source,$A168)&amp;"")</f>
        <v>Branch Directors</v>
      </c>
      <c r="N168" s="11" t="str">
        <f aca="false">IF($A168="","",INDEX(c_Notes,$A168)&amp;"")</f>
        <v>Branch: Prestige Raffles</v>
      </c>
    </row>
    <row r="169" customFormat="false" ht="15" hidden="false" customHeight="false" outlineLevel="0" collapsed="false">
      <c r="A169" s="32" t="n">
        <f aca="false">IFERROR(MATCH(ROW()-5,c_Seq,0),"")</f>
        <v>164</v>
      </c>
      <c r="B169" s="15" t="str">
        <f aca="false">IF($A169="","",INDEX(c_Name,$A169)&amp;"")</f>
        <v>Rachel Toh</v>
      </c>
      <c r="C169" s="15" t="str">
        <f aca="false">IF($A169="","",INDEX(c_Firm,$A169)&amp;"")</f>
        <v>Manulife FA</v>
      </c>
      <c r="D169" s="15" t="str">
        <f aca="false">IF($A169="","",INDEX(c_Type,$A169)&amp;"")</f>
        <v>Branch Director</v>
      </c>
      <c r="E169" s="15" t="str">
        <f aca="false">IF($A169="","",INDEX(c_Email,$A169)&amp;"")</f>
        <v>rachel.toh@manulifefa.com.sg</v>
      </c>
      <c r="F169" s="36" t="str">
        <f aca="false">IF($A169="","",INDEX(c_Met,$A169)&amp;"")</f>
        <v>No</v>
      </c>
      <c r="G169" s="26" t="str">
        <f aca="false">IF($A169="","",IF(INDEX(c_Date,$A169)="","",INDEX(c_Date,$A169)))</f>
        <v/>
      </c>
      <c r="H169" s="35" t="str">
        <f aca="false">IF($A169="","",IF(INDEX(c_Days,$A169)="","",INDEX(c_Days,$A169)))</f>
        <v/>
      </c>
      <c r="I169" s="41" t="n">
        <f aca="false">IF($A169="","",IF(INDEX(c_Mtgs,$A169)="","",INDEX(c_Mtgs,$A169)))</f>
        <v>0</v>
      </c>
      <c r="J169" s="15" t="str">
        <f aca="false">IF($A169="","",INDEX(c_EvtNames,$A169)&amp;"")</f>
        <v/>
      </c>
      <c r="K169" s="36" t="str">
        <f aca="false">IF($A169="","",INDEX(c_Invested,$A169)&amp;"")</f>
        <v>No</v>
      </c>
      <c r="L169" s="16" t="str">
        <f aca="false">IF($A169="","",IF(INDEX(c_AUM,$A169)="","",INDEX(c_AUM,$A169)))</f>
        <v/>
      </c>
      <c r="M169" s="15" t="str">
        <f aca="false">IF($A169="","",INDEX(c_Source,$A169)&amp;"")</f>
        <v>Branch Directors</v>
      </c>
      <c r="N169" s="15" t="str">
        <f aca="false">IF($A169="","",INDEX(c_Notes,$A169)&amp;"")</f>
        <v>Branch: Archel Advisory</v>
      </c>
    </row>
    <row r="170" customFormat="false" ht="15" hidden="false" customHeight="false" outlineLevel="0" collapsed="false">
      <c r="A170" s="32" t="n">
        <f aca="false">IFERROR(MATCH(ROW()-5,c_Seq,0),"")</f>
        <v>165</v>
      </c>
      <c r="B170" s="11" t="str">
        <f aca="false">IF($A170="","",INDEX(c_Name,$A170)&amp;"")</f>
        <v>Roy Tan</v>
      </c>
      <c r="C170" s="11" t="str">
        <f aca="false">IF($A170="","",INDEX(c_Firm,$A170)&amp;"")</f>
        <v>Manulife FA</v>
      </c>
      <c r="D170" s="11" t="str">
        <f aca="false">IF($A170="","",INDEX(c_Type,$A170)&amp;"")</f>
        <v>Branch Director</v>
      </c>
      <c r="E170" s="11" t="str">
        <f aca="false">IF($A170="","",INDEX(c_Email,$A170)&amp;"")</f>
        <v>roy.tan@manulifefa.com.sg</v>
      </c>
      <c r="F170" s="34" t="str">
        <f aca="false">IF($A170="","",INDEX(c_Met,$A170)&amp;"")</f>
        <v>No</v>
      </c>
      <c r="G170" s="25" t="str">
        <f aca="false">IF($A170="","",IF(INDEX(c_Date,$A170)="","",INDEX(c_Date,$A170)))</f>
        <v/>
      </c>
      <c r="H170" s="33" t="str">
        <f aca="false">IF($A170="","",IF(INDEX(c_Days,$A170)="","",INDEX(c_Days,$A170)))</f>
        <v/>
      </c>
      <c r="I170" s="40" t="n">
        <f aca="false">IF($A170="","",IF(INDEX(c_Mtgs,$A170)="","",INDEX(c_Mtgs,$A170)))</f>
        <v>0</v>
      </c>
      <c r="J170" s="11" t="str">
        <f aca="false">IF($A170="","",INDEX(c_EvtNames,$A170)&amp;"")</f>
        <v/>
      </c>
      <c r="K170" s="34" t="str">
        <f aca="false">IF($A170="","",INDEX(c_Invested,$A170)&amp;"")</f>
        <v>No</v>
      </c>
      <c r="L170" s="12" t="str">
        <f aca="false">IF($A170="","",IF(INDEX(c_AUM,$A170)="","",INDEX(c_AUM,$A170)))</f>
        <v/>
      </c>
      <c r="M170" s="11" t="str">
        <f aca="false">IF($A170="","",INDEX(c_Source,$A170)&amp;"")</f>
        <v>Branch Directors</v>
      </c>
      <c r="N170" s="11" t="str">
        <f aca="false">IF($A170="","",INDEX(c_Notes,$A170)&amp;"")</f>
        <v>Branch: Beyond Consultancy</v>
      </c>
    </row>
    <row r="171" customFormat="false" ht="15" hidden="false" customHeight="false" outlineLevel="0" collapsed="false">
      <c r="A171" s="32" t="n">
        <f aca="false">IFERROR(MATCH(ROW()-5,c_Seq,0),"")</f>
        <v>166</v>
      </c>
      <c r="B171" s="15" t="str">
        <f aca="false">IF($A171="","",INDEX(c_Name,$A171)&amp;"")</f>
        <v>Samuel Seah</v>
      </c>
      <c r="C171" s="15" t="str">
        <f aca="false">IF($A171="","",INDEX(c_Firm,$A171)&amp;"")</f>
        <v>Manulife FA</v>
      </c>
      <c r="D171" s="15" t="str">
        <f aca="false">IF($A171="","",INDEX(c_Type,$A171)&amp;"")</f>
        <v>Branch Director</v>
      </c>
      <c r="E171" s="15" t="str">
        <f aca="false">IF($A171="","",INDEX(c_Email,$A171)&amp;"")</f>
        <v>samuel.seah@manulifefa.com.sg</v>
      </c>
      <c r="F171" s="36" t="str">
        <f aca="false">IF($A171="","",INDEX(c_Met,$A171)&amp;"")</f>
        <v>No</v>
      </c>
      <c r="G171" s="26" t="str">
        <f aca="false">IF($A171="","",IF(INDEX(c_Date,$A171)="","",INDEX(c_Date,$A171)))</f>
        <v/>
      </c>
      <c r="H171" s="35" t="str">
        <f aca="false">IF($A171="","",IF(INDEX(c_Days,$A171)="","",INDEX(c_Days,$A171)))</f>
        <v/>
      </c>
      <c r="I171" s="41" t="n">
        <f aca="false">IF($A171="","",IF(INDEX(c_Mtgs,$A171)="","",INDEX(c_Mtgs,$A171)))</f>
        <v>0</v>
      </c>
      <c r="J171" s="15" t="str">
        <f aca="false">IF($A171="","",INDEX(c_EvtNames,$A171)&amp;"")</f>
        <v/>
      </c>
      <c r="K171" s="36" t="str">
        <f aca="false">IF($A171="","",INDEX(c_Invested,$A171)&amp;"")</f>
        <v>No</v>
      </c>
      <c r="L171" s="16" t="str">
        <f aca="false">IF($A171="","",IF(INDEX(c_AUM,$A171)="","",INDEX(c_AUM,$A171)))</f>
        <v/>
      </c>
      <c r="M171" s="15" t="str">
        <f aca="false">IF($A171="","",INDEX(c_Source,$A171)&amp;"")</f>
        <v>Branch Directors</v>
      </c>
      <c r="N171" s="15" t="str">
        <f aca="false">IF($A171="","",INDEX(c_Notes,$A171)&amp;"")</f>
        <v>Branch: SKYS</v>
      </c>
    </row>
    <row r="172" customFormat="false" ht="15" hidden="false" customHeight="false" outlineLevel="0" collapsed="false">
      <c r="A172" s="32" t="n">
        <f aca="false">IFERROR(MATCH(ROW()-5,c_Seq,0),"")</f>
        <v>167</v>
      </c>
      <c r="B172" s="11" t="str">
        <f aca="false">IF($A172="","",INDEX(c_Name,$A172)&amp;"")</f>
        <v>Steven Tan</v>
      </c>
      <c r="C172" s="11" t="str">
        <f aca="false">IF($A172="","",INDEX(c_Firm,$A172)&amp;"")</f>
        <v>Manulife FA</v>
      </c>
      <c r="D172" s="11" t="str">
        <f aca="false">IF($A172="","",INDEX(c_Type,$A172)&amp;"")</f>
        <v>Branch Director</v>
      </c>
      <c r="E172" s="11" t="str">
        <f aca="false">IF($A172="","",INDEX(c_Email,$A172)&amp;"")</f>
        <v>steven.tan@manulifefa.com.sg</v>
      </c>
      <c r="F172" s="34" t="str">
        <f aca="false">IF($A172="","",INDEX(c_Met,$A172)&amp;"")</f>
        <v>No</v>
      </c>
      <c r="G172" s="25" t="str">
        <f aca="false">IF($A172="","",IF(INDEX(c_Date,$A172)="","",INDEX(c_Date,$A172)))</f>
        <v/>
      </c>
      <c r="H172" s="33" t="str">
        <f aca="false">IF($A172="","",IF(INDEX(c_Days,$A172)="","",INDEX(c_Days,$A172)))</f>
        <v/>
      </c>
      <c r="I172" s="40" t="n">
        <f aca="false">IF($A172="","",IF(INDEX(c_Mtgs,$A172)="","",INDEX(c_Mtgs,$A172)))</f>
        <v>0</v>
      </c>
      <c r="J172" s="11" t="str">
        <f aca="false">IF($A172="","",INDEX(c_EvtNames,$A172)&amp;"")</f>
        <v/>
      </c>
      <c r="K172" s="34" t="str">
        <f aca="false">IF($A172="","",INDEX(c_Invested,$A172)&amp;"")</f>
        <v>No</v>
      </c>
      <c r="L172" s="12" t="str">
        <f aca="false">IF($A172="","",IF(INDEX(c_AUM,$A172)="","",INDEX(c_AUM,$A172)))</f>
        <v/>
      </c>
      <c r="M172" s="11" t="str">
        <f aca="false">IF($A172="","",INDEX(c_Source,$A172)&amp;"")</f>
        <v>Branch Directors</v>
      </c>
      <c r="N172" s="11" t="str">
        <f aca="false">IF($A172="","",INDEX(c_Notes,$A172)&amp;"")</f>
        <v>Branch: Beyond Consultancy 2</v>
      </c>
    </row>
    <row r="173" customFormat="false" ht="15" hidden="false" customHeight="false" outlineLevel="0" collapsed="false">
      <c r="A173" s="32" t="n">
        <f aca="false">IFERROR(MATCH(ROW()-5,c_Seq,0),"")</f>
        <v>168</v>
      </c>
      <c r="B173" s="15" t="str">
        <f aca="false">IF($A173="","",INDEX(c_Name,$A173)&amp;"")</f>
        <v>Susan Ong</v>
      </c>
      <c r="C173" s="15" t="str">
        <f aca="false">IF($A173="","",INDEX(c_Firm,$A173)&amp;"")</f>
        <v>Manulife FA</v>
      </c>
      <c r="D173" s="15" t="str">
        <f aca="false">IF($A173="","",INDEX(c_Type,$A173)&amp;"")</f>
        <v>Branch Director</v>
      </c>
      <c r="E173" s="15" t="str">
        <f aca="false">IF($A173="","",INDEX(c_Email,$A173)&amp;"")</f>
        <v>susandunn@manulifefa.com.sg</v>
      </c>
      <c r="F173" s="36" t="str">
        <f aca="false">IF($A173="","",INDEX(c_Met,$A173)&amp;"")</f>
        <v>No</v>
      </c>
      <c r="G173" s="26" t="str">
        <f aca="false">IF($A173="","",IF(INDEX(c_Date,$A173)="","",INDEX(c_Date,$A173)))</f>
        <v/>
      </c>
      <c r="H173" s="35" t="str">
        <f aca="false">IF($A173="","",IF(INDEX(c_Days,$A173)="","",INDEX(c_Days,$A173)))</f>
        <v/>
      </c>
      <c r="I173" s="41" t="n">
        <f aca="false">IF($A173="","",IF(INDEX(c_Mtgs,$A173)="","",INDEX(c_Mtgs,$A173)))</f>
        <v>0</v>
      </c>
      <c r="J173" s="15" t="str">
        <f aca="false">IF($A173="","",INDEX(c_EvtNames,$A173)&amp;"")</f>
        <v/>
      </c>
      <c r="K173" s="36" t="str">
        <f aca="false">IF($A173="","",INDEX(c_Invested,$A173)&amp;"")</f>
        <v>No</v>
      </c>
      <c r="L173" s="16" t="str">
        <f aca="false">IF($A173="","",IF(INDEX(c_AUM,$A173)="","",INDEX(c_AUM,$A173)))</f>
        <v/>
      </c>
      <c r="M173" s="15" t="str">
        <f aca="false">IF($A173="","",INDEX(c_Source,$A173)&amp;"")</f>
        <v>Branch Directors</v>
      </c>
      <c r="N173" s="15" t="str">
        <f aca="false">IF($A173="","",INDEX(c_Notes,$A173)&amp;"")</f>
        <v>Branch: Summit Planners Dunn &amp; Partners</v>
      </c>
    </row>
    <row r="174" customFormat="false" ht="15" hidden="false" customHeight="false" outlineLevel="0" collapsed="false">
      <c r="A174" s="32" t="n">
        <f aca="false">IFERROR(MATCH(ROW()-5,c_Seq,0),"")</f>
        <v>169</v>
      </c>
      <c r="B174" s="11" t="str">
        <f aca="false">IF($A174="","",INDEX(c_Name,$A174)&amp;"")</f>
        <v>Thomas Ang</v>
      </c>
      <c r="C174" s="11" t="str">
        <f aca="false">IF($A174="","",INDEX(c_Firm,$A174)&amp;"")</f>
        <v>Manulife FA</v>
      </c>
      <c r="D174" s="11" t="str">
        <f aca="false">IF($A174="","",INDEX(c_Type,$A174)&amp;"")</f>
        <v>Branch Director</v>
      </c>
      <c r="E174" s="11" t="str">
        <f aca="false">IF($A174="","",INDEX(c_Email,$A174)&amp;"")</f>
        <v>thomas.ang@manulifefa.com.sg</v>
      </c>
      <c r="F174" s="34" t="str">
        <f aca="false">IF($A174="","",INDEX(c_Met,$A174)&amp;"")</f>
        <v>No</v>
      </c>
      <c r="G174" s="25" t="str">
        <f aca="false">IF($A174="","",IF(INDEX(c_Date,$A174)="","",INDEX(c_Date,$A174)))</f>
        <v/>
      </c>
      <c r="H174" s="33" t="str">
        <f aca="false">IF($A174="","",IF(INDEX(c_Days,$A174)="","",INDEX(c_Days,$A174)))</f>
        <v/>
      </c>
      <c r="I174" s="40" t="n">
        <f aca="false">IF($A174="","",IF(INDEX(c_Mtgs,$A174)="","",INDEX(c_Mtgs,$A174)))</f>
        <v>0</v>
      </c>
      <c r="J174" s="11" t="str">
        <f aca="false">IF($A174="","",INDEX(c_EvtNames,$A174)&amp;"")</f>
        <v/>
      </c>
      <c r="K174" s="34" t="str">
        <f aca="false">IF($A174="","",INDEX(c_Invested,$A174)&amp;"")</f>
        <v>No</v>
      </c>
      <c r="L174" s="12" t="str">
        <f aca="false">IF($A174="","",IF(INDEX(c_AUM,$A174)="","",INDEX(c_AUM,$A174)))</f>
        <v/>
      </c>
      <c r="M174" s="11" t="str">
        <f aca="false">IF($A174="","",INDEX(c_Source,$A174)&amp;"")</f>
        <v>Branch Directors</v>
      </c>
      <c r="N174" s="11" t="str">
        <f aca="false">IF($A174="","",INDEX(c_Notes,$A174)&amp;"")</f>
        <v>Branch: Aspire Alliance - Thomas Ang</v>
      </c>
    </row>
    <row r="175" customFormat="false" ht="15" hidden="false" customHeight="false" outlineLevel="0" collapsed="false">
      <c r="A175" s="32" t="n">
        <f aca="false">IFERROR(MATCH(ROW()-5,c_Seq,0),"")</f>
        <v>170</v>
      </c>
      <c r="B175" s="15" t="str">
        <f aca="false">IF($A175="","",INDEX(c_Name,$A175)&amp;"")</f>
        <v>Winny Kang</v>
      </c>
      <c r="C175" s="15" t="str">
        <f aca="false">IF($A175="","",INDEX(c_Firm,$A175)&amp;"")</f>
        <v>Manulife FA</v>
      </c>
      <c r="D175" s="15" t="str">
        <f aca="false">IF($A175="","",INDEX(c_Type,$A175)&amp;"")</f>
        <v>Branch Director</v>
      </c>
      <c r="E175" s="15" t="str">
        <f aca="false">IF($A175="","",INDEX(c_Email,$A175)&amp;"")</f>
        <v>winny.kang@manulifefa.com.sg</v>
      </c>
      <c r="F175" s="36" t="str">
        <f aca="false">IF($A175="","",INDEX(c_Met,$A175)&amp;"")</f>
        <v>No</v>
      </c>
      <c r="G175" s="26" t="str">
        <f aca="false">IF($A175="","",IF(INDEX(c_Date,$A175)="","",INDEX(c_Date,$A175)))</f>
        <v/>
      </c>
      <c r="H175" s="35" t="str">
        <f aca="false">IF($A175="","",IF(INDEX(c_Days,$A175)="","",INDEX(c_Days,$A175)))</f>
        <v/>
      </c>
      <c r="I175" s="41" t="n">
        <f aca="false">IF($A175="","",IF(INDEX(c_Mtgs,$A175)="","",INDEX(c_Mtgs,$A175)))</f>
        <v>0</v>
      </c>
      <c r="J175" s="15" t="str">
        <f aca="false">IF($A175="","",INDEX(c_EvtNames,$A175)&amp;"")</f>
        <v/>
      </c>
      <c r="K175" s="36" t="str">
        <f aca="false">IF($A175="","",INDEX(c_Invested,$A175)&amp;"")</f>
        <v>No</v>
      </c>
      <c r="L175" s="16" t="str">
        <f aca="false">IF($A175="","",IF(INDEX(c_AUM,$A175)="","",INDEX(c_AUM,$A175)))</f>
        <v/>
      </c>
      <c r="M175" s="15" t="str">
        <f aca="false">IF($A175="","",INDEX(c_Source,$A175)&amp;"")</f>
        <v>Branch Directors</v>
      </c>
      <c r="N175" s="15" t="str">
        <f aca="false">IF($A175="","",INDEX(c_Notes,$A175)&amp;"")</f>
        <v>Branch: Aspire Alliance</v>
      </c>
    </row>
    <row r="176" customFormat="false" ht="15" hidden="false" customHeight="false" outlineLevel="0" collapsed="false">
      <c r="A176" s="32" t="n">
        <f aca="false">IFERROR(MATCH(ROW()-5,c_Seq,0),"")</f>
        <v>171</v>
      </c>
      <c r="B176" s="11" t="str">
        <f aca="false">IF($A176="","",INDEX(c_Name,$A176)&amp;"")</f>
        <v>Yuen Kai Fai</v>
      </c>
      <c r="C176" s="11" t="str">
        <f aca="false">IF($A176="","",INDEX(c_Firm,$A176)&amp;"")</f>
        <v>Manulife FA</v>
      </c>
      <c r="D176" s="11" t="str">
        <f aca="false">IF($A176="","",INDEX(c_Type,$A176)&amp;"")</f>
        <v>Branch Director</v>
      </c>
      <c r="E176" s="11" t="str">
        <f aca="false">IF($A176="","",INDEX(c_Email,$A176)&amp;"")</f>
        <v>kahfai.yuen@manulifefa.com.sg</v>
      </c>
      <c r="F176" s="34" t="str">
        <f aca="false">IF($A176="","",INDEX(c_Met,$A176)&amp;"")</f>
        <v>No</v>
      </c>
      <c r="G176" s="25" t="str">
        <f aca="false">IF($A176="","",IF(INDEX(c_Date,$A176)="","",INDEX(c_Date,$A176)))</f>
        <v/>
      </c>
      <c r="H176" s="33" t="str">
        <f aca="false">IF($A176="","",IF(INDEX(c_Days,$A176)="","",INDEX(c_Days,$A176)))</f>
        <v/>
      </c>
      <c r="I176" s="40" t="n">
        <f aca="false">IF($A176="","",IF(INDEX(c_Mtgs,$A176)="","",INDEX(c_Mtgs,$A176)))</f>
        <v>0</v>
      </c>
      <c r="J176" s="11" t="str">
        <f aca="false">IF($A176="","",INDEX(c_EvtNames,$A176)&amp;"")</f>
        <v/>
      </c>
      <c r="K176" s="34" t="str">
        <f aca="false">IF($A176="","",INDEX(c_Invested,$A176)&amp;"")</f>
        <v>No</v>
      </c>
      <c r="L176" s="12" t="str">
        <f aca="false">IF($A176="","",IF(INDEX(c_AUM,$A176)="","",INDEX(c_AUM,$A176)))</f>
        <v/>
      </c>
      <c r="M176" s="11" t="str">
        <f aca="false">IF($A176="","",INDEX(c_Source,$A176)&amp;"")</f>
        <v>Branch Directors</v>
      </c>
      <c r="N176" s="11" t="str">
        <f aca="false">IF($A176="","",INDEX(c_Notes,$A176)&amp;"")</f>
        <v>Branch: Thinker Alliance</v>
      </c>
    </row>
    <row r="177" customFormat="false" ht="15" hidden="false" customHeight="false" outlineLevel="0" collapsed="false">
      <c r="A177" s="32" t="n">
        <f aca="false">IFERROR(MATCH(ROW()-5,c_Seq,0),"")</f>
        <v>172</v>
      </c>
      <c r="B177" s="15" t="str">
        <f aca="false">IF($A177="","",INDEX(c_Name,$A177)&amp;"")</f>
        <v>Marsha Wijaya</v>
      </c>
      <c r="C177" s="15" t="str">
        <f aca="false">IF($A177="","",INDEX(c_Firm,$A177)&amp;"")</f>
        <v>Maybank</v>
      </c>
      <c r="D177" s="15" t="str">
        <f aca="false">IF($A177="","",INDEX(c_Type,$A177)&amp;"")</f>
        <v>Adviser</v>
      </c>
      <c r="E177" s="15" t="str">
        <f aca="false">IF($A177="","",INDEX(c_Email,$A177)&amp;"")</f>
        <v/>
      </c>
      <c r="F177" s="36" t="str">
        <f aca="false">IF($A177="","",INDEX(c_Met,$A177)&amp;"")</f>
        <v>No</v>
      </c>
      <c r="G177" s="26" t="str">
        <f aca="false">IF($A177="","",IF(INDEX(c_Date,$A177)="","",INDEX(c_Date,$A177)))</f>
        <v/>
      </c>
      <c r="H177" s="35" t="str">
        <f aca="false">IF($A177="","",IF(INDEX(c_Days,$A177)="","",INDEX(c_Days,$A177)))</f>
        <v/>
      </c>
      <c r="I177" s="41" t="n">
        <f aca="false">IF($A177="","",IF(INDEX(c_Mtgs,$A177)="","",INDEX(c_Mtgs,$A177)))</f>
        <v>0</v>
      </c>
      <c r="J177" s="15" t="str">
        <f aca="false">IF($A177="","",INDEX(c_EvtNames,$A177)&amp;"")</f>
        <v/>
      </c>
      <c r="K177" s="36" t="str">
        <f aca="false">IF($A177="","",INDEX(c_Invested,$A177)&amp;"")</f>
        <v>No</v>
      </c>
      <c r="L177" s="16" t="str">
        <f aca="false">IF($A177="","",IF(INDEX(c_AUM,$A177)="","",INDEX(c_AUM,$A177)))</f>
        <v/>
      </c>
      <c r="M177" s="15" t="str">
        <f aca="false">IF($A177="","",INDEX(c_Source,$A177)&amp;"")</f>
        <v>ILP Data</v>
      </c>
      <c r="N177" s="15" t="str">
        <f aca="false">IF($A177="","",INDEX(c_Notes,$A177)&amp;"")</f>
        <v>ILP: Unrelated</v>
      </c>
    </row>
    <row r="178" customFormat="false" ht="15" hidden="false" customHeight="false" outlineLevel="0" collapsed="false">
      <c r="A178" s="32" t="n">
        <f aca="false">IFERROR(MATCH(ROW()-5,c_Seq,0),"")</f>
        <v>173</v>
      </c>
      <c r="B178" s="11" t="str">
        <f aca="false">IF($A178="","",INDEX(c_Name,$A178)&amp;"")</f>
        <v>Marc Maguire</v>
      </c>
      <c r="C178" s="11" t="str">
        <f aca="false">IF($A178="","",INDEX(c_Firm,$A178)&amp;"")</f>
        <v>NEBA Private</v>
      </c>
      <c r="D178" s="11" t="str">
        <f aca="false">IF($A178="","",INDEX(c_Type,$A178)&amp;"")</f>
        <v>Adviser</v>
      </c>
      <c r="E178" s="11" t="str">
        <f aca="false">IF($A178="","",INDEX(c_Email,$A178)&amp;"")</f>
        <v>marc.maguire@nebaprivateclients.com</v>
      </c>
      <c r="F178" s="34" t="str">
        <f aca="false">IF($A178="","",INDEX(c_Met,$A178)&amp;"")</f>
        <v>Yes</v>
      </c>
      <c r="G178" s="25" t="n">
        <f aca="false">IF($A178="","",IF(INDEX(c_Date,$A178)="","",INDEX(c_Date,$A178)))</f>
        <v>46134</v>
      </c>
      <c r="H178" s="33" t="n">
        <f aca="false">IF($A178="","",IF(INDEX(c_Days,$A178)="","",INDEX(c_Days,$A178)))</f>
        <v>107</v>
      </c>
      <c r="I178" s="40" t="n">
        <f aca="false">IF($A178="","",IF(INDEX(c_Mtgs,$A178)="","",INDEX(c_Mtgs,$A178)))</f>
        <v>1</v>
      </c>
      <c r="J178" s="11" t="str">
        <f aca="false">IF($A178="","",INDEX(c_EvtNames,$A178)&amp;"")</f>
        <v/>
      </c>
      <c r="K178" s="34" t="str">
        <f aca="false">IF($A178="","",INDEX(c_Invested,$A178)&amp;"")</f>
        <v>No</v>
      </c>
      <c r="L178" s="12" t="str">
        <f aca="false">IF($A178="","",IF(INDEX(c_AUM,$A178)="","",INDEX(c_AUM,$A178)))</f>
        <v/>
      </c>
      <c r="M178" s="11" t="str">
        <f aca="false">IF($A178="","",INDEX(c_Source,$A178)&amp;"")</f>
        <v>Meeting List + ILP Data</v>
      </c>
      <c r="N178" s="11" t="str">
        <f aca="false">IF($A178="","",INDEX(c_Notes,$A178)&amp;"")</f>
        <v>ILP: TBC</v>
      </c>
    </row>
    <row r="179" customFormat="false" ht="15" hidden="false" customHeight="false" outlineLevel="0" collapsed="false">
      <c r="A179" s="32" t="n">
        <f aca="false">IFERROR(MATCH(ROW()-5,c_Seq,0),"")</f>
        <v>174</v>
      </c>
      <c r="B179" s="15" t="str">
        <f aca="false">IF($A179="","",INDEX(c_Name,$A179)&amp;"")</f>
        <v>Mostafa Tajamolian</v>
      </c>
      <c r="C179" s="15" t="str">
        <f aca="false">IF($A179="","",INDEX(c_Firm,$A179)&amp;"")</f>
        <v>Other / Client</v>
      </c>
      <c r="D179" s="15" t="str">
        <f aca="false">IF($A179="","",INDEX(c_Type,$A179)&amp;"")</f>
        <v>Adviser</v>
      </c>
      <c r="E179" s="15" t="str">
        <f aca="false">IF($A179="","",INDEX(c_Email,$A179)&amp;"")</f>
        <v>mos.fx20@gmail.com</v>
      </c>
      <c r="F179" s="36" t="str">
        <f aca="false">IF($A179="","",INDEX(c_Met,$A179)&amp;"")</f>
        <v>No</v>
      </c>
      <c r="G179" s="26" t="str">
        <f aca="false">IF($A179="","",IF(INDEX(c_Date,$A179)="","",INDEX(c_Date,$A179)))</f>
        <v/>
      </c>
      <c r="H179" s="35" t="str">
        <f aca="false">IF($A179="","",IF(INDEX(c_Days,$A179)="","",INDEX(c_Days,$A179)))</f>
        <v/>
      </c>
      <c r="I179" s="41" t="n">
        <f aca="false">IF($A179="","",IF(INDEX(c_Mtgs,$A179)="","",INDEX(c_Mtgs,$A179)))</f>
        <v>0</v>
      </c>
      <c r="J179" s="15" t="str">
        <f aca="false">IF($A179="","",INDEX(c_EvtNames,$A179)&amp;"")</f>
        <v/>
      </c>
      <c r="K179" s="36" t="str">
        <f aca="false">IF($A179="","",INDEX(c_Invested,$A179)&amp;"")</f>
        <v>No</v>
      </c>
      <c r="L179" s="16" t="str">
        <f aca="false">IF($A179="","",IF(INDEX(c_AUM,$A179)="","",INDEX(c_AUM,$A179)))</f>
        <v/>
      </c>
      <c r="M179" s="15" t="str">
        <f aca="false">IF($A179="","",INDEX(c_Source,$A179)&amp;"")</f>
        <v>Meeting List</v>
      </c>
      <c r="N179" s="15" t="str">
        <f aca="false">IF($A179="","",INDEX(c_Notes,$A179)&amp;"")</f>
        <v/>
      </c>
    </row>
    <row r="180" customFormat="false" ht="15" hidden="false" customHeight="false" outlineLevel="0" collapsed="false">
      <c r="A180" s="32" t="n">
        <f aca="false">IFERROR(MATCH(ROW()-5,c_Seq,0),"")</f>
        <v>175</v>
      </c>
      <c r="B180" s="11" t="str">
        <f aca="false">IF($A180="","",INDEX(c_Name,$A180)&amp;"")</f>
        <v>Aaron Yap</v>
      </c>
      <c r="C180" s="11" t="str">
        <f aca="false">IF($A180="","",INDEX(c_Firm,$A180)&amp;"")</f>
        <v>Phillip Capital</v>
      </c>
      <c r="D180" s="11" t="str">
        <f aca="false">IF($A180="","",INDEX(c_Type,$A180)&amp;"")</f>
        <v>Adviser</v>
      </c>
      <c r="E180" s="11" t="str">
        <f aca="false">IF($A180="","",INDEX(c_Email,$A180)&amp;"")</f>
        <v>aaronyap@phillip.com.sg</v>
      </c>
      <c r="F180" s="34" t="str">
        <f aca="false">IF($A180="","",INDEX(c_Met,$A180)&amp;"")</f>
        <v>No</v>
      </c>
      <c r="G180" s="25" t="str">
        <f aca="false">IF($A180="","",IF(INDEX(c_Date,$A180)="","",INDEX(c_Date,$A180)))</f>
        <v/>
      </c>
      <c r="H180" s="33" t="str">
        <f aca="false">IF($A180="","",IF(INDEX(c_Days,$A180)="","",INDEX(c_Days,$A180)))</f>
        <v/>
      </c>
      <c r="I180" s="40" t="n">
        <f aca="false">IF($A180="","",IF(INDEX(c_Mtgs,$A180)="","",INDEX(c_Mtgs,$A180)))</f>
        <v>0</v>
      </c>
      <c r="J180" s="11" t="str">
        <f aca="false">IF($A180="","",INDEX(c_EvtNames,$A180)&amp;"")</f>
        <v/>
      </c>
      <c r="K180" s="34" t="str">
        <f aca="false">IF($A180="","",INDEX(c_Invested,$A180)&amp;"")</f>
        <v>No</v>
      </c>
      <c r="L180" s="12" t="str">
        <f aca="false">IF($A180="","",IF(INDEX(c_AUM,$A180)="","",INDEX(c_AUM,$A180)))</f>
        <v/>
      </c>
      <c r="M180" s="11" t="str">
        <f aca="false">IF($A180="","",INDEX(c_Source,$A180)&amp;"")</f>
        <v>Meeting List</v>
      </c>
      <c r="N180" s="11" t="str">
        <f aca="false">IF($A180="","",INDEX(c_Notes,$A180)&amp;"")</f>
        <v/>
      </c>
    </row>
    <row r="181" customFormat="false" ht="15" hidden="false" customHeight="false" outlineLevel="0" collapsed="false">
      <c r="A181" s="32" t="n">
        <f aca="false">IFERROR(MATCH(ROW()-5,c_Seq,0),"")</f>
        <v>176</v>
      </c>
      <c r="B181" s="15" t="str">
        <f aca="false">IF($A181="","",INDEX(c_Name,$A181)&amp;"")</f>
        <v>Alex Teo</v>
      </c>
      <c r="C181" s="15" t="str">
        <f aca="false">IF($A181="","",INDEX(c_Firm,$A181)&amp;"")</f>
        <v>Phillip Capital</v>
      </c>
      <c r="D181" s="15" t="str">
        <f aca="false">IF($A181="","",INDEX(c_Type,$A181)&amp;"")</f>
        <v>Adviser</v>
      </c>
      <c r="E181" s="15" t="str">
        <f aca="false">IF($A181="","",INDEX(c_Email,$A181)&amp;"")</f>
        <v>alexteoeh@phillip.com.sg</v>
      </c>
      <c r="F181" s="36" t="str">
        <f aca="false">IF($A181="","",INDEX(c_Met,$A181)&amp;"")</f>
        <v>Yes</v>
      </c>
      <c r="G181" s="26" t="n">
        <f aca="false">IF($A181="","",IF(INDEX(c_Date,$A181)="","",INDEX(c_Date,$A181)))</f>
        <v>45922</v>
      </c>
      <c r="H181" s="35" t="n">
        <f aca="false">IF($A181="","",IF(INDEX(c_Days,$A181)="","",INDEX(c_Days,$A181)))</f>
        <v>319</v>
      </c>
      <c r="I181" s="41" t="n">
        <f aca="false">IF($A181="","",IF(INDEX(c_Mtgs,$A181)="","",INDEX(c_Mtgs,$A181)))</f>
        <v>1</v>
      </c>
      <c r="J181" s="15" t="str">
        <f aca="false">IF($A181="","",INDEX(c_EvtNames,$A181)&amp;"")</f>
        <v/>
      </c>
      <c r="K181" s="36" t="str">
        <f aca="false">IF($A181="","",INDEX(c_Invested,$A181)&amp;"")</f>
        <v>No</v>
      </c>
      <c r="L181" s="16" t="str">
        <f aca="false">IF($A181="","",IF(INDEX(c_AUM,$A181)="","",INDEX(c_AUM,$A181)))</f>
        <v/>
      </c>
      <c r="M181" s="15" t="str">
        <f aca="false">IF($A181="","",INDEX(c_Source,$A181)&amp;"")</f>
        <v>Meeting List + ILP Data</v>
      </c>
      <c r="N181" s="15" t="str">
        <f aca="false">IF($A181="","",INDEX(c_Notes,$A181)&amp;"")</f>
        <v>May-26: not available; ILP: Product</v>
      </c>
    </row>
    <row r="182" customFormat="false" ht="15" hidden="false" customHeight="false" outlineLevel="0" collapsed="false">
      <c r="A182" s="32" t="n">
        <f aca="false">IFERROR(MATCH(ROW()-5,c_Seq,0),"")</f>
        <v>177</v>
      </c>
      <c r="B182" s="11" t="str">
        <f aca="false">IF($A182="","",INDEX(c_Name,$A182)&amp;"")</f>
        <v>Alvin Tan</v>
      </c>
      <c r="C182" s="11" t="str">
        <f aca="false">IF($A182="","",INDEX(c_Firm,$A182)&amp;"")</f>
        <v>Phillip Capital</v>
      </c>
      <c r="D182" s="11" t="str">
        <f aca="false">IF($A182="","",INDEX(c_Type,$A182)&amp;"")</f>
        <v>Adviser</v>
      </c>
      <c r="E182" s="11" t="str">
        <f aca="false">IF($A182="","",INDEX(c_Email,$A182)&amp;"")</f>
        <v>alvintanlp@phillip.com.sg</v>
      </c>
      <c r="F182" s="34" t="str">
        <f aca="false">IF($A182="","",INDEX(c_Met,$A182)&amp;"")</f>
        <v>No</v>
      </c>
      <c r="G182" s="25" t="str">
        <f aca="false">IF($A182="","",IF(INDEX(c_Date,$A182)="","",INDEX(c_Date,$A182)))</f>
        <v/>
      </c>
      <c r="H182" s="33" t="str">
        <f aca="false">IF($A182="","",IF(INDEX(c_Days,$A182)="","",INDEX(c_Days,$A182)))</f>
        <v/>
      </c>
      <c r="I182" s="40" t="n">
        <f aca="false">IF($A182="","",IF(INDEX(c_Mtgs,$A182)="","",INDEX(c_Mtgs,$A182)))</f>
        <v>0</v>
      </c>
      <c r="J182" s="11" t="str">
        <f aca="false">IF($A182="","",INDEX(c_EvtNames,$A182)&amp;"")</f>
        <v>May-26 Symposium</v>
      </c>
      <c r="K182" s="34" t="str">
        <f aca="false">IF($A182="","",INDEX(c_Invested,$A182)&amp;"")</f>
        <v>No</v>
      </c>
      <c r="L182" s="12" t="str">
        <f aca="false">IF($A182="","",IF(INDEX(c_AUM,$A182)="","",INDEX(c_AUM,$A182)))</f>
        <v/>
      </c>
      <c r="M182" s="11" t="str">
        <f aca="false">IF($A182="","",INDEX(c_Source,$A182)&amp;"")</f>
        <v>Meeting List + Branch Directors</v>
      </c>
      <c r="N182" s="11" t="str">
        <f aca="false">IF($A182="","",INDEX(c_Notes,$A182)&amp;"")</f>
        <v>Branch: Tai Seng | https://www.linkedin.com/in/alvintan-tap/</v>
      </c>
    </row>
    <row r="183" customFormat="false" ht="15" hidden="false" customHeight="false" outlineLevel="0" collapsed="false">
      <c r="A183" s="32" t="n">
        <f aca="false">IFERROR(MATCH(ROW()-5,c_Seq,0),"")</f>
        <v>178</v>
      </c>
      <c r="B183" s="15" t="str">
        <f aca="false">IF($A183="","",INDEX(c_Name,$A183)&amp;"")</f>
        <v>Brian See Toh</v>
      </c>
      <c r="C183" s="15" t="str">
        <f aca="false">IF($A183="","",INDEX(c_Firm,$A183)&amp;"")</f>
        <v>Phillip Capital</v>
      </c>
      <c r="D183" s="15" t="str">
        <f aca="false">IF($A183="","",INDEX(c_Type,$A183)&amp;"")</f>
        <v>Adviser</v>
      </c>
      <c r="E183" s="15" t="str">
        <f aca="false">IF($A183="","",INDEX(c_Email,$A183)&amp;"")</f>
        <v>brianst@phillip.com.sg</v>
      </c>
      <c r="F183" s="36" t="str">
        <f aca="false">IF($A183="","",INDEX(c_Met,$A183)&amp;"")</f>
        <v>Yes</v>
      </c>
      <c r="G183" s="26" t="n">
        <f aca="false">IF($A183="","",IF(INDEX(c_Date,$A183)="","",INDEX(c_Date,$A183)))</f>
        <v>45912</v>
      </c>
      <c r="H183" s="35" t="n">
        <f aca="false">IF($A183="","",IF(INDEX(c_Days,$A183)="","",INDEX(c_Days,$A183)))</f>
        <v>329</v>
      </c>
      <c r="I183" s="41" t="n">
        <f aca="false">IF($A183="","",IF(INDEX(c_Mtgs,$A183)="","",INDEX(c_Mtgs,$A183)))</f>
        <v>1</v>
      </c>
      <c r="J183" s="15" t="str">
        <f aca="false">IF($A183="","",INDEX(c_EvtNames,$A183)&amp;"")</f>
        <v>May-26 Symposium</v>
      </c>
      <c r="K183" s="36" t="str">
        <f aca="false">IF($A183="","",INDEX(c_Invested,$A183)&amp;"")</f>
        <v>No</v>
      </c>
      <c r="L183" s="16" t="n">
        <f aca="false">IF($A183="","",IF(INDEX(c_AUM,$A183)="","",INDEX(c_AUM,$A183)))</f>
        <v>30000000</v>
      </c>
      <c r="M183" s="15" t="str">
        <f aca="false">IF($A183="","",INDEX(c_Source,$A183)&amp;"")</f>
        <v>Meeting List + ILP Data</v>
      </c>
      <c r="N183" s="15" t="str">
        <f aca="false">IF($A183="","",INDEX(c_Notes,$A183)&amp;"")</f>
        <v/>
      </c>
    </row>
    <row r="184" customFormat="false" ht="15" hidden="false" customHeight="false" outlineLevel="0" collapsed="false">
      <c r="A184" s="32" t="n">
        <f aca="false">IFERROR(MATCH(ROW()-5,c_Seq,0),"")</f>
        <v>179</v>
      </c>
      <c r="B184" s="11" t="str">
        <f aca="false">IF($A184="","",INDEX(c_Name,$A184)&amp;"")</f>
        <v>Bryan Ng</v>
      </c>
      <c r="C184" s="11" t="str">
        <f aca="false">IF($A184="","",INDEX(c_Firm,$A184)&amp;"")</f>
        <v>Phillip Capital</v>
      </c>
      <c r="D184" s="11" t="str">
        <f aca="false">IF($A184="","",INDEX(c_Type,$A184)&amp;"")</f>
        <v>Branch Director</v>
      </c>
      <c r="E184" s="11" t="str">
        <f aca="false">IF($A184="","",INDEX(c_Email,$A184)&amp;"")</f>
        <v>northpoint@phillip.com.sg</v>
      </c>
      <c r="F184" s="34" t="str">
        <f aca="false">IF($A184="","",INDEX(c_Met,$A184)&amp;"")</f>
        <v>No</v>
      </c>
      <c r="G184" s="25" t="str">
        <f aca="false">IF($A184="","",IF(INDEX(c_Date,$A184)="","",INDEX(c_Date,$A184)))</f>
        <v/>
      </c>
      <c r="H184" s="33" t="str">
        <f aca="false">IF($A184="","",IF(INDEX(c_Days,$A184)="","",INDEX(c_Days,$A184)))</f>
        <v/>
      </c>
      <c r="I184" s="40" t="n">
        <f aca="false">IF($A184="","",IF(INDEX(c_Mtgs,$A184)="","",INDEX(c_Mtgs,$A184)))</f>
        <v>0</v>
      </c>
      <c r="J184" s="11" t="str">
        <f aca="false">IF($A184="","",INDEX(c_EvtNames,$A184)&amp;"")</f>
        <v/>
      </c>
      <c r="K184" s="34" t="str">
        <f aca="false">IF($A184="","",INDEX(c_Invested,$A184)&amp;"")</f>
        <v>No</v>
      </c>
      <c r="L184" s="12" t="str">
        <f aca="false">IF($A184="","",IF(INDEX(c_AUM,$A184)="","",INDEX(c_AUM,$A184)))</f>
        <v/>
      </c>
      <c r="M184" s="11" t="str">
        <f aca="false">IF($A184="","",INDEX(c_Source,$A184)&amp;"")</f>
        <v>Branch Directors</v>
      </c>
      <c r="N184" s="11" t="str">
        <f aca="false">IF($A184="","",INDEX(c_Notes,$A184)&amp;"")</f>
        <v>Branch: Boon Keng | https://www.linkedin.com/in/bryan-ng-wei-ming-46352a20b/; Branch: Northpoint City; Branch: Toa Payoh</v>
      </c>
    </row>
    <row r="185" customFormat="false" ht="15" hidden="false" customHeight="false" outlineLevel="0" collapsed="false">
      <c r="A185" s="32" t="n">
        <f aca="false">IFERROR(MATCH(ROW()-5,c_Seq,0),"")</f>
        <v>180</v>
      </c>
      <c r="B185" s="15" t="str">
        <f aca="false">IF($A185="","",INDEX(c_Name,$A185)&amp;"")</f>
        <v>Cheock Hon</v>
      </c>
      <c r="C185" s="15" t="str">
        <f aca="false">IF($A185="","",INDEX(c_Firm,$A185)&amp;"")</f>
        <v>Phillip Capital</v>
      </c>
      <c r="D185" s="15" t="str">
        <f aca="false">IF($A185="","",INDEX(c_Type,$A185)&amp;"")</f>
        <v>Adviser</v>
      </c>
      <c r="E185" s="15" t="str">
        <f aca="false">IF($A185="","",INDEX(c_Email,$A185)&amp;"")</f>
        <v>cheokhon@phillip.com.sg</v>
      </c>
      <c r="F185" s="36" t="str">
        <f aca="false">IF($A185="","",INDEX(c_Met,$A185)&amp;"")</f>
        <v>No</v>
      </c>
      <c r="G185" s="26" t="str">
        <f aca="false">IF($A185="","",IF(INDEX(c_Date,$A185)="","",INDEX(c_Date,$A185)))</f>
        <v/>
      </c>
      <c r="H185" s="35" t="str">
        <f aca="false">IF($A185="","",IF(INDEX(c_Days,$A185)="","",INDEX(c_Days,$A185)))</f>
        <v/>
      </c>
      <c r="I185" s="41" t="n">
        <f aca="false">IF($A185="","",IF(INDEX(c_Mtgs,$A185)="","",INDEX(c_Mtgs,$A185)))</f>
        <v>0</v>
      </c>
      <c r="J185" s="15" t="str">
        <f aca="false">IF($A185="","",INDEX(c_EvtNames,$A185)&amp;"")</f>
        <v>May-26 Symposium</v>
      </c>
      <c r="K185" s="36" t="str">
        <f aca="false">IF($A185="","",INDEX(c_Invested,$A185)&amp;"")</f>
        <v>No</v>
      </c>
      <c r="L185" s="16" t="str">
        <f aca="false">IF($A185="","",IF(INDEX(c_AUM,$A185)="","",INDEX(c_AUM,$A185)))</f>
        <v/>
      </c>
      <c r="M185" s="15" t="str">
        <f aca="false">IF($A185="","",INDEX(c_Source,$A185)&amp;"")</f>
        <v>Meeting List</v>
      </c>
      <c r="N185" s="15" t="str">
        <f aca="false">IF($A185="","",INDEX(c_Notes,$A185)&amp;"")</f>
        <v/>
      </c>
    </row>
    <row r="186" customFormat="false" ht="15" hidden="false" customHeight="false" outlineLevel="0" collapsed="false">
      <c r="A186" s="32" t="n">
        <f aca="false">IFERROR(MATCH(ROW()-5,c_Seq,0),"")</f>
        <v>181</v>
      </c>
      <c r="B186" s="11" t="str">
        <f aca="false">IF($A186="","",INDEX(c_Name,$A186)&amp;"")</f>
        <v>Crystal Tai Sye Chin</v>
      </c>
      <c r="C186" s="11" t="str">
        <f aca="false">IF($A186="","",INDEX(c_Firm,$A186)&amp;"")</f>
        <v>Phillip Capital</v>
      </c>
      <c r="D186" s="11" t="str">
        <f aca="false">IF($A186="","",INDEX(c_Type,$A186)&amp;"")</f>
        <v>Adviser</v>
      </c>
      <c r="E186" s="11" t="str">
        <f aca="false">IF($A186="","",INDEX(c_Email,$A186)&amp;"")</f>
        <v>crystalchints@phillip.com.sg</v>
      </c>
      <c r="F186" s="34" t="str">
        <f aca="false">IF($A186="","",INDEX(c_Met,$A186)&amp;"")</f>
        <v>No</v>
      </c>
      <c r="G186" s="25" t="str">
        <f aca="false">IF($A186="","",IF(INDEX(c_Date,$A186)="","",INDEX(c_Date,$A186)))</f>
        <v/>
      </c>
      <c r="H186" s="33" t="str">
        <f aca="false">IF($A186="","",IF(INDEX(c_Days,$A186)="","",INDEX(c_Days,$A186)))</f>
        <v/>
      </c>
      <c r="I186" s="40" t="n">
        <f aca="false">IF($A186="","",IF(INDEX(c_Mtgs,$A186)="","",INDEX(c_Mtgs,$A186)))</f>
        <v>0</v>
      </c>
      <c r="J186" s="11" t="str">
        <f aca="false">IF($A186="","",INDEX(c_EvtNames,$A186)&amp;"")</f>
        <v>May-26 Symposium</v>
      </c>
      <c r="K186" s="34" t="str">
        <f aca="false">IF($A186="","",INDEX(c_Invested,$A186)&amp;"")</f>
        <v>No</v>
      </c>
      <c r="L186" s="12" t="str">
        <f aca="false">IF($A186="","",IF(INDEX(c_AUM,$A186)="","",INDEX(c_AUM,$A186)))</f>
        <v/>
      </c>
      <c r="M186" s="11" t="str">
        <f aca="false">IF($A186="","",INDEX(c_Source,$A186)&amp;"")</f>
        <v>Meeting List</v>
      </c>
      <c r="N186" s="11" t="str">
        <f aca="false">IF($A186="","",INDEX(c_Notes,$A186)&amp;"")</f>
        <v/>
      </c>
    </row>
    <row r="187" customFormat="false" ht="15" hidden="false" customHeight="false" outlineLevel="0" collapsed="false">
      <c r="A187" s="32" t="n">
        <f aca="false">IFERROR(MATCH(ROW()-5,c_Seq,0),"")</f>
        <v>182</v>
      </c>
      <c r="B187" s="15" t="str">
        <f aca="false">IF($A187="","",INDEX(c_Name,$A187)&amp;"")</f>
        <v>Daniel Ong</v>
      </c>
      <c r="C187" s="15" t="str">
        <f aca="false">IF($A187="","",INDEX(c_Firm,$A187)&amp;"")</f>
        <v>Phillip Capital</v>
      </c>
      <c r="D187" s="15" t="str">
        <f aca="false">IF($A187="","",INDEX(c_Type,$A187)&amp;"")</f>
        <v>Branch Director</v>
      </c>
      <c r="E187" s="15" t="str">
        <f aca="false">IF($A187="","",INDEX(c_Email,$A187)&amp;"")</f>
        <v>danielongsq@phillip.com.sg</v>
      </c>
      <c r="F187" s="36" t="str">
        <f aca="false">IF($A187="","",INDEX(c_Met,$A187)&amp;"")</f>
        <v>No</v>
      </c>
      <c r="G187" s="26" t="str">
        <f aca="false">IF($A187="","",IF(INDEX(c_Date,$A187)="","",INDEX(c_Date,$A187)))</f>
        <v/>
      </c>
      <c r="H187" s="35" t="str">
        <f aca="false">IF($A187="","",IF(INDEX(c_Days,$A187)="","",INDEX(c_Days,$A187)))</f>
        <v/>
      </c>
      <c r="I187" s="41" t="n">
        <f aca="false">IF($A187="","",IF(INDEX(c_Mtgs,$A187)="","",INDEX(c_Mtgs,$A187)))</f>
        <v>0</v>
      </c>
      <c r="J187" s="15" t="str">
        <f aca="false">IF($A187="","",INDEX(c_EvtNames,$A187)&amp;"")</f>
        <v/>
      </c>
      <c r="K187" s="36" t="str">
        <f aca="false">IF($A187="","",INDEX(c_Invested,$A187)&amp;"")</f>
        <v>No</v>
      </c>
      <c r="L187" s="16" t="str">
        <f aca="false">IF($A187="","",IF(INDEX(c_AUM,$A187)="","",INDEX(c_AUM,$A187)))</f>
        <v/>
      </c>
      <c r="M187" s="15" t="str">
        <f aca="false">IF($A187="","",INDEX(c_Source,$A187)&amp;"")</f>
        <v>Branch Directors</v>
      </c>
      <c r="N187" s="15" t="str">
        <f aca="false">IF($A187="","",INDEX(c_Notes,$A187)&amp;"")</f>
        <v>Branch: Ang Mo Kio | Already in CRM | https://www.linkedin.com/in/danielong6598575445/; Branch: Marine Parade; Branch: Raffles Place</v>
      </c>
    </row>
    <row r="188" customFormat="false" ht="15" hidden="false" customHeight="false" outlineLevel="0" collapsed="false">
      <c r="A188" s="32" t="n">
        <f aca="false">IFERROR(MATCH(ROW()-5,c_Seq,0),"")</f>
        <v>183</v>
      </c>
      <c r="B188" s="11" t="str">
        <f aca="false">IF($A188="","",INDEX(c_Name,$A188)&amp;"")</f>
        <v>Darius Lee</v>
      </c>
      <c r="C188" s="11" t="str">
        <f aca="false">IF($A188="","",INDEX(c_Firm,$A188)&amp;"")</f>
        <v>Phillip Capital</v>
      </c>
      <c r="D188" s="11" t="str">
        <f aca="false">IF($A188="","",INDEX(c_Type,$A188)&amp;"")</f>
        <v>Adviser</v>
      </c>
      <c r="E188" s="11" t="str">
        <f aca="false">IF($A188="","",INDEX(c_Email,$A188)&amp;"")</f>
        <v>dariusleecx@phillip.com.sg</v>
      </c>
      <c r="F188" s="34" t="str">
        <f aca="false">IF($A188="","",INDEX(c_Met,$A188)&amp;"")</f>
        <v>Yes</v>
      </c>
      <c r="G188" s="25" t="n">
        <f aca="false">IF($A188="","",IF(INDEX(c_Date,$A188)="","",INDEX(c_Date,$A188)))</f>
        <v>45988</v>
      </c>
      <c r="H188" s="33" t="n">
        <f aca="false">IF($A188="","",IF(INDEX(c_Days,$A188)="","",INDEX(c_Days,$A188)))</f>
        <v>253</v>
      </c>
      <c r="I188" s="40" t="n">
        <f aca="false">IF($A188="","",IF(INDEX(c_Mtgs,$A188)="","",INDEX(c_Mtgs,$A188)))</f>
        <v>1</v>
      </c>
      <c r="J188" s="11" t="str">
        <f aca="false">IF($A188="","",INDEX(c_EvtNames,$A188)&amp;"")</f>
        <v/>
      </c>
      <c r="K188" s="34" t="str">
        <f aca="false">IF($A188="","",INDEX(c_Invested,$A188)&amp;"")</f>
        <v>No</v>
      </c>
      <c r="L188" s="12" t="str">
        <f aca="false">IF($A188="","",IF(INDEX(c_AUM,$A188)="","",INDEX(c_AUM,$A188)))</f>
        <v/>
      </c>
      <c r="M188" s="11" t="str">
        <f aca="false">IF($A188="","",INDEX(c_Source,$A188)&amp;"")</f>
        <v>Meeting List + ILP Data</v>
      </c>
      <c r="N188" s="11" t="str">
        <f aca="false">IF($A188="","",INDEX(c_Notes,$A188)&amp;"")</f>
        <v>ILP: Product</v>
      </c>
    </row>
    <row r="189" customFormat="false" ht="15" hidden="false" customHeight="false" outlineLevel="0" collapsed="false">
      <c r="A189" s="32" t="n">
        <f aca="false">IFERROR(MATCH(ROW()-5,c_Seq,0),"")</f>
        <v>184</v>
      </c>
      <c r="B189" s="15" t="str">
        <f aca="false">IF($A189="","",INDEX(c_Name,$A189)&amp;"")</f>
        <v>Daryl</v>
      </c>
      <c r="C189" s="15" t="str">
        <f aca="false">IF($A189="","",INDEX(c_Firm,$A189)&amp;"")</f>
        <v>Phillip Capital</v>
      </c>
      <c r="D189" s="15" t="str">
        <f aca="false">IF($A189="","",INDEX(c_Type,$A189)&amp;"")</f>
        <v>Adviser</v>
      </c>
      <c r="E189" s="15" t="str">
        <f aca="false">IF($A189="","",INDEX(c_Email,$A189)&amp;"")</f>
        <v/>
      </c>
      <c r="F189" s="36" t="str">
        <f aca="false">IF($A189="","",INDEX(c_Met,$A189)&amp;"")</f>
        <v>No</v>
      </c>
      <c r="G189" s="26" t="str">
        <f aca="false">IF($A189="","",IF(INDEX(c_Date,$A189)="","",INDEX(c_Date,$A189)))</f>
        <v/>
      </c>
      <c r="H189" s="35" t="str">
        <f aca="false">IF($A189="","",IF(INDEX(c_Days,$A189)="","",INDEX(c_Days,$A189)))</f>
        <v/>
      </c>
      <c r="I189" s="41" t="n">
        <f aca="false">IF($A189="","",IF(INDEX(c_Mtgs,$A189)="","",INDEX(c_Mtgs,$A189)))</f>
        <v>0</v>
      </c>
      <c r="J189" s="15" t="str">
        <f aca="false">IF($A189="","",INDEX(c_EvtNames,$A189)&amp;"")</f>
        <v/>
      </c>
      <c r="K189" s="36" t="str">
        <f aca="false">IF($A189="","",INDEX(c_Invested,$A189)&amp;"")</f>
        <v>No</v>
      </c>
      <c r="L189" s="16" t="str">
        <f aca="false">IF($A189="","",IF(INDEX(c_AUM,$A189)="","",INDEX(c_AUM,$A189)))</f>
        <v/>
      </c>
      <c r="M189" s="15" t="str">
        <f aca="false">IF($A189="","",INDEX(c_Source,$A189)&amp;"")</f>
        <v>ILP Data</v>
      </c>
      <c r="N189" s="15" t="str">
        <f aca="false">IF($A189="","",INDEX(c_Notes,$A189)&amp;"")</f>
        <v>ILP: Investment</v>
      </c>
    </row>
    <row r="190" customFormat="false" ht="15" hidden="false" customHeight="false" outlineLevel="0" collapsed="false">
      <c r="A190" s="32" t="n">
        <f aca="false">IFERROR(MATCH(ROW()-5,c_Seq,0),"")</f>
        <v>185</v>
      </c>
      <c r="B190" s="11" t="str">
        <f aca="false">IF($A190="","",INDEX(c_Name,$A190)&amp;"")</f>
        <v>Daryl Liew</v>
      </c>
      <c r="C190" s="11" t="str">
        <f aca="false">IF($A190="","",INDEX(c_Firm,$A190)&amp;"")</f>
        <v>Phillip Capital</v>
      </c>
      <c r="D190" s="11" t="str">
        <f aca="false">IF($A190="","",INDEX(c_Type,$A190)&amp;"")</f>
        <v>Adviser</v>
      </c>
      <c r="E190" s="11" t="str">
        <f aca="false">IF($A190="","",INDEX(c_Email,$A190)&amp;"")</f>
        <v>darylliewh@phillip.com.sg</v>
      </c>
      <c r="F190" s="34" t="str">
        <f aca="false">IF($A190="","",INDEX(c_Met,$A190)&amp;"")</f>
        <v>No</v>
      </c>
      <c r="G190" s="25" t="str">
        <f aca="false">IF($A190="","",IF(INDEX(c_Date,$A190)="","",INDEX(c_Date,$A190)))</f>
        <v/>
      </c>
      <c r="H190" s="33" t="str">
        <f aca="false">IF($A190="","",IF(INDEX(c_Days,$A190)="","",INDEX(c_Days,$A190)))</f>
        <v/>
      </c>
      <c r="I190" s="40" t="n">
        <f aca="false">IF($A190="","",IF(INDEX(c_Mtgs,$A190)="","",INDEX(c_Mtgs,$A190)))</f>
        <v>0</v>
      </c>
      <c r="J190" s="11" t="str">
        <f aca="false">IF($A190="","",INDEX(c_EvtNames,$A190)&amp;"")</f>
        <v/>
      </c>
      <c r="K190" s="34" t="str">
        <f aca="false">IF($A190="","",INDEX(c_Invested,$A190)&amp;"")</f>
        <v>No</v>
      </c>
      <c r="L190" s="12" t="str">
        <f aca="false">IF($A190="","",IF(INDEX(c_AUM,$A190)="","",INDEX(c_AUM,$A190)))</f>
        <v/>
      </c>
      <c r="M190" s="11" t="str">
        <f aca="false">IF($A190="","",INDEX(c_Source,$A190)&amp;"")</f>
        <v>Meeting List</v>
      </c>
      <c r="N190" s="11" t="str">
        <f aca="false">IF($A190="","",INDEX(c_Notes,$A190)&amp;"")</f>
        <v/>
      </c>
    </row>
    <row r="191" customFormat="false" ht="15" hidden="false" customHeight="false" outlineLevel="0" collapsed="false">
      <c r="A191" s="32" t="n">
        <f aca="false">IFERROR(MATCH(ROW()-5,c_Seq,0),"")</f>
        <v>186</v>
      </c>
      <c r="B191" s="15" t="str">
        <f aca="false">IF($A191="","",INDEX(c_Name,$A191)&amp;"")</f>
        <v>Daryl Yeo</v>
      </c>
      <c r="C191" s="15" t="str">
        <f aca="false">IF($A191="","",INDEX(c_Firm,$A191)&amp;"")</f>
        <v>Phillip Capital</v>
      </c>
      <c r="D191" s="15" t="str">
        <f aca="false">IF($A191="","",INDEX(c_Type,$A191)&amp;"")</f>
        <v>Adviser</v>
      </c>
      <c r="E191" s="15" t="str">
        <f aca="false">IF($A191="","",INDEX(c_Email,$A191)&amp;"")</f>
        <v>darylyeozj@phillip.com.sg</v>
      </c>
      <c r="F191" s="36" t="str">
        <f aca="false">IF($A191="","",INDEX(c_Met,$A191)&amp;"")</f>
        <v>No</v>
      </c>
      <c r="G191" s="26" t="str">
        <f aca="false">IF($A191="","",IF(INDEX(c_Date,$A191)="","",INDEX(c_Date,$A191)))</f>
        <v/>
      </c>
      <c r="H191" s="35" t="str">
        <f aca="false">IF($A191="","",IF(INDEX(c_Days,$A191)="","",INDEX(c_Days,$A191)))</f>
        <v/>
      </c>
      <c r="I191" s="41" t="n">
        <f aca="false">IF($A191="","",IF(INDEX(c_Mtgs,$A191)="","",INDEX(c_Mtgs,$A191)))</f>
        <v>0</v>
      </c>
      <c r="J191" s="15" t="str">
        <f aca="false">IF($A191="","",INDEX(c_EvtNames,$A191)&amp;"")</f>
        <v>May-26 Symposium</v>
      </c>
      <c r="K191" s="36" t="str">
        <f aca="false">IF($A191="","",INDEX(c_Invested,$A191)&amp;"")</f>
        <v>No</v>
      </c>
      <c r="L191" s="16" t="str">
        <f aca="false">IF($A191="","",IF(INDEX(c_AUM,$A191)="","",INDEX(c_AUM,$A191)))</f>
        <v/>
      </c>
      <c r="M191" s="15" t="str">
        <f aca="false">IF($A191="","",INDEX(c_Source,$A191)&amp;"")</f>
        <v>Meeting List</v>
      </c>
      <c r="N191" s="15" t="str">
        <f aca="false">IF($A191="","",INDEX(c_Notes,$A191)&amp;"")</f>
        <v/>
      </c>
    </row>
    <row r="192" customFormat="false" ht="15" hidden="false" customHeight="false" outlineLevel="0" collapsed="false">
      <c r="A192" s="32" t="n">
        <f aca="false">IFERROR(MATCH(ROW()-5,c_Seq,0),"")</f>
        <v>187</v>
      </c>
      <c r="B192" s="11" t="str">
        <f aca="false">IF($A192="","",INDEX(c_Name,$A192)&amp;"")</f>
        <v>Elvis Yeap</v>
      </c>
      <c r="C192" s="11" t="str">
        <f aca="false">IF($A192="","",INDEX(c_Firm,$A192)&amp;"")</f>
        <v>Phillip Capital</v>
      </c>
      <c r="D192" s="11" t="str">
        <f aca="false">IF($A192="","",INDEX(c_Type,$A192)&amp;"")</f>
        <v>Adviser</v>
      </c>
      <c r="E192" s="11" t="str">
        <f aca="false">IF($A192="","",INDEX(c_Email,$A192)&amp;"")</f>
        <v>elvisyeapkl@phillip.com.sg</v>
      </c>
      <c r="F192" s="34" t="str">
        <f aca="false">IF($A192="","",INDEX(c_Met,$A192)&amp;"")</f>
        <v>Yes</v>
      </c>
      <c r="G192" s="25" t="n">
        <f aca="false">IF($A192="","",IF(INDEX(c_Date,$A192)="","",INDEX(c_Date,$A192)))</f>
        <v>45988</v>
      </c>
      <c r="H192" s="33" t="n">
        <f aca="false">IF($A192="","",IF(INDEX(c_Days,$A192)="","",INDEX(c_Days,$A192)))</f>
        <v>253</v>
      </c>
      <c r="I192" s="40" t="n">
        <f aca="false">IF($A192="","",IF(INDEX(c_Mtgs,$A192)="","",INDEX(c_Mtgs,$A192)))</f>
        <v>1</v>
      </c>
      <c r="J192" s="11" t="str">
        <f aca="false">IF($A192="","",INDEX(c_EvtNames,$A192)&amp;"")</f>
        <v/>
      </c>
      <c r="K192" s="34" t="str">
        <f aca="false">IF($A192="","",INDEX(c_Invested,$A192)&amp;"")</f>
        <v>No</v>
      </c>
      <c r="L192" s="12" t="str">
        <f aca="false">IF($A192="","",IF(INDEX(c_AUM,$A192)="","",INDEX(c_AUM,$A192)))</f>
        <v/>
      </c>
      <c r="M192" s="11" t="str">
        <f aca="false">IF($A192="","",INDEX(c_Source,$A192)&amp;"")</f>
        <v>Meeting List + ILP Data</v>
      </c>
      <c r="N192" s="11" t="str">
        <f aca="false">IF($A192="","",INDEX(c_Notes,$A192)&amp;"")</f>
        <v>May-26: not available; ILP: Product</v>
      </c>
    </row>
    <row r="193" customFormat="false" ht="15" hidden="false" customHeight="false" outlineLevel="0" collapsed="false">
      <c r="A193" s="32" t="n">
        <f aca="false">IFERROR(MATCH(ROW()-5,c_Seq,0),"")</f>
        <v>188</v>
      </c>
      <c r="B193" s="15" t="str">
        <f aca="false">IF($A193="","",INDEX(c_Name,$A193)&amp;"")</f>
        <v>Gareth Sim See Hai</v>
      </c>
      <c r="C193" s="15" t="str">
        <f aca="false">IF($A193="","",INDEX(c_Firm,$A193)&amp;"")</f>
        <v>Phillip Capital</v>
      </c>
      <c r="D193" s="15" t="str">
        <f aca="false">IF($A193="","",INDEX(c_Type,$A193)&amp;"")</f>
        <v>Adviser</v>
      </c>
      <c r="E193" s="15" t="str">
        <f aca="false">IF($A193="","",INDEX(c_Email,$A193)&amp;"")</f>
        <v>garethsim@phillip.com.sg</v>
      </c>
      <c r="F193" s="36" t="str">
        <f aca="false">IF($A193="","",INDEX(c_Met,$A193)&amp;"")</f>
        <v>No</v>
      </c>
      <c r="G193" s="26" t="str">
        <f aca="false">IF($A193="","",IF(INDEX(c_Date,$A193)="","",INDEX(c_Date,$A193)))</f>
        <v/>
      </c>
      <c r="H193" s="35" t="str">
        <f aca="false">IF($A193="","",IF(INDEX(c_Days,$A193)="","",INDEX(c_Days,$A193)))</f>
        <v/>
      </c>
      <c r="I193" s="41" t="n">
        <f aca="false">IF($A193="","",IF(INDEX(c_Mtgs,$A193)="","",INDEX(c_Mtgs,$A193)))</f>
        <v>0</v>
      </c>
      <c r="J193" s="15" t="str">
        <f aca="false">IF($A193="","",INDEX(c_EvtNames,$A193)&amp;"")</f>
        <v>Oct-25 Symposium, May-26 Symposium</v>
      </c>
      <c r="K193" s="36" t="str">
        <f aca="false">IF($A193="","",INDEX(c_Invested,$A193)&amp;"")</f>
        <v>No</v>
      </c>
      <c r="L193" s="16" t="n">
        <f aca="false">IF($A193="","",IF(INDEX(c_AUM,$A193)="","",INDEX(c_AUM,$A193)))</f>
        <v>7000000</v>
      </c>
      <c r="M193" s="15" t="str">
        <f aca="false">IF($A193="","",INDEX(c_Source,$A193)&amp;"")</f>
        <v>Meeting List + ILP Data</v>
      </c>
      <c r="N193" s="15" t="str">
        <f aca="false">IF($A193="","",INDEX(c_Notes,$A193)&amp;"")</f>
        <v/>
      </c>
    </row>
    <row r="194" customFormat="false" ht="15" hidden="false" customHeight="false" outlineLevel="0" collapsed="false">
      <c r="A194" s="32" t="n">
        <f aca="false">IFERROR(MATCH(ROW()-5,c_Seq,0),"")</f>
        <v>189</v>
      </c>
      <c r="B194" s="11" t="str">
        <f aca="false">IF($A194="","",INDEX(c_Name,$A194)&amp;"")</f>
        <v>Isabelle Tee Ying Zi</v>
      </c>
      <c r="C194" s="11" t="str">
        <f aca="false">IF($A194="","",INDEX(c_Firm,$A194)&amp;"")</f>
        <v>Phillip Capital</v>
      </c>
      <c r="D194" s="11" t="str">
        <f aca="false">IF($A194="","",INDEX(c_Type,$A194)&amp;"")</f>
        <v>Adviser</v>
      </c>
      <c r="E194" s="11" t="str">
        <f aca="false">IF($A194="","",INDEX(c_Email,$A194)&amp;"")</f>
        <v>isabelleteeyz@phillip.com.sg</v>
      </c>
      <c r="F194" s="34" t="str">
        <f aca="false">IF($A194="","",INDEX(c_Met,$A194)&amp;"")</f>
        <v>No</v>
      </c>
      <c r="G194" s="25" t="str">
        <f aca="false">IF($A194="","",IF(INDEX(c_Date,$A194)="","",INDEX(c_Date,$A194)))</f>
        <v/>
      </c>
      <c r="H194" s="33" t="str">
        <f aca="false">IF($A194="","",IF(INDEX(c_Days,$A194)="","",INDEX(c_Days,$A194)))</f>
        <v/>
      </c>
      <c r="I194" s="40" t="n">
        <f aca="false">IF($A194="","",IF(INDEX(c_Mtgs,$A194)="","",INDEX(c_Mtgs,$A194)))</f>
        <v>0</v>
      </c>
      <c r="J194" s="11" t="str">
        <f aca="false">IF($A194="","",INDEX(c_EvtNames,$A194)&amp;"")</f>
        <v>May-26 Symposium</v>
      </c>
      <c r="K194" s="34" t="str">
        <f aca="false">IF($A194="","",INDEX(c_Invested,$A194)&amp;"")</f>
        <v>No</v>
      </c>
      <c r="L194" s="12" t="str">
        <f aca="false">IF($A194="","",IF(INDEX(c_AUM,$A194)="","",INDEX(c_AUM,$A194)))</f>
        <v/>
      </c>
      <c r="M194" s="11" t="str">
        <f aca="false">IF($A194="","",INDEX(c_Source,$A194)&amp;"")</f>
        <v>Meeting List</v>
      </c>
      <c r="N194" s="11" t="str">
        <f aca="false">IF($A194="","",INDEX(c_Notes,$A194)&amp;"")</f>
        <v/>
      </c>
    </row>
    <row r="195" customFormat="false" ht="15" hidden="false" customHeight="false" outlineLevel="0" collapsed="false">
      <c r="A195" s="32" t="n">
        <f aca="false">IFERROR(MATCH(ROW()-5,c_Seq,0),"")</f>
        <v>190</v>
      </c>
      <c r="B195" s="15" t="str">
        <f aca="false">IF($A195="","",INDEX(c_Name,$A195)&amp;"")</f>
        <v>Jackson Chua</v>
      </c>
      <c r="C195" s="15" t="str">
        <f aca="false">IF($A195="","",INDEX(c_Firm,$A195)&amp;"")</f>
        <v>Phillip Capital</v>
      </c>
      <c r="D195" s="15" t="str">
        <f aca="false">IF($A195="","",INDEX(c_Type,$A195)&amp;"")</f>
        <v>Branch Director</v>
      </c>
      <c r="E195" s="15" t="str">
        <f aca="false">IF($A195="","",INDEX(c_Email,$A195)&amp;"")</f>
        <v>jacksonchuacc@phillip.com.sg</v>
      </c>
      <c r="F195" s="36" t="str">
        <f aca="false">IF($A195="","",INDEX(c_Met,$A195)&amp;"")</f>
        <v>No</v>
      </c>
      <c r="G195" s="26" t="str">
        <f aca="false">IF($A195="","",IF(INDEX(c_Date,$A195)="","",INDEX(c_Date,$A195)))</f>
        <v/>
      </c>
      <c r="H195" s="35" t="str">
        <f aca="false">IF($A195="","",IF(INDEX(c_Days,$A195)="","",INDEX(c_Days,$A195)))</f>
        <v/>
      </c>
      <c r="I195" s="41" t="n">
        <f aca="false">IF($A195="","",IF(INDEX(c_Mtgs,$A195)="","",INDEX(c_Mtgs,$A195)))</f>
        <v>0</v>
      </c>
      <c r="J195" s="15" t="str">
        <f aca="false">IF($A195="","",INDEX(c_EvtNames,$A195)&amp;"")</f>
        <v/>
      </c>
      <c r="K195" s="36" t="str">
        <f aca="false">IF($A195="","",INDEX(c_Invested,$A195)&amp;"")</f>
        <v>No</v>
      </c>
      <c r="L195" s="16" t="str">
        <f aca="false">IF($A195="","",IF(INDEX(c_AUM,$A195)="","",INDEX(c_AUM,$A195)))</f>
        <v/>
      </c>
      <c r="M195" s="15" t="str">
        <f aca="false">IF($A195="","",INDEX(c_Source,$A195)&amp;"")</f>
        <v>Branch Directors</v>
      </c>
      <c r="N195" s="15" t="str">
        <f aca="false">IF($A195="","",INDEX(c_Notes,$A195)&amp;"")</f>
        <v>Branch: Rafﬂes City Tower | Already in CRM | https://www.linkedin.com/in/jackson-chua-0397504a/; Branch: Bukit Batok; Branch: Holland Drive</v>
      </c>
    </row>
    <row r="196" customFormat="false" ht="15" hidden="false" customHeight="false" outlineLevel="0" collapsed="false">
      <c r="A196" s="32" t="n">
        <f aca="false">IFERROR(MATCH(ROW()-5,c_Seq,0),"")</f>
        <v>191</v>
      </c>
      <c r="B196" s="11" t="str">
        <f aca="false">IF($A196="","",INDEX(c_Name,$A196)&amp;"")</f>
        <v>James Chow</v>
      </c>
      <c r="C196" s="11" t="str">
        <f aca="false">IF($A196="","",INDEX(c_Firm,$A196)&amp;"")</f>
        <v>Phillip Capital</v>
      </c>
      <c r="D196" s="11" t="str">
        <f aca="false">IF($A196="","",INDEX(c_Type,$A196)&amp;"")</f>
        <v>Adviser</v>
      </c>
      <c r="E196" s="11" t="str">
        <f aca="false">IF($A196="","",INDEX(c_Email,$A196)&amp;"")</f>
        <v>jameschow@phillip.com.sg</v>
      </c>
      <c r="F196" s="34" t="str">
        <f aca="false">IF($A196="","",INDEX(c_Met,$A196)&amp;"")</f>
        <v>Yes</v>
      </c>
      <c r="G196" s="25" t="n">
        <f aca="false">IF($A196="","",IF(INDEX(c_Date,$A196)="","",INDEX(c_Date,$A196)))</f>
        <v>45925</v>
      </c>
      <c r="H196" s="33" t="n">
        <f aca="false">IF($A196="","",IF(INDEX(c_Days,$A196)="","",INDEX(c_Days,$A196)))</f>
        <v>316</v>
      </c>
      <c r="I196" s="40" t="n">
        <f aca="false">IF($A196="","",IF(INDEX(c_Mtgs,$A196)="","",INDEX(c_Mtgs,$A196)))</f>
        <v>1</v>
      </c>
      <c r="J196" s="11" t="str">
        <f aca="false">IF($A196="","",INDEX(c_EvtNames,$A196)&amp;"")</f>
        <v>Oct-25 Symposium, May-26 Symposium</v>
      </c>
      <c r="K196" s="34" t="str">
        <f aca="false">IF($A196="","",INDEX(c_Invested,$A196)&amp;"")</f>
        <v>No</v>
      </c>
      <c r="L196" s="12" t="n">
        <f aca="false">IF($A196="","",IF(INDEX(c_AUM,$A196)="","",INDEX(c_AUM,$A196)))</f>
        <v>10000000</v>
      </c>
      <c r="M196" s="11" t="str">
        <f aca="false">IF($A196="","",INDEX(c_Source,$A196)&amp;"")</f>
        <v>Meeting List + ILP Data</v>
      </c>
      <c r="N196" s="11" t="str">
        <f aca="false">IF($A196="","",INDEX(c_Notes,$A196)&amp;"")</f>
        <v/>
      </c>
    </row>
    <row r="197" customFormat="false" ht="15" hidden="false" customHeight="false" outlineLevel="0" collapsed="false">
      <c r="A197" s="32" t="n">
        <f aca="false">IFERROR(MATCH(ROW()-5,c_Seq,0),"")</f>
        <v>192</v>
      </c>
      <c r="B197" s="15" t="str">
        <f aca="false">IF($A197="","",INDEX(c_Name,$A197)&amp;"")</f>
        <v>Joseph Han</v>
      </c>
      <c r="C197" s="15" t="str">
        <f aca="false">IF($A197="","",INDEX(c_Firm,$A197)&amp;"")</f>
        <v>Phillip Capital</v>
      </c>
      <c r="D197" s="15" t="str">
        <f aca="false">IF($A197="","",INDEX(c_Type,$A197)&amp;"")</f>
        <v>Adviser</v>
      </c>
      <c r="E197" s="15" t="str">
        <f aca="false">IF($A197="","",INDEX(c_Email,$A197)&amp;"")</f>
        <v>josephhanpc@phillip.com.sg</v>
      </c>
      <c r="F197" s="36" t="str">
        <f aca="false">IF($A197="","",INDEX(c_Met,$A197)&amp;"")</f>
        <v>Yes</v>
      </c>
      <c r="G197" s="26" t="n">
        <f aca="false">IF($A197="","",IF(INDEX(c_Date,$A197)="","",INDEX(c_Date,$A197)))</f>
        <v>45925</v>
      </c>
      <c r="H197" s="35" t="n">
        <f aca="false">IF($A197="","",IF(INDEX(c_Days,$A197)="","",INDEX(c_Days,$A197)))</f>
        <v>316</v>
      </c>
      <c r="I197" s="41" t="n">
        <f aca="false">IF($A197="","",IF(INDEX(c_Mtgs,$A197)="","",INDEX(c_Mtgs,$A197)))</f>
        <v>1</v>
      </c>
      <c r="J197" s="15" t="str">
        <f aca="false">IF($A197="","",INDEX(c_EvtNames,$A197)&amp;"")</f>
        <v/>
      </c>
      <c r="K197" s="36" t="str">
        <f aca="false">IF($A197="","",INDEX(c_Invested,$A197)&amp;"")</f>
        <v>No</v>
      </c>
      <c r="L197" s="16" t="n">
        <f aca="false">IF($A197="","",IF(INDEX(c_AUM,$A197)="","",INDEX(c_AUM,$A197)))</f>
        <v>50000000</v>
      </c>
      <c r="M197" s="15" t="str">
        <f aca="false">IF($A197="","",INDEX(c_Source,$A197)&amp;"")</f>
        <v>Meeting List + ILP Data</v>
      </c>
      <c r="N197" s="15" t="str">
        <f aca="false">IF($A197="","",INDEX(c_Notes,$A197)&amp;"")</f>
        <v/>
      </c>
    </row>
    <row r="198" customFormat="false" ht="15" hidden="false" customHeight="false" outlineLevel="0" collapsed="false">
      <c r="A198" s="32" t="n">
        <f aca="false">IFERROR(MATCH(ROW()-5,c_Seq,0),"")</f>
        <v>193</v>
      </c>
      <c r="B198" s="11" t="str">
        <f aca="false">IF($A198="","",INDEX(c_Name,$A198)&amp;"")</f>
        <v>Kelvin Wang</v>
      </c>
      <c r="C198" s="11" t="str">
        <f aca="false">IF($A198="","",INDEX(c_Firm,$A198)&amp;"")</f>
        <v>Phillip Capital</v>
      </c>
      <c r="D198" s="11" t="str">
        <f aca="false">IF($A198="","",INDEX(c_Type,$A198)&amp;"")</f>
        <v>Adviser</v>
      </c>
      <c r="E198" s="11" t="str">
        <f aca="false">IF($A198="","",INDEX(c_Email,$A198)&amp;"")</f>
        <v/>
      </c>
      <c r="F198" s="34" t="str">
        <f aca="false">IF($A198="","",INDEX(c_Met,$A198)&amp;"")</f>
        <v>No</v>
      </c>
      <c r="G198" s="25" t="str">
        <f aca="false">IF($A198="","",IF(INDEX(c_Date,$A198)="","",INDEX(c_Date,$A198)))</f>
        <v/>
      </c>
      <c r="H198" s="33" t="str">
        <f aca="false">IF($A198="","",IF(INDEX(c_Days,$A198)="","",INDEX(c_Days,$A198)))</f>
        <v/>
      </c>
      <c r="I198" s="40" t="n">
        <f aca="false">IF($A198="","",IF(INDEX(c_Mtgs,$A198)="","",INDEX(c_Mtgs,$A198)))</f>
        <v>0</v>
      </c>
      <c r="J198" s="11" t="str">
        <f aca="false">IF($A198="","",INDEX(c_EvtNames,$A198)&amp;"")</f>
        <v/>
      </c>
      <c r="K198" s="34" t="str">
        <f aca="false">IF($A198="","",INDEX(c_Invested,$A198)&amp;"")</f>
        <v>No</v>
      </c>
      <c r="L198" s="12" t="str">
        <f aca="false">IF($A198="","",IF(INDEX(c_AUM,$A198)="","",INDEX(c_AUM,$A198)))</f>
        <v/>
      </c>
      <c r="M198" s="11" t="str">
        <f aca="false">IF($A198="","",INDEX(c_Source,$A198)&amp;"")</f>
        <v>Meeting List</v>
      </c>
      <c r="N198" s="11" t="str">
        <f aca="false">IF($A198="","",INDEX(c_Notes,$A198)&amp;"")</f>
        <v/>
      </c>
    </row>
    <row r="199" customFormat="false" ht="15" hidden="false" customHeight="false" outlineLevel="0" collapsed="false">
      <c r="A199" s="32" t="n">
        <f aca="false">IFERROR(MATCH(ROW()-5,c_Seq,0),"")</f>
        <v>194</v>
      </c>
      <c r="B199" s="15" t="str">
        <f aca="false">IF($A199="","",INDEX(c_Name,$A199)&amp;"")</f>
        <v>Kieren Pereira</v>
      </c>
      <c r="C199" s="15" t="str">
        <f aca="false">IF($A199="","",INDEX(c_Firm,$A199)&amp;"")</f>
        <v>Phillip Capital</v>
      </c>
      <c r="D199" s="15" t="str">
        <f aca="false">IF($A199="","",INDEX(c_Type,$A199)&amp;"")</f>
        <v>Branch Director</v>
      </c>
      <c r="E199" s="15" t="str">
        <f aca="false">IF($A199="","",INDEX(c_Email,$A199)&amp;"")</f>
        <v>kierendp@phillip.com.sg</v>
      </c>
      <c r="F199" s="36" t="str">
        <f aca="false">IF($A199="","",INDEX(c_Met,$A199)&amp;"")</f>
        <v>No</v>
      </c>
      <c r="G199" s="26" t="str">
        <f aca="false">IF($A199="","",IF(INDEX(c_Date,$A199)="","",INDEX(c_Date,$A199)))</f>
        <v/>
      </c>
      <c r="H199" s="35" t="str">
        <f aca="false">IF($A199="","",IF(INDEX(c_Days,$A199)="","",INDEX(c_Days,$A199)))</f>
        <v/>
      </c>
      <c r="I199" s="41" t="n">
        <f aca="false">IF($A199="","",IF(INDEX(c_Mtgs,$A199)="","",INDEX(c_Mtgs,$A199)))</f>
        <v>0</v>
      </c>
      <c r="J199" s="15" t="str">
        <f aca="false">IF($A199="","",INDEX(c_EvtNames,$A199)&amp;"")</f>
        <v/>
      </c>
      <c r="K199" s="36" t="str">
        <f aca="false">IF($A199="","",INDEX(c_Invested,$A199)&amp;"")</f>
        <v>No</v>
      </c>
      <c r="L199" s="16" t="str">
        <f aca="false">IF($A199="","",IF(INDEX(c_AUM,$A199)="","",INDEX(c_AUM,$A199)))</f>
        <v/>
      </c>
      <c r="M199" s="15" t="str">
        <f aca="false">IF($A199="","",INDEX(c_Source,$A199)&amp;"")</f>
        <v>Branch Directors</v>
      </c>
      <c r="N199" s="15" t="str">
        <f aca="false">IF($A199="","",INDEX(c_Notes,$A199)&amp;"")</f>
        <v>Branch: Bukit Timah | Already in CRM | https://www.linkedin.com/in/kieren-pereira-267b2469/</v>
      </c>
    </row>
    <row r="200" customFormat="false" ht="15" hidden="false" customHeight="false" outlineLevel="0" collapsed="false">
      <c r="A200" s="32" t="n">
        <f aca="false">IFERROR(MATCH(ROW()-5,c_Seq,0),"")</f>
        <v>195</v>
      </c>
      <c r="B200" s="11" t="str">
        <f aca="false">IF($A200="","",INDEX(c_Name,$A200)&amp;"")</f>
        <v>Nicholas Keek</v>
      </c>
      <c r="C200" s="11" t="str">
        <f aca="false">IF($A200="","",INDEX(c_Firm,$A200)&amp;"")</f>
        <v>Phillip Capital</v>
      </c>
      <c r="D200" s="11" t="str">
        <f aca="false">IF($A200="","",INDEX(c_Type,$A200)&amp;"")</f>
        <v>Adviser</v>
      </c>
      <c r="E200" s="11" t="str">
        <f aca="false">IF($A200="","",INDEX(c_Email,$A200)&amp;"")</f>
        <v>nicholaskeekw@phillip.com.sg</v>
      </c>
      <c r="F200" s="34" t="str">
        <f aca="false">IF($A200="","",INDEX(c_Met,$A200)&amp;"")</f>
        <v>Yes</v>
      </c>
      <c r="G200" s="25" t="n">
        <f aca="false">IF($A200="","",IF(INDEX(c_Date,$A200)="","",INDEX(c_Date,$A200)))</f>
        <v>46045</v>
      </c>
      <c r="H200" s="33" t="n">
        <f aca="false">IF($A200="","",IF(INDEX(c_Days,$A200)="","",INDEX(c_Days,$A200)))</f>
        <v>196</v>
      </c>
      <c r="I200" s="40" t="n">
        <f aca="false">IF($A200="","",IF(INDEX(c_Mtgs,$A200)="","",INDEX(c_Mtgs,$A200)))</f>
        <v>1</v>
      </c>
      <c r="J200" s="11" t="str">
        <f aca="false">IF($A200="","",INDEX(c_EvtNames,$A200)&amp;"")</f>
        <v/>
      </c>
      <c r="K200" s="34" t="str">
        <f aca="false">IF($A200="","",INDEX(c_Invested,$A200)&amp;"")</f>
        <v>No</v>
      </c>
      <c r="L200" s="12" t="str">
        <f aca="false">IF($A200="","",IF(INDEX(c_AUM,$A200)="","",INDEX(c_AUM,$A200)))</f>
        <v/>
      </c>
      <c r="M200" s="11" t="str">
        <f aca="false">IF($A200="","",INDEX(c_Source,$A200)&amp;"")</f>
        <v>Meeting List + ILP Data</v>
      </c>
      <c r="N200" s="11" t="str">
        <f aca="false">IF($A200="","",INDEX(c_Notes,$A200)&amp;"")</f>
        <v>May-26: not available; Overseas; ILP: Investment</v>
      </c>
    </row>
    <row r="201" customFormat="false" ht="15" hidden="false" customHeight="false" outlineLevel="0" collapsed="false">
      <c r="A201" s="32" t="n">
        <f aca="false">IFERROR(MATCH(ROW()-5,c_Seq,0),"")</f>
        <v>196</v>
      </c>
      <c r="B201" s="15" t="str">
        <f aca="false">IF($A201="","",INDEX(c_Name,$A201)&amp;"")</f>
        <v>Sophia tan</v>
      </c>
      <c r="C201" s="15" t="str">
        <f aca="false">IF($A201="","",INDEX(c_Firm,$A201)&amp;"")</f>
        <v>Phillip Capital</v>
      </c>
      <c r="D201" s="15" t="str">
        <f aca="false">IF($A201="","",INDEX(c_Type,$A201)&amp;"")</f>
        <v>Adviser</v>
      </c>
      <c r="E201" s="15" t="str">
        <f aca="false">IF($A201="","",INDEX(c_Email,$A201)&amp;"")</f>
        <v>sophiatan@phillip.com.sg</v>
      </c>
      <c r="F201" s="36" t="str">
        <f aca="false">IF($A201="","",INDEX(c_Met,$A201)&amp;"")</f>
        <v>No</v>
      </c>
      <c r="G201" s="26" t="str">
        <f aca="false">IF($A201="","",IF(INDEX(c_Date,$A201)="","",INDEX(c_Date,$A201)))</f>
        <v/>
      </c>
      <c r="H201" s="35" t="str">
        <f aca="false">IF($A201="","",IF(INDEX(c_Days,$A201)="","",INDEX(c_Days,$A201)))</f>
        <v/>
      </c>
      <c r="I201" s="41" t="n">
        <f aca="false">IF($A201="","",IF(INDEX(c_Mtgs,$A201)="","",INDEX(c_Mtgs,$A201)))</f>
        <v>0</v>
      </c>
      <c r="J201" s="15" t="str">
        <f aca="false">IF($A201="","",INDEX(c_EvtNames,$A201)&amp;"")</f>
        <v>May-26 Symposium</v>
      </c>
      <c r="K201" s="36" t="str">
        <f aca="false">IF($A201="","",INDEX(c_Invested,$A201)&amp;"")</f>
        <v>No</v>
      </c>
      <c r="L201" s="16" t="str">
        <f aca="false">IF($A201="","",IF(INDEX(c_AUM,$A201)="","",INDEX(c_AUM,$A201)))</f>
        <v/>
      </c>
      <c r="M201" s="15" t="str">
        <f aca="false">IF($A201="","",INDEX(c_Source,$A201)&amp;"")</f>
        <v>Meeting List</v>
      </c>
      <c r="N201" s="15" t="str">
        <f aca="false">IF($A201="","",INDEX(c_Notes,$A201)&amp;"")</f>
        <v/>
      </c>
    </row>
    <row r="202" customFormat="false" ht="15" hidden="false" customHeight="false" outlineLevel="0" collapsed="false">
      <c r="A202" s="32" t="n">
        <f aca="false">IFERROR(MATCH(ROW()-5,c_Seq,0),"")</f>
        <v>197</v>
      </c>
      <c r="B202" s="11" t="str">
        <f aca="false">IF($A202="","",INDEX(c_Name,$A202)&amp;"")</f>
        <v>Tan Tian Siang</v>
      </c>
      <c r="C202" s="11" t="str">
        <f aca="false">IF($A202="","",INDEX(c_Firm,$A202)&amp;"")</f>
        <v>Phillip Capital</v>
      </c>
      <c r="D202" s="11" t="str">
        <f aca="false">IF($A202="","",INDEX(c_Type,$A202)&amp;"")</f>
        <v>Adviser</v>
      </c>
      <c r="E202" s="11" t="str">
        <f aca="false">IF($A202="","",INDEX(c_Email,$A202)&amp;"")</f>
        <v/>
      </c>
      <c r="F202" s="34" t="str">
        <f aca="false">IF($A202="","",INDEX(c_Met,$A202)&amp;"")</f>
        <v>No</v>
      </c>
      <c r="G202" s="25" t="str">
        <f aca="false">IF($A202="","",IF(INDEX(c_Date,$A202)="","",INDEX(c_Date,$A202)))</f>
        <v/>
      </c>
      <c r="H202" s="33" t="str">
        <f aca="false">IF($A202="","",IF(INDEX(c_Days,$A202)="","",INDEX(c_Days,$A202)))</f>
        <v/>
      </c>
      <c r="I202" s="40" t="n">
        <f aca="false">IF($A202="","",IF(INDEX(c_Mtgs,$A202)="","",INDEX(c_Mtgs,$A202)))</f>
        <v>0</v>
      </c>
      <c r="J202" s="11" t="str">
        <f aca="false">IF($A202="","",INDEX(c_EvtNames,$A202)&amp;"")</f>
        <v/>
      </c>
      <c r="K202" s="34" t="str">
        <f aca="false">IF($A202="","",INDEX(c_Invested,$A202)&amp;"")</f>
        <v>No</v>
      </c>
      <c r="L202" s="12" t="n">
        <f aca="false">IF($A202="","",IF(INDEX(c_AUM,$A202)="","",INDEX(c_AUM,$A202)))</f>
        <v>5000000</v>
      </c>
      <c r="M202" s="11" t="str">
        <f aca="false">IF($A202="","",INDEX(c_Source,$A202)&amp;"")</f>
        <v>Meeting List + ILP Data</v>
      </c>
      <c r="N202" s="11" t="str">
        <f aca="false">IF($A202="","",INDEX(c_Notes,$A202)&amp;"")</f>
        <v>May-26: not available</v>
      </c>
    </row>
    <row r="203" customFormat="false" ht="15" hidden="false" customHeight="false" outlineLevel="0" collapsed="false">
      <c r="A203" s="32" t="n">
        <f aca="false">IFERROR(MATCH(ROW()-5,c_Seq,0),"")</f>
        <v>198</v>
      </c>
      <c r="B203" s="15" t="str">
        <f aca="false">IF($A203="","",INDEX(c_Name,$A203)&amp;"")</f>
        <v>Aaron Tan</v>
      </c>
      <c r="C203" s="15" t="str">
        <f aca="false">IF($A203="","",INDEX(c_Firm,$A203)&amp;"")</f>
        <v>PIAS</v>
      </c>
      <c r="D203" s="15" t="str">
        <f aca="false">IF($A203="","",INDEX(c_Type,$A203)&amp;"")</f>
        <v>Branch Director</v>
      </c>
      <c r="E203" s="15" t="str">
        <f aca="false">IF($A203="","",INDEX(c_Email,$A203)&amp;"")</f>
        <v/>
      </c>
      <c r="F203" s="36" t="str">
        <f aca="false">IF($A203="","",INDEX(c_Met,$A203)&amp;"")</f>
        <v>No</v>
      </c>
      <c r="G203" s="26" t="str">
        <f aca="false">IF($A203="","",IF(INDEX(c_Date,$A203)="","",INDEX(c_Date,$A203)))</f>
        <v/>
      </c>
      <c r="H203" s="35" t="str">
        <f aca="false">IF($A203="","",IF(INDEX(c_Days,$A203)="","",INDEX(c_Days,$A203)))</f>
        <v/>
      </c>
      <c r="I203" s="41" t="n">
        <f aca="false">IF($A203="","",IF(INDEX(c_Mtgs,$A203)="","",INDEX(c_Mtgs,$A203)))</f>
        <v>0</v>
      </c>
      <c r="J203" s="15" t="str">
        <f aca="false">IF($A203="","",INDEX(c_EvtNames,$A203)&amp;"")</f>
        <v/>
      </c>
      <c r="K203" s="36" t="str">
        <f aca="false">IF($A203="","",INDEX(c_Invested,$A203)&amp;"")</f>
        <v>No</v>
      </c>
      <c r="L203" s="16" t="str">
        <f aca="false">IF($A203="","",IF(INDEX(c_AUM,$A203)="","",INDEX(c_AUM,$A203)))</f>
        <v/>
      </c>
      <c r="M203" s="15" t="str">
        <f aca="false">IF($A203="","",INDEX(c_Source,$A203)&amp;"")</f>
        <v>Branch Directors</v>
      </c>
      <c r="N203" s="15" t="str">
        <f aca="false">IF($A203="","",INDEX(c_Notes,$A203)&amp;"")</f>
        <v>Branch: APEX Elevation Partners | 7th July Presentation</v>
      </c>
    </row>
    <row r="204" customFormat="false" ht="15" hidden="false" customHeight="false" outlineLevel="0" collapsed="false">
      <c r="A204" s="32" t="n">
        <f aca="false">IFERROR(MATCH(ROW()-5,c_Seq,0),"")</f>
        <v>199</v>
      </c>
      <c r="B204" s="11" t="str">
        <f aca="false">IF($A204="","",INDEX(c_Name,$A204)&amp;"")</f>
        <v>Alan Ang</v>
      </c>
      <c r="C204" s="11" t="str">
        <f aca="false">IF($A204="","",INDEX(c_Firm,$A204)&amp;"")</f>
        <v>PIAS</v>
      </c>
      <c r="D204" s="11" t="str">
        <f aca="false">IF($A204="","",INDEX(c_Type,$A204)&amp;"")</f>
        <v>Adviser</v>
      </c>
      <c r="E204" s="11" t="str">
        <f aca="false">IF($A204="","",INDEX(c_Email,$A204)&amp;"")</f>
        <v>alan.ang@proinvest.com.sg</v>
      </c>
      <c r="F204" s="34" t="str">
        <f aca="false">IF($A204="","",INDEX(c_Met,$A204)&amp;"")</f>
        <v>No</v>
      </c>
      <c r="G204" s="25" t="str">
        <f aca="false">IF($A204="","",IF(INDEX(c_Date,$A204)="","",INDEX(c_Date,$A204)))</f>
        <v/>
      </c>
      <c r="H204" s="33" t="str">
        <f aca="false">IF($A204="","",IF(INDEX(c_Days,$A204)="","",INDEX(c_Days,$A204)))</f>
        <v/>
      </c>
      <c r="I204" s="40" t="n">
        <f aca="false">IF($A204="","",IF(INDEX(c_Mtgs,$A204)="","",INDEX(c_Mtgs,$A204)))</f>
        <v>0</v>
      </c>
      <c r="J204" s="11" t="str">
        <f aca="false">IF($A204="","",INDEX(c_EvtNames,$A204)&amp;"")</f>
        <v/>
      </c>
      <c r="K204" s="34" t="str">
        <f aca="false">IF($A204="","",INDEX(c_Invested,$A204)&amp;"")</f>
        <v>No</v>
      </c>
      <c r="L204" s="12" t="str">
        <f aca="false">IF($A204="","",IF(INDEX(c_AUM,$A204)="","",INDEX(c_AUM,$A204)))</f>
        <v/>
      </c>
      <c r="M204" s="11" t="str">
        <f aca="false">IF($A204="","",INDEX(c_Source,$A204)&amp;"")</f>
        <v>Mass Email PIAS</v>
      </c>
      <c r="N204" s="11" t="str">
        <f aca="false">IF($A204="","",INDEX(c_Notes,$A204)&amp;"")</f>
        <v/>
      </c>
    </row>
    <row r="205" customFormat="false" ht="15" hidden="false" customHeight="false" outlineLevel="0" collapsed="false">
      <c r="A205" s="32" t="n">
        <f aca="false">IFERROR(MATCH(ROW()-5,c_Seq,0),"")</f>
        <v>200</v>
      </c>
      <c r="B205" s="15" t="str">
        <f aca="false">IF($A205="","",INDEX(c_Name,$A205)&amp;"")</f>
        <v>Alvin Soong</v>
      </c>
      <c r="C205" s="15" t="str">
        <f aca="false">IF($A205="","",INDEX(c_Firm,$A205)&amp;"")</f>
        <v>PIAS</v>
      </c>
      <c r="D205" s="15" t="str">
        <f aca="false">IF($A205="","",INDEX(c_Type,$A205)&amp;"")</f>
        <v>Adviser</v>
      </c>
      <c r="E205" s="15" t="str">
        <f aca="false">IF($A205="","",INDEX(c_Email,$A205)&amp;"")</f>
        <v>alvin.soong@proinvest.com.sg</v>
      </c>
      <c r="F205" s="36" t="str">
        <f aca="false">IF($A205="","",INDEX(c_Met,$A205)&amp;"")</f>
        <v>No</v>
      </c>
      <c r="G205" s="26" t="str">
        <f aca="false">IF($A205="","",IF(INDEX(c_Date,$A205)="","",INDEX(c_Date,$A205)))</f>
        <v/>
      </c>
      <c r="H205" s="35" t="str">
        <f aca="false">IF($A205="","",IF(INDEX(c_Days,$A205)="","",INDEX(c_Days,$A205)))</f>
        <v/>
      </c>
      <c r="I205" s="41" t="n">
        <f aca="false">IF($A205="","",IF(INDEX(c_Mtgs,$A205)="","",INDEX(c_Mtgs,$A205)))</f>
        <v>0</v>
      </c>
      <c r="J205" s="15" t="str">
        <f aca="false">IF($A205="","",INDEX(c_EvtNames,$A205)&amp;"")</f>
        <v/>
      </c>
      <c r="K205" s="36" t="str">
        <f aca="false">IF($A205="","",INDEX(c_Invested,$A205)&amp;"")</f>
        <v>No</v>
      </c>
      <c r="L205" s="16" t="str">
        <f aca="false">IF($A205="","",IF(INDEX(c_AUM,$A205)="","",INDEX(c_AUM,$A205)))</f>
        <v/>
      </c>
      <c r="M205" s="15" t="str">
        <f aca="false">IF($A205="","",INDEX(c_Source,$A205)&amp;"")</f>
        <v>Mass Email PIAS</v>
      </c>
      <c r="N205" s="15" t="str">
        <f aca="false">IF($A205="","",INDEX(c_Notes,$A205)&amp;"")</f>
        <v/>
      </c>
    </row>
    <row r="206" customFormat="false" ht="15" hidden="false" customHeight="false" outlineLevel="0" collapsed="false">
      <c r="A206" s="32" t="n">
        <f aca="false">IFERROR(MATCH(ROW()-5,c_Seq,0),"")</f>
        <v>201</v>
      </c>
      <c r="B206" s="11" t="str">
        <f aca="false">IF($A206="","",INDEX(c_Name,$A206)&amp;"")</f>
        <v>Andre Chew</v>
      </c>
      <c r="C206" s="11" t="str">
        <f aca="false">IF($A206="","",INDEX(c_Firm,$A206)&amp;"")</f>
        <v>PIAS</v>
      </c>
      <c r="D206" s="11" t="str">
        <f aca="false">IF($A206="","",INDEX(c_Type,$A206)&amp;"")</f>
        <v>Adviser</v>
      </c>
      <c r="E206" s="11" t="str">
        <f aca="false">IF($A206="","",INDEX(c_Email,$A206)&amp;"")</f>
        <v>andre.chew@proinvest.com.sg</v>
      </c>
      <c r="F206" s="34" t="str">
        <f aca="false">IF($A206="","",INDEX(c_Met,$A206)&amp;"")</f>
        <v>No</v>
      </c>
      <c r="G206" s="25" t="str">
        <f aca="false">IF($A206="","",IF(INDEX(c_Date,$A206)="","",INDEX(c_Date,$A206)))</f>
        <v/>
      </c>
      <c r="H206" s="33" t="str">
        <f aca="false">IF($A206="","",IF(INDEX(c_Days,$A206)="","",INDEX(c_Days,$A206)))</f>
        <v/>
      </c>
      <c r="I206" s="40" t="n">
        <f aca="false">IF($A206="","",IF(INDEX(c_Mtgs,$A206)="","",INDEX(c_Mtgs,$A206)))</f>
        <v>0</v>
      </c>
      <c r="J206" s="11" t="str">
        <f aca="false">IF($A206="","",INDEX(c_EvtNames,$A206)&amp;"")</f>
        <v/>
      </c>
      <c r="K206" s="34" t="str">
        <f aca="false">IF($A206="","",INDEX(c_Invested,$A206)&amp;"")</f>
        <v>No</v>
      </c>
      <c r="L206" s="12" t="str">
        <f aca="false">IF($A206="","",IF(INDEX(c_AUM,$A206)="","",INDEX(c_AUM,$A206)))</f>
        <v/>
      </c>
      <c r="M206" s="11" t="str">
        <f aca="false">IF($A206="","",INDEX(c_Source,$A206)&amp;"")</f>
        <v>Mass Email PIAS</v>
      </c>
      <c r="N206" s="11" t="str">
        <f aca="false">IF($A206="","",INDEX(c_Notes,$A206)&amp;"")</f>
        <v/>
      </c>
    </row>
    <row r="207" customFormat="false" ht="15" hidden="false" customHeight="false" outlineLevel="0" collapsed="false">
      <c r="A207" s="32" t="n">
        <f aca="false">IFERROR(MATCH(ROW()-5,c_Seq,0),"")</f>
        <v>202</v>
      </c>
      <c r="B207" s="15" t="str">
        <f aca="false">IF($A207="","",INDEX(c_Name,$A207)&amp;"")</f>
        <v>Annabel Tan Yan Yin</v>
      </c>
      <c r="C207" s="15" t="str">
        <f aca="false">IF($A207="","",INDEX(c_Firm,$A207)&amp;"")</f>
        <v>PIAS</v>
      </c>
      <c r="D207" s="15" t="str">
        <f aca="false">IF($A207="","",INDEX(c_Type,$A207)&amp;"")</f>
        <v>Branch Director</v>
      </c>
      <c r="E207" s="15" t="str">
        <f aca="false">IF($A207="","",INDEX(c_Email,$A207)&amp;"")</f>
        <v/>
      </c>
      <c r="F207" s="36" t="str">
        <f aca="false">IF($A207="","",INDEX(c_Met,$A207)&amp;"")</f>
        <v>No</v>
      </c>
      <c r="G207" s="26" t="str">
        <f aca="false">IF($A207="","",IF(INDEX(c_Date,$A207)="","",INDEX(c_Date,$A207)))</f>
        <v/>
      </c>
      <c r="H207" s="35" t="str">
        <f aca="false">IF($A207="","",IF(INDEX(c_Days,$A207)="","",INDEX(c_Days,$A207)))</f>
        <v/>
      </c>
      <c r="I207" s="41" t="n">
        <f aca="false">IF($A207="","",IF(INDEX(c_Mtgs,$A207)="","",INDEX(c_Mtgs,$A207)))</f>
        <v>0</v>
      </c>
      <c r="J207" s="15" t="str">
        <f aca="false">IF($A207="","",INDEX(c_EvtNames,$A207)&amp;"")</f>
        <v/>
      </c>
      <c r="K207" s="36" t="str">
        <f aca="false">IF($A207="","",INDEX(c_Invested,$A207)&amp;"")</f>
        <v>No</v>
      </c>
      <c r="L207" s="16" t="str">
        <f aca="false">IF($A207="","",IF(INDEX(c_AUM,$A207)="","",INDEX(c_AUM,$A207)))</f>
        <v/>
      </c>
      <c r="M207" s="15" t="str">
        <f aca="false">IF($A207="","",INDEX(c_Source,$A207)&amp;"")</f>
        <v>Branch Directors</v>
      </c>
      <c r="N207" s="15" t="str">
        <f aca="false">IF($A207="","",INDEX(c_Notes,$A207)&amp;"")</f>
        <v>Branch: APEX Altimate Partners | https://www.linkedin.com/in/annabel-tyy/</v>
      </c>
    </row>
    <row r="208" customFormat="false" ht="15" hidden="false" customHeight="false" outlineLevel="0" collapsed="false">
      <c r="A208" s="32" t="n">
        <f aca="false">IFERROR(MATCH(ROW()-5,c_Seq,0),"")</f>
        <v>203</v>
      </c>
      <c r="B208" s="11" t="str">
        <f aca="false">IF($A208="","",INDEX(c_Name,$A208)&amp;"")</f>
        <v>Anthony Chang Chia Joo</v>
      </c>
      <c r="C208" s="11" t="str">
        <f aca="false">IF($A208="","",INDEX(c_Firm,$A208)&amp;"")</f>
        <v>PIAS</v>
      </c>
      <c r="D208" s="11" t="str">
        <f aca="false">IF($A208="","",INDEX(c_Type,$A208)&amp;"")</f>
        <v>Branch Director</v>
      </c>
      <c r="E208" s="11" t="str">
        <f aca="false">IF($A208="","",INDEX(c_Email,$A208)&amp;"")</f>
        <v/>
      </c>
      <c r="F208" s="34" t="str">
        <f aca="false">IF($A208="","",INDEX(c_Met,$A208)&amp;"")</f>
        <v>No</v>
      </c>
      <c r="G208" s="25" t="str">
        <f aca="false">IF($A208="","",IF(INDEX(c_Date,$A208)="","",INDEX(c_Date,$A208)))</f>
        <v/>
      </c>
      <c r="H208" s="33" t="str">
        <f aca="false">IF($A208="","",IF(INDEX(c_Days,$A208)="","",INDEX(c_Days,$A208)))</f>
        <v/>
      </c>
      <c r="I208" s="40" t="n">
        <f aca="false">IF($A208="","",IF(INDEX(c_Mtgs,$A208)="","",INDEX(c_Mtgs,$A208)))</f>
        <v>0</v>
      </c>
      <c r="J208" s="11" t="str">
        <f aca="false">IF($A208="","",INDEX(c_EvtNames,$A208)&amp;"")</f>
        <v/>
      </c>
      <c r="K208" s="34" t="str">
        <f aca="false">IF($A208="","",INDEX(c_Invested,$A208)&amp;"")</f>
        <v>No</v>
      </c>
      <c r="L208" s="12" t="str">
        <f aca="false">IF($A208="","",IF(INDEX(c_AUM,$A208)="","",INDEX(c_AUM,$A208)))</f>
        <v/>
      </c>
      <c r="M208" s="11" t="str">
        <f aca="false">IF($A208="","",INDEX(c_Source,$A208)&amp;"")</f>
        <v>Branch Directors</v>
      </c>
      <c r="N208" s="11" t="str">
        <f aca="false">IF($A208="","",INDEX(c_Notes,$A208)&amp;"")</f>
        <v>Branch: APEX Altius Advisory | https://www.linkedin.com/in/anthonychangchiajoo/</v>
      </c>
    </row>
    <row r="209" customFormat="false" ht="15" hidden="false" customHeight="false" outlineLevel="0" collapsed="false">
      <c r="A209" s="32" t="n">
        <f aca="false">IFERROR(MATCH(ROW()-5,c_Seq,0),"")</f>
        <v>204</v>
      </c>
      <c r="B209" s="15" t="str">
        <f aca="false">IF($A209="","",INDEX(c_Name,$A209)&amp;"")</f>
        <v>Apelles Poh HongPang</v>
      </c>
      <c r="C209" s="15" t="str">
        <f aca="false">IF($A209="","",INDEX(c_Firm,$A209)&amp;"")</f>
        <v>PIAS</v>
      </c>
      <c r="D209" s="15" t="str">
        <f aca="false">IF($A209="","",INDEX(c_Type,$A209)&amp;"")</f>
        <v>Branch Director</v>
      </c>
      <c r="E209" s="15" t="str">
        <f aca="false">IF($A209="","",INDEX(c_Email,$A209)&amp;"")</f>
        <v/>
      </c>
      <c r="F209" s="36" t="str">
        <f aca="false">IF($A209="","",INDEX(c_Met,$A209)&amp;"")</f>
        <v>No</v>
      </c>
      <c r="G209" s="26" t="str">
        <f aca="false">IF($A209="","",IF(INDEX(c_Date,$A209)="","",INDEX(c_Date,$A209)))</f>
        <v/>
      </c>
      <c r="H209" s="35" t="str">
        <f aca="false">IF($A209="","",IF(INDEX(c_Days,$A209)="","",INDEX(c_Days,$A209)))</f>
        <v/>
      </c>
      <c r="I209" s="41" t="n">
        <f aca="false">IF($A209="","",IF(INDEX(c_Mtgs,$A209)="","",INDEX(c_Mtgs,$A209)))</f>
        <v>0</v>
      </c>
      <c r="J209" s="15" t="str">
        <f aca="false">IF($A209="","",INDEX(c_EvtNames,$A209)&amp;"")</f>
        <v/>
      </c>
      <c r="K209" s="36" t="str">
        <f aca="false">IF($A209="","",INDEX(c_Invested,$A209)&amp;"")</f>
        <v>No</v>
      </c>
      <c r="L209" s="16" t="str">
        <f aca="false">IF($A209="","",IF(INDEX(c_AUM,$A209)="","",INDEX(c_AUM,$A209)))</f>
        <v/>
      </c>
      <c r="M209" s="15" t="str">
        <f aca="false">IF($A209="","",INDEX(c_Source,$A209)&amp;"")</f>
        <v>Branch Directors</v>
      </c>
      <c r="N209" s="15" t="str">
        <f aca="false">IF($A209="","",INDEX(c_Notes,$A209)&amp;"")</f>
        <v>Branch: Eagle's Wing Associates | https://www.linkedin.com/in/apelles-poh-651a92a0/</v>
      </c>
    </row>
    <row r="210" customFormat="false" ht="15" hidden="false" customHeight="false" outlineLevel="0" collapsed="false">
      <c r="A210" s="32" t="n">
        <f aca="false">IFERROR(MATCH(ROW()-5,c_Seq,0),"")</f>
        <v>205</v>
      </c>
      <c r="B210" s="11" t="str">
        <f aca="false">IF($A210="","",INDEX(c_Name,$A210)&amp;"")</f>
        <v>Benny Lim</v>
      </c>
      <c r="C210" s="11" t="str">
        <f aca="false">IF($A210="","",INDEX(c_Firm,$A210)&amp;"")</f>
        <v>PIAS</v>
      </c>
      <c r="D210" s="11" t="str">
        <f aca="false">IF($A210="","",INDEX(c_Type,$A210)&amp;"")</f>
        <v>Adviser</v>
      </c>
      <c r="E210" s="11" t="str">
        <f aca="false">IF($A210="","",INDEX(c_Email,$A210)&amp;"")</f>
        <v>benny.lim@proinvest.com.sg</v>
      </c>
      <c r="F210" s="34" t="str">
        <f aca="false">IF($A210="","",INDEX(c_Met,$A210)&amp;"")</f>
        <v>No</v>
      </c>
      <c r="G210" s="25" t="str">
        <f aca="false">IF($A210="","",IF(INDEX(c_Date,$A210)="","",INDEX(c_Date,$A210)))</f>
        <v/>
      </c>
      <c r="H210" s="33" t="str">
        <f aca="false">IF($A210="","",IF(INDEX(c_Days,$A210)="","",INDEX(c_Days,$A210)))</f>
        <v/>
      </c>
      <c r="I210" s="40" t="n">
        <f aca="false">IF($A210="","",IF(INDEX(c_Mtgs,$A210)="","",INDEX(c_Mtgs,$A210)))</f>
        <v>0</v>
      </c>
      <c r="J210" s="11" t="str">
        <f aca="false">IF($A210="","",INDEX(c_EvtNames,$A210)&amp;"")</f>
        <v/>
      </c>
      <c r="K210" s="34" t="str">
        <f aca="false">IF($A210="","",INDEX(c_Invested,$A210)&amp;"")</f>
        <v>No</v>
      </c>
      <c r="L210" s="12" t="str">
        <f aca="false">IF($A210="","",IF(INDEX(c_AUM,$A210)="","",INDEX(c_AUM,$A210)))</f>
        <v/>
      </c>
      <c r="M210" s="11" t="str">
        <f aca="false">IF($A210="","",INDEX(c_Source,$A210)&amp;"")</f>
        <v>Mass Email PIAS</v>
      </c>
      <c r="N210" s="11" t="str">
        <f aca="false">IF($A210="","",INDEX(c_Notes,$A210)&amp;"")</f>
        <v/>
      </c>
    </row>
    <row r="211" customFormat="false" ht="15" hidden="false" customHeight="false" outlineLevel="0" collapsed="false">
      <c r="A211" s="32" t="n">
        <f aca="false">IFERROR(MATCH(ROW()-5,c_Seq,0),"")</f>
        <v>206</v>
      </c>
      <c r="B211" s="15" t="str">
        <f aca="false">IF($A211="","",INDEX(c_Name,$A211)&amp;"")</f>
        <v>Benson Lim</v>
      </c>
      <c r="C211" s="15" t="str">
        <f aca="false">IF($A211="","",INDEX(c_Firm,$A211)&amp;"")</f>
        <v>PIAS</v>
      </c>
      <c r="D211" s="15" t="str">
        <f aca="false">IF($A211="","",INDEX(c_Type,$A211)&amp;"")</f>
        <v>Adviser</v>
      </c>
      <c r="E211" s="15" t="str">
        <f aca="false">IF($A211="","",INDEX(c_Email,$A211)&amp;"")</f>
        <v>benson.lim@proinvest.com.sg</v>
      </c>
      <c r="F211" s="36" t="str">
        <f aca="false">IF($A211="","",INDEX(c_Met,$A211)&amp;"")</f>
        <v>No</v>
      </c>
      <c r="G211" s="26" t="str">
        <f aca="false">IF($A211="","",IF(INDEX(c_Date,$A211)="","",INDEX(c_Date,$A211)))</f>
        <v/>
      </c>
      <c r="H211" s="35" t="str">
        <f aca="false">IF($A211="","",IF(INDEX(c_Days,$A211)="","",INDEX(c_Days,$A211)))</f>
        <v/>
      </c>
      <c r="I211" s="41" t="n">
        <f aca="false">IF($A211="","",IF(INDEX(c_Mtgs,$A211)="","",INDEX(c_Mtgs,$A211)))</f>
        <v>0</v>
      </c>
      <c r="J211" s="15" t="str">
        <f aca="false">IF($A211="","",INDEX(c_EvtNames,$A211)&amp;"")</f>
        <v/>
      </c>
      <c r="K211" s="36" t="str">
        <f aca="false">IF($A211="","",INDEX(c_Invested,$A211)&amp;"")</f>
        <v>No</v>
      </c>
      <c r="L211" s="16" t="str">
        <f aca="false">IF($A211="","",IF(INDEX(c_AUM,$A211)="","",INDEX(c_AUM,$A211)))</f>
        <v/>
      </c>
      <c r="M211" s="15" t="str">
        <f aca="false">IF($A211="","",INDEX(c_Source,$A211)&amp;"")</f>
        <v>Mass Email PIAS + Branch Directors</v>
      </c>
      <c r="N211" s="15" t="str">
        <f aca="false">IF($A211="","",INDEX(c_Notes,$A211)&amp;"")</f>
        <v>Branch: Polaris Compass Advisory</v>
      </c>
    </row>
    <row r="212" customFormat="false" ht="15" hidden="false" customHeight="false" outlineLevel="0" collapsed="false">
      <c r="A212" s="32" t="n">
        <f aca="false">IFERROR(MATCH(ROW()-5,c_Seq,0),"")</f>
        <v>207</v>
      </c>
      <c r="B212" s="11" t="str">
        <f aca="false">IF($A212="","",INDEX(c_Name,$A212)&amp;"")</f>
        <v>Brenda Yuan</v>
      </c>
      <c r="C212" s="11" t="str">
        <f aca="false">IF($A212="","",INDEX(c_Firm,$A212)&amp;"")</f>
        <v>PIAS</v>
      </c>
      <c r="D212" s="11" t="str">
        <f aca="false">IF($A212="","",INDEX(c_Type,$A212)&amp;"")</f>
        <v>Adviser</v>
      </c>
      <c r="E212" s="11" t="str">
        <f aca="false">IF($A212="","",INDEX(c_Email,$A212)&amp;"")</f>
        <v>brenda.yuan@proinvest.com.sg</v>
      </c>
      <c r="F212" s="34" t="str">
        <f aca="false">IF($A212="","",INDEX(c_Met,$A212)&amp;"")</f>
        <v>No</v>
      </c>
      <c r="G212" s="25" t="str">
        <f aca="false">IF($A212="","",IF(INDEX(c_Date,$A212)="","",INDEX(c_Date,$A212)))</f>
        <v/>
      </c>
      <c r="H212" s="33" t="str">
        <f aca="false">IF($A212="","",IF(INDEX(c_Days,$A212)="","",INDEX(c_Days,$A212)))</f>
        <v/>
      </c>
      <c r="I212" s="40" t="n">
        <f aca="false">IF($A212="","",IF(INDEX(c_Mtgs,$A212)="","",INDEX(c_Mtgs,$A212)))</f>
        <v>0</v>
      </c>
      <c r="J212" s="11" t="str">
        <f aca="false">IF($A212="","",INDEX(c_EvtNames,$A212)&amp;"")</f>
        <v/>
      </c>
      <c r="K212" s="34" t="str">
        <f aca="false">IF($A212="","",INDEX(c_Invested,$A212)&amp;"")</f>
        <v>No</v>
      </c>
      <c r="L212" s="12" t="str">
        <f aca="false">IF($A212="","",IF(INDEX(c_AUM,$A212)="","",INDEX(c_AUM,$A212)))</f>
        <v/>
      </c>
      <c r="M212" s="11" t="str">
        <f aca="false">IF($A212="","",INDEX(c_Source,$A212)&amp;"")</f>
        <v>Mass Email PIAS</v>
      </c>
      <c r="N212" s="11" t="str">
        <f aca="false">IF($A212="","",INDEX(c_Notes,$A212)&amp;"")</f>
        <v/>
      </c>
    </row>
    <row r="213" customFormat="false" ht="15" hidden="false" customHeight="false" outlineLevel="0" collapsed="false">
      <c r="A213" s="32" t="n">
        <f aca="false">IFERROR(MATCH(ROW()-5,c_Seq,0),"")</f>
        <v>208</v>
      </c>
      <c r="B213" s="15" t="str">
        <f aca="false">IF($A213="","",INDEX(c_Name,$A213)&amp;"")</f>
        <v>Caimy Lee</v>
      </c>
      <c r="C213" s="15" t="str">
        <f aca="false">IF($A213="","",INDEX(c_Firm,$A213)&amp;"")</f>
        <v>PIAS</v>
      </c>
      <c r="D213" s="15" t="str">
        <f aca="false">IF($A213="","",INDEX(c_Type,$A213)&amp;"")</f>
        <v>Adviser</v>
      </c>
      <c r="E213" s="15" t="str">
        <f aca="false">IF($A213="","",INDEX(c_Email,$A213)&amp;"")</f>
        <v>caimy.lee@proinvest.com.sg</v>
      </c>
      <c r="F213" s="36" t="str">
        <f aca="false">IF($A213="","",INDEX(c_Met,$A213)&amp;"")</f>
        <v>No</v>
      </c>
      <c r="G213" s="26" t="str">
        <f aca="false">IF($A213="","",IF(INDEX(c_Date,$A213)="","",INDEX(c_Date,$A213)))</f>
        <v/>
      </c>
      <c r="H213" s="35" t="str">
        <f aca="false">IF($A213="","",IF(INDEX(c_Days,$A213)="","",INDEX(c_Days,$A213)))</f>
        <v/>
      </c>
      <c r="I213" s="41" t="n">
        <f aca="false">IF($A213="","",IF(INDEX(c_Mtgs,$A213)="","",INDEX(c_Mtgs,$A213)))</f>
        <v>0</v>
      </c>
      <c r="J213" s="15" t="str">
        <f aca="false">IF($A213="","",INDEX(c_EvtNames,$A213)&amp;"")</f>
        <v/>
      </c>
      <c r="K213" s="36" t="str">
        <f aca="false">IF($A213="","",INDEX(c_Invested,$A213)&amp;"")</f>
        <v>No</v>
      </c>
      <c r="L213" s="16" t="str">
        <f aca="false">IF($A213="","",IF(INDEX(c_AUM,$A213)="","",INDEX(c_AUM,$A213)))</f>
        <v/>
      </c>
      <c r="M213" s="15" t="str">
        <f aca="false">IF($A213="","",INDEX(c_Source,$A213)&amp;"")</f>
        <v>Mass Email PIAS</v>
      </c>
      <c r="N213" s="15" t="str">
        <f aca="false">IF($A213="","",INDEX(c_Notes,$A213)&amp;"")</f>
        <v/>
      </c>
    </row>
    <row r="214" customFormat="false" ht="15" hidden="false" customHeight="false" outlineLevel="0" collapsed="false">
      <c r="A214" s="32" t="n">
        <f aca="false">IFERROR(MATCH(ROW()-5,c_Seq,0),"")</f>
        <v>209</v>
      </c>
      <c r="B214" s="11" t="str">
        <f aca="false">IF($A214="","",INDEX(c_Name,$A214)&amp;"")</f>
        <v>Carrin Ng</v>
      </c>
      <c r="C214" s="11" t="str">
        <f aca="false">IF($A214="","",INDEX(c_Firm,$A214)&amp;"")</f>
        <v>PIAS</v>
      </c>
      <c r="D214" s="11" t="str">
        <f aca="false">IF($A214="","",INDEX(c_Type,$A214)&amp;"")</f>
        <v>Branch Director</v>
      </c>
      <c r="E214" s="11" t="str">
        <f aca="false">IF($A214="","",INDEX(c_Email,$A214)&amp;"")</f>
        <v/>
      </c>
      <c r="F214" s="34" t="str">
        <f aca="false">IF($A214="","",INDEX(c_Met,$A214)&amp;"")</f>
        <v>No</v>
      </c>
      <c r="G214" s="25" t="str">
        <f aca="false">IF($A214="","",IF(INDEX(c_Date,$A214)="","",INDEX(c_Date,$A214)))</f>
        <v/>
      </c>
      <c r="H214" s="33" t="str">
        <f aca="false">IF($A214="","",IF(INDEX(c_Days,$A214)="","",INDEX(c_Days,$A214)))</f>
        <v/>
      </c>
      <c r="I214" s="40" t="n">
        <f aca="false">IF($A214="","",IF(INDEX(c_Mtgs,$A214)="","",INDEX(c_Mtgs,$A214)))</f>
        <v>0</v>
      </c>
      <c r="J214" s="11" t="str">
        <f aca="false">IF($A214="","",INDEX(c_EvtNames,$A214)&amp;"")</f>
        <v/>
      </c>
      <c r="K214" s="34" t="str">
        <f aca="false">IF($A214="","",INDEX(c_Invested,$A214)&amp;"")</f>
        <v>No</v>
      </c>
      <c r="L214" s="12" t="str">
        <f aca="false">IF($A214="","",IF(INDEX(c_AUM,$A214)="","",INDEX(c_AUM,$A214)))</f>
        <v/>
      </c>
      <c r="M214" s="11" t="str">
        <f aca="false">IF($A214="","",INDEX(c_Source,$A214)&amp;"")</f>
        <v>Branch Directors</v>
      </c>
      <c r="N214" s="11" t="str">
        <f aca="false">IF($A214="","",INDEX(c_Notes,$A214)&amp;"")</f>
        <v>Branch: Affinity Kaizen Alliance | https://www.linkedin.com/in/carrin-ng-3a36a4160/</v>
      </c>
    </row>
    <row r="215" customFormat="false" ht="15" hidden="false" customHeight="false" outlineLevel="0" collapsed="false">
      <c r="A215" s="32" t="n">
        <f aca="false">IFERROR(MATCH(ROW()-5,c_Seq,0),"")</f>
        <v>210</v>
      </c>
      <c r="B215" s="15" t="str">
        <f aca="false">IF($A215="","",INDEX(c_Name,$A215)&amp;"")</f>
        <v>Chenyee Lee</v>
      </c>
      <c r="C215" s="15" t="str">
        <f aca="false">IF($A215="","",INDEX(c_Firm,$A215)&amp;"")</f>
        <v>PIAS</v>
      </c>
      <c r="D215" s="15" t="str">
        <f aca="false">IF($A215="","",INDEX(c_Type,$A215)&amp;"")</f>
        <v>Adviser</v>
      </c>
      <c r="E215" s="15" t="str">
        <f aca="false">IF($A215="","",INDEX(c_Email,$A215)&amp;"")</f>
        <v>chenyee.lee@proinvest.com.sg</v>
      </c>
      <c r="F215" s="36" t="str">
        <f aca="false">IF($A215="","",INDEX(c_Met,$A215)&amp;"")</f>
        <v>No</v>
      </c>
      <c r="G215" s="26" t="str">
        <f aca="false">IF($A215="","",IF(INDEX(c_Date,$A215)="","",INDEX(c_Date,$A215)))</f>
        <v/>
      </c>
      <c r="H215" s="35" t="str">
        <f aca="false">IF($A215="","",IF(INDEX(c_Days,$A215)="","",INDEX(c_Days,$A215)))</f>
        <v/>
      </c>
      <c r="I215" s="41" t="n">
        <f aca="false">IF($A215="","",IF(INDEX(c_Mtgs,$A215)="","",INDEX(c_Mtgs,$A215)))</f>
        <v>0</v>
      </c>
      <c r="J215" s="15" t="str">
        <f aca="false">IF($A215="","",INDEX(c_EvtNames,$A215)&amp;"")</f>
        <v/>
      </c>
      <c r="K215" s="36" t="str">
        <f aca="false">IF($A215="","",INDEX(c_Invested,$A215)&amp;"")</f>
        <v>No</v>
      </c>
      <c r="L215" s="16" t="str">
        <f aca="false">IF($A215="","",IF(INDEX(c_AUM,$A215)="","",INDEX(c_AUM,$A215)))</f>
        <v/>
      </c>
      <c r="M215" s="15" t="str">
        <f aca="false">IF($A215="","",INDEX(c_Source,$A215)&amp;"")</f>
        <v>Mass Email PIAS</v>
      </c>
      <c r="N215" s="15" t="str">
        <f aca="false">IF($A215="","",INDEX(c_Notes,$A215)&amp;"")</f>
        <v/>
      </c>
    </row>
    <row r="216" customFormat="false" ht="15" hidden="false" customHeight="false" outlineLevel="0" collapsed="false">
      <c r="A216" s="32" t="n">
        <f aca="false">IFERROR(MATCH(ROW()-5,c_Seq,0),"")</f>
        <v>211</v>
      </c>
      <c r="B216" s="11" t="str">
        <f aca="false">IF($A216="","",INDEX(c_Name,$A216)&amp;"")</f>
        <v>Cherie Ngan</v>
      </c>
      <c r="C216" s="11" t="str">
        <f aca="false">IF($A216="","",INDEX(c_Firm,$A216)&amp;"")</f>
        <v>PIAS</v>
      </c>
      <c r="D216" s="11" t="str">
        <f aca="false">IF($A216="","",INDEX(c_Type,$A216)&amp;"")</f>
        <v>Adviser</v>
      </c>
      <c r="E216" s="11" t="str">
        <f aca="false">IF($A216="","",INDEX(c_Email,$A216)&amp;"")</f>
        <v>cherie.ngan@proinvest.com.sg</v>
      </c>
      <c r="F216" s="34" t="str">
        <f aca="false">IF($A216="","",INDEX(c_Met,$A216)&amp;"")</f>
        <v>No</v>
      </c>
      <c r="G216" s="25" t="str">
        <f aca="false">IF($A216="","",IF(INDEX(c_Date,$A216)="","",INDEX(c_Date,$A216)))</f>
        <v/>
      </c>
      <c r="H216" s="33" t="str">
        <f aca="false">IF($A216="","",IF(INDEX(c_Days,$A216)="","",INDEX(c_Days,$A216)))</f>
        <v/>
      </c>
      <c r="I216" s="40" t="n">
        <f aca="false">IF($A216="","",IF(INDEX(c_Mtgs,$A216)="","",INDEX(c_Mtgs,$A216)))</f>
        <v>0</v>
      </c>
      <c r="J216" s="11" t="str">
        <f aca="false">IF($A216="","",INDEX(c_EvtNames,$A216)&amp;"")</f>
        <v/>
      </c>
      <c r="K216" s="34" t="str">
        <f aca="false">IF($A216="","",INDEX(c_Invested,$A216)&amp;"")</f>
        <v>No</v>
      </c>
      <c r="L216" s="12" t="str">
        <f aca="false">IF($A216="","",IF(INDEX(c_AUM,$A216)="","",INDEX(c_AUM,$A216)))</f>
        <v/>
      </c>
      <c r="M216" s="11" t="str">
        <f aca="false">IF($A216="","",INDEX(c_Source,$A216)&amp;"")</f>
        <v>Mass Email PIAS</v>
      </c>
      <c r="N216" s="11" t="str">
        <f aca="false">IF($A216="","",INDEX(c_Notes,$A216)&amp;"")</f>
        <v/>
      </c>
    </row>
    <row r="217" customFormat="false" ht="15" hidden="false" customHeight="false" outlineLevel="0" collapsed="false">
      <c r="A217" s="32" t="n">
        <f aca="false">IFERROR(MATCH(ROW()-5,c_Seq,0),"")</f>
        <v>212</v>
      </c>
      <c r="B217" s="15" t="str">
        <f aca="false">IF($A217="","",INDEX(c_Name,$A217)&amp;"")</f>
        <v>Chingching Tay</v>
      </c>
      <c r="C217" s="15" t="str">
        <f aca="false">IF($A217="","",INDEX(c_Firm,$A217)&amp;"")</f>
        <v>PIAS</v>
      </c>
      <c r="D217" s="15" t="str">
        <f aca="false">IF($A217="","",INDEX(c_Type,$A217)&amp;"")</f>
        <v>Adviser</v>
      </c>
      <c r="E217" s="15" t="str">
        <f aca="false">IF($A217="","",INDEX(c_Email,$A217)&amp;"")</f>
        <v>chingching.tay@proinvest.com.sg</v>
      </c>
      <c r="F217" s="36" t="str">
        <f aca="false">IF($A217="","",INDEX(c_Met,$A217)&amp;"")</f>
        <v>No</v>
      </c>
      <c r="G217" s="26" t="str">
        <f aca="false">IF($A217="","",IF(INDEX(c_Date,$A217)="","",INDEX(c_Date,$A217)))</f>
        <v/>
      </c>
      <c r="H217" s="35" t="str">
        <f aca="false">IF($A217="","",IF(INDEX(c_Days,$A217)="","",INDEX(c_Days,$A217)))</f>
        <v/>
      </c>
      <c r="I217" s="41" t="n">
        <f aca="false">IF($A217="","",IF(INDEX(c_Mtgs,$A217)="","",INDEX(c_Mtgs,$A217)))</f>
        <v>0</v>
      </c>
      <c r="J217" s="15" t="str">
        <f aca="false">IF($A217="","",INDEX(c_EvtNames,$A217)&amp;"")</f>
        <v/>
      </c>
      <c r="K217" s="36" t="str">
        <f aca="false">IF($A217="","",INDEX(c_Invested,$A217)&amp;"")</f>
        <v>No</v>
      </c>
      <c r="L217" s="16" t="str">
        <f aca="false">IF($A217="","",IF(INDEX(c_AUM,$A217)="","",INDEX(c_AUM,$A217)))</f>
        <v/>
      </c>
      <c r="M217" s="15" t="str">
        <f aca="false">IF($A217="","",INDEX(c_Source,$A217)&amp;"")</f>
        <v>Mass Email PIAS</v>
      </c>
      <c r="N217" s="15" t="str">
        <f aca="false">IF($A217="","",INDEX(c_Notes,$A217)&amp;"")</f>
        <v/>
      </c>
    </row>
    <row r="218" customFormat="false" ht="15" hidden="false" customHeight="false" outlineLevel="0" collapsed="false">
      <c r="A218" s="32" t="n">
        <f aca="false">IFERROR(MATCH(ROW()-5,c_Seq,0),"")</f>
        <v>213</v>
      </c>
      <c r="B218" s="11" t="str">
        <f aca="false">IF($A218="","",INDEX(c_Name,$A218)&amp;"")</f>
        <v>Chongheng Kang</v>
      </c>
      <c r="C218" s="11" t="str">
        <f aca="false">IF($A218="","",INDEX(c_Firm,$A218)&amp;"")</f>
        <v>PIAS</v>
      </c>
      <c r="D218" s="11" t="str">
        <f aca="false">IF($A218="","",INDEX(c_Type,$A218)&amp;"")</f>
        <v>Adviser</v>
      </c>
      <c r="E218" s="11" t="str">
        <f aca="false">IF($A218="","",INDEX(c_Email,$A218)&amp;"")</f>
        <v>chongheng.kang@proinvest.com.sg</v>
      </c>
      <c r="F218" s="34" t="str">
        <f aca="false">IF($A218="","",INDEX(c_Met,$A218)&amp;"")</f>
        <v>No</v>
      </c>
      <c r="G218" s="25" t="str">
        <f aca="false">IF($A218="","",IF(INDEX(c_Date,$A218)="","",INDEX(c_Date,$A218)))</f>
        <v/>
      </c>
      <c r="H218" s="33" t="str">
        <f aca="false">IF($A218="","",IF(INDEX(c_Days,$A218)="","",INDEX(c_Days,$A218)))</f>
        <v/>
      </c>
      <c r="I218" s="40" t="n">
        <f aca="false">IF($A218="","",IF(INDEX(c_Mtgs,$A218)="","",INDEX(c_Mtgs,$A218)))</f>
        <v>0</v>
      </c>
      <c r="J218" s="11" t="str">
        <f aca="false">IF($A218="","",INDEX(c_EvtNames,$A218)&amp;"")</f>
        <v/>
      </c>
      <c r="K218" s="34" t="str">
        <f aca="false">IF($A218="","",INDEX(c_Invested,$A218)&amp;"")</f>
        <v>No</v>
      </c>
      <c r="L218" s="12" t="str">
        <f aca="false">IF($A218="","",IF(INDEX(c_AUM,$A218)="","",INDEX(c_AUM,$A218)))</f>
        <v/>
      </c>
      <c r="M218" s="11" t="str">
        <f aca="false">IF($A218="","",INDEX(c_Source,$A218)&amp;"")</f>
        <v>Mass Email PIAS</v>
      </c>
      <c r="N218" s="11" t="str">
        <f aca="false">IF($A218="","",INDEX(c_Notes,$A218)&amp;"")</f>
        <v/>
      </c>
    </row>
    <row r="219" customFormat="false" ht="15" hidden="false" customHeight="false" outlineLevel="0" collapsed="false">
      <c r="A219" s="32" t="n">
        <f aca="false">IFERROR(MATCH(ROW()-5,c_Seq,0),"")</f>
        <v>214</v>
      </c>
      <c r="B219" s="15" t="str">
        <f aca="false">IF($A219="","",INDEX(c_Name,$A219)&amp;"")</f>
        <v>Christopher, Chun Hong Loh</v>
      </c>
      <c r="C219" s="15" t="str">
        <f aca="false">IF($A219="","",INDEX(c_Firm,$A219)&amp;"")</f>
        <v>PIAS</v>
      </c>
      <c r="D219" s="15" t="str">
        <f aca="false">IF($A219="","",INDEX(c_Type,$A219)&amp;"")</f>
        <v>Adviser</v>
      </c>
      <c r="E219" s="15" t="str">
        <f aca="false">IF($A219="","",INDEX(c_Email,$A219)&amp;"")</f>
        <v>christopher.loh@proinvest.com.sg</v>
      </c>
      <c r="F219" s="36" t="str">
        <f aca="false">IF($A219="","",INDEX(c_Met,$A219)&amp;"")</f>
        <v>No</v>
      </c>
      <c r="G219" s="26" t="str">
        <f aca="false">IF($A219="","",IF(INDEX(c_Date,$A219)="","",INDEX(c_Date,$A219)))</f>
        <v/>
      </c>
      <c r="H219" s="35" t="str">
        <f aca="false">IF($A219="","",IF(INDEX(c_Days,$A219)="","",INDEX(c_Days,$A219)))</f>
        <v/>
      </c>
      <c r="I219" s="41" t="n">
        <f aca="false">IF($A219="","",IF(INDEX(c_Mtgs,$A219)="","",INDEX(c_Mtgs,$A219)))</f>
        <v>0</v>
      </c>
      <c r="J219" s="15" t="str">
        <f aca="false">IF($A219="","",INDEX(c_EvtNames,$A219)&amp;"")</f>
        <v/>
      </c>
      <c r="K219" s="36" t="str">
        <f aca="false">IF($A219="","",INDEX(c_Invested,$A219)&amp;"")</f>
        <v>No</v>
      </c>
      <c r="L219" s="16" t="str">
        <f aca="false">IF($A219="","",IF(INDEX(c_AUM,$A219)="","",INDEX(c_AUM,$A219)))</f>
        <v/>
      </c>
      <c r="M219" s="15" t="str">
        <f aca="false">IF($A219="","",INDEX(c_Source,$A219)&amp;"")</f>
        <v>Mass Email PIAS</v>
      </c>
      <c r="N219" s="15" t="str">
        <f aca="false">IF($A219="","",INDEX(c_Notes,$A219)&amp;"")</f>
        <v/>
      </c>
    </row>
    <row r="220" customFormat="false" ht="15" hidden="false" customHeight="false" outlineLevel="0" collapsed="false">
      <c r="A220" s="32" t="n">
        <f aca="false">IFERROR(MATCH(ROW()-5,c_Seq,0),"")</f>
        <v>215</v>
      </c>
      <c r="B220" s="11" t="str">
        <f aca="false">IF($A220="","",INDEX(c_Name,$A220)&amp;"")</f>
        <v>Chun Kwong Chee</v>
      </c>
      <c r="C220" s="11" t="str">
        <f aca="false">IF($A220="","",INDEX(c_Firm,$A220)&amp;"")</f>
        <v>PIAS</v>
      </c>
      <c r="D220" s="11" t="str">
        <f aca="false">IF($A220="","",INDEX(c_Type,$A220)&amp;"")</f>
        <v>Adviser</v>
      </c>
      <c r="E220" s="11" t="str">
        <f aca="false">IF($A220="","",INDEX(c_Email,$A220)&amp;"")</f>
        <v>kwongchee.chun@proinvest.com.sg</v>
      </c>
      <c r="F220" s="34" t="str">
        <f aca="false">IF($A220="","",INDEX(c_Met,$A220)&amp;"")</f>
        <v>No</v>
      </c>
      <c r="G220" s="25" t="str">
        <f aca="false">IF($A220="","",IF(INDEX(c_Date,$A220)="","",INDEX(c_Date,$A220)))</f>
        <v/>
      </c>
      <c r="H220" s="33" t="str">
        <f aca="false">IF($A220="","",IF(INDEX(c_Days,$A220)="","",INDEX(c_Days,$A220)))</f>
        <v/>
      </c>
      <c r="I220" s="40" t="n">
        <f aca="false">IF($A220="","",IF(INDEX(c_Mtgs,$A220)="","",INDEX(c_Mtgs,$A220)))</f>
        <v>0</v>
      </c>
      <c r="J220" s="11" t="str">
        <f aca="false">IF($A220="","",INDEX(c_EvtNames,$A220)&amp;"")</f>
        <v>May-26 Symposium</v>
      </c>
      <c r="K220" s="34" t="str">
        <f aca="false">IF($A220="","",INDEX(c_Invested,$A220)&amp;"")</f>
        <v>No</v>
      </c>
      <c r="L220" s="12" t="str">
        <f aca="false">IF($A220="","",IF(INDEX(c_AUM,$A220)="","",INDEX(c_AUM,$A220)))</f>
        <v/>
      </c>
      <c r="M220" s="11" t="str">
        <f aca="false">IF($A220="","",INDEX(c_Source,$A220)&amp;"")</f>
        <v>Meeting List</v>
      </c>
      <c r="N220" s="11" t="str">
        <f aca="false">IF($A220="","",INDEX(c_Notes,$A220)&amp;"")</f>
        <v/>
      </c>
    </row>
    <row r="221" customFormat="false" ht="15" hidden="false" customHeight="false" outlineLevel="0" collapsed="false">
      <c r="A221" s="32" t="n">
        <f aca="false">IFERROR(MATCH(ROW()-5,c_Seq,0),"")</f>
        <v>216</v>
      </c>
      <c r="B221" s="15" t="str">
        <f aca="false">IF($A221="","",INDEX(c_Name,$A221)&amp;"")</f>
        <v>Cindy Koosc</v>
      </c>
      <c r="C221" s="15" t="str">
        <f aca="false">IF($A221="","",INDEX(c_Firm,$A221)&amp;"")</f>
        <v>PIAS</v>
      </c>
      <c r="D221" s="15" t="str">
        <f aca="false">IF($A221="","",INDEX(c_Type,$A221)&amp;"")</f>
        <v>Adviser</v>
      </c>
      <c r="E221" s="15" t="str">
        <f aca="false">IF($A221="","",INDEX(c_Email,$A221)&amp;"")</f>
        <v>cindy.koosc@proinvest.com.sg</v>
      </c>
      <c r="F221" s="36" t="str">
        <f aca="false">IF($A221="","",INDEX(c_Met,$A221)&amp;"")</f>
        <v>No</v>
      </c>
      <c r="G221" s="26" t="str">
        <f aca="false">IF($A221="","",IF(INDEX(c_Date,$A221)="","",INDEX(c_Date,$A221)))</f>
        <v/>
      </c>
      <c r="H221" s="35" t="str">
        <f aca="false">IF($A221="","",IF(INDEX(c_Days,$A221)="","",INDEX(c_Days,$A221)))</f>
        <v/>
      </c>
      <c r="I221" s="41" t="n">
        <f aca="false">IF($A221="","",IF(INDEX(c_Mtgs,$A221)="","",INDEX(c_Mtgs,$A221)))</f>
        <v>0</v>
      </c>
      <c r="J221" s="15" t="str">
        <f aca="false">IF($A221="","",INDEX(c_EvtNames,$A221)&amp;"")</f>
        <v/>
      </c>
      <c r="K221" s="36" t="str">
        <f aca="false">IF($A221="","",INDEX(c_Invested,$A221)&amp;"")</f>
        <v>No</v>
      </c>
      <c r="L221" s="16" t="str">
        <f aca="false">IF($A221="","",IF(INDEX(c_AUM,$A221)="","",INDEX(c_AUM,$A221)))</f>
        <v/>
      </c>
      <c r="M221" s="15" t="str">
        <f aca="false">IF($A221="","",INDEX(c_Source,$A221)&amp;"")</f>
        <v>Mass Email PIAS</v>
      </c>
      <c r="N221" s="15" t="str">
        <f aca="false">IF($A221="","",INDEX(c_Notes,$A221)&amp;"")</f>
        <v/>
      </c>
    </row>
    <row r="222" customFormat="false" ht="15" hidden="false" customHeight="false" outlineLevel="0" collapsed="false">
      <c r="A222" s="32" t="n">
        <f aca="false">IFERROR(MATCH(ROW()-5,c_Seq,0),"")</f>
        <v>217</v>
      </c>
      <c r="B222" s="11" t="str">
        <f aca="false">IF($A222="","",INDEX(c_Name,$A222)&amp;"")</f>
        <v>Daiyan Zheng</v>
      </c>
      <c r="C222" s="11" t="str">
        <f aca="false">IF($A222="","",INDEX(c_Firm,$A222)&amp;"")</f>
        <v>PIAS</v>
      </c>
      <c r="D222" s="11" t="str">
        <f aca="false">IF($A222="","",INDEX(c_Type,$A222)&amp;"")</f>
        <v>Adviser</v>
      </c>
      <c r="E222" s="11" t="str">
        <f aca="false">IF($A222="","",INDEX(c_Email,$A222)&amp;"")</f>
        <v>daiyan.zheng@proinvest.com.sg</v>
      </c>
      <c r="F222" s="34" t="str">
        <f aca="false">IF($A222="","",INDEX(c_Met,$A222)&amp;"")</f>
        <v>No</v>
      </c>
      <c r="G222" s="25" t="str">
        <f aca="false">IF($A222="","",IF(INDEX(c_Date,$A222)="","",INDEX(c_Date,$A222)))</f>
        <v/>
      </c>
      <c r="H222" s="33" t="str">
        <f aca="false">IF($A222="","",IF(INDEX(c_Days,$A222)="","",INDEX(c_Days,$A222)))</f>
        <v/>
      </c>
      <c r="I222" s="40" t="n">
        <f aca="false">IF($A222="","",IF(INDEX(c_Mtgs,$A222)="","",INDEX(c_Mtgs,$A222)))</f>
        <v>0</v>
      </c>
      <c r="J222" s="11" t="str">
        <f aca="false">IF($A222="","",INDEX(c_EvtNames,$A222)&amp;"")</f>
        <v/>
      </c>
      <c r="K222" s="34" t="str">
        <f aca="false">IF($A222="","",INDEX(c_Invested,$A222)&amp;"")</f>
        <v>No</v>
      </c>
      <c r="L222" s="12" t="str">
        <f aca="false">IF($A222="","",IF(INDEX(c_AUM,$A222)="","",INDEX(c_AUM,$A222)))</f>
        <v/>
      </c>
      <c r="M222" s="11" t="str">
        <f aca="false">IF($A222="","",INDEX(c_Source,$A222)&amp;"")</f>
        <v>Mass Email PIAS</v>
      </c>
      <c r="N222" s="11" t="str">
        <f aca="false">IF($A222="","",INDEX(c_Notes,$A222)&amp;"")</f>
        <v/>
      </c>
    </row>
    <row r="223" customFormat="false" ht="15" hidden="false" customHeight="false" outlineLevel="0" collapsed="false">
      <c r="A223" s="32" t="n">
        <f aca="false">IFERROR(MATCH(ROW()-5,c_Seq,0),"")</f>
        <v>218</v>
      </c>
      <c r="B223" s="15" t="str">
        <f aca="false">IF($A223="","",INDEX(c_Name,$A223)&amp;"")</f>
        <v>Daniel Ong Thiam Chye</v>
      </c>
      <c r="C223" s="15" t="str">
        <f aca="false">IF($A223="","",INDEX(c_Firm,$A223)&amp;"")</f>
        <v>PIAS</v>
      </c>
      <c r="D223" s="15" t="str">
        <f aca="false">IF($A223="","",INDEX(c_Type,$A223)&amp;"")</f>
        <v>Branch Director</v>
      </c>
      <c r="E223" s="15" t="str">
        <f aca="false">IF($A223="","",INDEX(c_Email,$A223)&amp;"")</f>
        <v/>
      </c>
      <c r="F223" s="36" t="str">
        <f aca="false">IF($A223="","",INDEX(c_Met,$A223)&amp;"")</f>
        <v>No</v>
      </c>
      <c r="G223" s="26" t="str">
        <f aca="false">IF($A223="","",IF(INDEX(c_Date,$A223)="","",INDEX(c_Date,$A223)))</f>
        <v/>
      </c>
      <c r="H223" s="35" t="str">
        <f aca="false">IF($A223="","",IF(INDEX(c_Days,$A223)="","",INDEX(c_Days,$A223)))</f>
        <v/>
      </c>
      <c r="I223" s="41" t="n">
        <f aca="false">IF($A223="","",IF(INDEX(c_Mtgs,$A223)="","",INDEX(c_Mtgs,$A223)))</f>
        <v>0</v>
      </c>
      <c r="J223" s="15" t="str">
        <f aca="false">IF($A223="","",INDEX(c_EvtNames,$A223)&amp;"")</f>
        <v/>
      </c>
      <c r="K223" s="36" t="str">
        <f aca="false">IF($A223="","",INDEX(c_Invested,$A223)&amp;"")</f>
        <v>No</v>
      </c>
      <c r="L223" s="16" t="str">
        <f aca="false">IF($A223="","",IF(INDEX(c_AUM,$A223)="","",INDEX(c_AUM,$A223)))</f>
        <v/>
      </c>
      <c r="M223" s="15" t="str">
        <f aca="false">IF($A223="","",INDEX(c_Source,$A223)&amp;"")</f>
        <v>Branch Directors</v>
      </c>
      <c r="N223" s="15" t="str">
        <f aca="false">IF($A223="","",INDEX(c_Notes,$A223)&amp;"")</f>
        <v>Branch: PLP Advisory | https://www.linkedin.com/in/daniel-ong-0b8a2149/</v>
      </c>
    </row>
    <row r="224" customFormat="false" ht="15" hidden="false" customHeight="false" outlineLevel="0" collapsed="false">
      <c r="A224" s="32" t="n">
        <f aca="false">IFERROR(MATCH(ROW()-5,c_Seq,0),"")</f>
        <v>219</v>
      </c>
      <c r="B224" s="11" t="str">
        <f aca="false">IF($A224="","",INDEX(c_Name,$A224)&amp;"")</f>
        <v>Dennis Lye</v>
      </c>
      <c r="C224" s="11" t="str">
        <f aca="false">IF($A224="","",INDEX(c_Firm,$A224)&amp;"")</f>
        <v>PIAS</v>
      </c>
      <c r="D224" s="11" t="str">
        <f aca="false">IF($A224="","",INDEX(c_Type,$A224)&amp;"")</f>
        <v>Adviser</v>
      </c>
      <c r="E224" s="11" t="str">
        <f aca="false">IF($A224="","",INDEX(c_Email,$A224)&amp;"")</f>
        <v>dennis.lye@proinvest.com.sg</v>
      </c>
      <c r="F224" s="34" t="str">
        <f aca="false">IF($A224="","",INDEX(c_Met,$A224)&amp;"")</f>
        <v>No</v>
      </c>
      <c r="G224" s="25" t="str">
        <f aca="false">IF($A224="","",IF(INDEX(c_Date,$A224)="","",INDEX(c_Date,$A224)))</f>
        <v/>
      </c>
      <c r="H224" s="33" t="str">
        <f aca="false">IF($A224="","",IF(INDEX(c_Days,$A224)="","",INDEX(c_Days,$A224)))</f>
        <v/>
      </c>
      <c r="I224" s="40" t="n">
        <f aca="false">IF($A224="","",IF(INDEX(c_Mtgs,$A224)="","",INDEX(c_Mtgs,$A224)))</f>
        <v>0</v>
      </c>
      <c r="J224" s="11" t="str">
        <f aca="false">IF($A224="","",INDEX(c_EvtNames,$A224)&amp;"")</f>
        <v/>
      </c>
      <c r="K224" s="34" t="str">
        <f aca="false">IF($A224="","",INDEX(c_Invested,$A224)&amp;"")</f>
        <v>No</v>
      </c>
      <c r="L224" s="12" t="str">
        <f aca="false">IF($A224="","",IF(INDEX(c_AUM,$A224)="","",INDEX(c_AUM,$A224)))</f>
        <v/>
      </c>
      <c r="M224" s="11" t="str">
        <f aca="false">IF($A224="","",INDEX(c_Source,$A224)&amp;"")</f>
        <v>Mass Email PIAS</v>
      </c>
      <c r="N224" s="11" t="str">
        <f aca="false">IF($A224="","",INDEX(c_Notes,$A224)&amp;"")</f>
        <v/>
      </c>
    </row>
    <row r="225" customFormat="false" ht="15" hidden="false" customHeight="false" outlineLevel="0" collapsed="false">
      <c r="A225" s="32" t="n">
        <f aca="false">IFERROR(MATCH(ROW()-5,c_Seq,0),"")</f>
        <v>220</v>
      </c>
      <c r="B225" s="15" t="str">
        <f aca="false">IF($A225="","",INDEX(c_Name,$A225)&amp;"")</f>
        <v>Desmond Wee</v>
      </c>
      <c r="C225" s="15" t="str">
        <f aca="false">IF($A225="","",INDEX(c_Firm,$A225)&amp;"")</f>
        <v>PIAS</v>
      </c>
      <c r="D225" s="15" t="str">
        <f aca="false">IF($A225="","",INDEX(c_Type,$A225)&amp;"")</f>
        <v>Adviser</v>
      </c>
      <c r="E225" s="15" t="str">
        <f aca="false">IF($A225="","",INDEX(c_Email,$A225)&amp;"")</f>
        <v>desmond.wee@proinvest.com.sg</v>
      </c>
      <c r="F225" s="36" t="str">
        <f aca="false">IF($A225="","",INDEX(c_Met,$A225)&amp;"")</f>
        <v>No</v>
      </c>
      <c r="G225" s="26" t="str">
        <f aca="false">IF($A225="","",IF(INDEX(c_Date,$A225)="","",INDEX(c_Date,$A225)))</f>
        <v/>
      </c>
      <c r="H225" s="35" t="str">
        <f aca="false">IF($A225="","",IF(INDEX(c_Days,$A225)="","",INDEX(c_Days,$A225)))</f>
        <v/>
      </c>
      <c r="I225" s="41" t="n">
        <f aca="false">IF($A225="","",IF(INDEX(c_Mtgs,$A225)="","",INDEX(c_Mtgs,$A225)))</f>
        <v>0</v>
      </c>
      <c r="J225" s="15" t="str">
        <f aca="false">IF($A225="","",INDEX(c_EvtNames,$A225)&amp;"")</f>
        <v/>
      </c>
      <c r="K225" s="36" t="str">
        <f aca="false">IF($A225="","",INDEX(c_Invested,$A225)&amp;"")</f>
        <v>No</v>
      </c>
      <c r="L225" s="16" t="str">
        <f aca="false">IF($A225="","",IF(INDEX(c_AUM,$A225)="","",INDEX(c_AUM,$A225)))</f>
        <v/>
      </c>
      <c r="M225" s="15" t="str">
        <f aca="false">IF($A225="","",INDEX(c_Source,$A225)&amp;"")</f>
        <v>Mass Email PIAS</v>
      </c>
      <c r="N225" s="15" t="str">
        <f aca="false">IF($A225="","",INDEX(c_Notes,$A225)&amp;"")</f>
        <v/>
      </c>
    </row>
    <row r="226" customFormat="false" ht="15" hidden="false" customHeight="false" outlineLevel="0" collapsed="false">
      <c r="A226" s="32" t="n">
        <f aca="false">IFERROR(MATCH(ROW()-5,c_Seq,0),"")</f>
        <v>221</v>
      </c>
      <c r="B226" s="11" t="str">
        <f aca="false">IF($A226="","",INDEX(c_Name,$A226)&amp;"")</f>
        <v>Diana Zhu Yuzheng</v>
      </c>
      <c r="C226" s="11" t="str">
        <f aca="false">IF($A226="","",INDEX(c_Firm,$A226)&amp;"")</f>
        <v>PIAS</v>
      </c>
      <c r="D226" s="11" t="str">
        <f aca="false">IF($A226="","",INDEX(c_Type,$A226)&amp;"")</f>
        <v>Branch Director</v>
      </c>
      <c r="E226" s="11" t="str">
        <f aca="false">IF($A226="","",INDEX(c_Email,$A226)&amp;"")</f>
        <v/>
      </c>
      <c r="F226" s="34" t="str">
        <f aca="false">IF($A226="","",INDEX(c_Met,$A226)&amp;"")</f>
        <v>No</v>
      </c>
      <c r="G226" s="25" t="str">
        <f aca="false">IF($A226="","",IF(INDEX(c_Date,$A226)="","",INDEX(c_Date,$A226)))</f>
        <v/>
      </c>
      <c r="H226" s="33" t="str">
        <f aca="false">IF($A226="","",IF(INDEX(c_Days,$A226)="","",INDEX(c_Days,$A226)))</f>
        <v/>
      </c>
      <c r="I226" s="40" t="n">
        <f aca="false">IF($A226="","",IF(INDEX(c_Mtgs,$A226)="","",INDEX(c_Mtgs,$A226)))</f>
        <v>0</v>
      </c>
      <c r="J226" s="11" t="str">
        <f aca="false">IF($A226="","",INDEX(c_EvtNames,$A226)&amp;"")</f>
        <v/>
      </c>
      <c r="K226" s="34" t="str">
        <f aca="false">IF($A226="","",INDEX(c_Invested,$A226)&amp;"")</f>
        <v>No</v>
      </c>
      <c r="L226" s="12" t="str">
        <f aca="false">IF($A226="","",IF(INDEX(c_AUM,$A226)="","",INDEX(c_AUM,$A226)))</f>
        <v/>
      </c>
      <c r="M226" s="11" t="str">
        <f aca="false">IF($A226="","",INDEX(c_Source,$A226)&amp;"")</f>
        <v>Branch Directors</v>
      </c>
      <c r="N226" s="11" t="str">
        <f aca="false">IF($A226="","",INDEX(c_Notes,$A226)&amp;"")</f>
        <v>Branch: Optimus Consulting | https://www.linkedin.com/in/diana-zhu-/</v>
      </c>
    </row>
    <row r="227" customFormat="false" ht="15" hidden="false" customHeight="false" outlineLevel="0" collapsed="false">
      <c r="A227" s="32" t="n">
        <f aca="false">IFERROR(MATCH(ROW()-5,c_Seq,0),"")</f>
        <v>222</v>
      </c>
      <c r="B227" s="15" t="str">
        <f aca="false">IF($A227="","",INDEX(c_Name,$A227)&amp;"")</f>
        <v>Dicky Ong</v>
      </c>
      <c r="C227" s="15" t="str">
        <f aca="false">IF($A227="","",INDEX(c_Firm,$A227)&amp;"")</f>
        <v>PIAS</v>
      </c>
      <c r="D227" s="15" t="str">
        <f aca="false">IF($A227="","",INDEX(c_Type,$A227)&amp;"")</f>
        <v>Adviser</v>
      </c>
      <c r="E227" s="15" t="str">
        <f aca="false">IF($A227="","",INDEX(c_Email,$A227)&amp;"")</f>
        <v>dicky.ong@proinvest.com.sg</v>
      </c>
      <c r="F227" s="36" t="str">
        <f aca="false">IF($A227="","",INDEX(c_Met,$A227)&amp;"")</f>
        <v>No</v>
      </c>
      <c r="G227" s="26" t="str">
        <f aca="false">IF($A227="","",IF(INDEX(c_Date,$A227)="","",INDEX(c_Date,$A227)))</f>
        <v/>
      </c>
      <c r="H227" s="35" t="str">
        <f aca="false">IF($A227="","",IF(INDEX(c_Days,$A227)="","",INDEX(c_Days,$A227)))</f>
        <v/>
      </c>
      <c r="I227" s="41" t="n">
        <f aca="false">IF($A227="","",IF(INDEX(c_Mtgs,$A227)="","",INDEX(c_Mtgs,$A227)))</f>
        <v>0</v>
      </c>
      <c r="J227" s="15" t="str">
        <f aca="false">IF($A227="","",INDEX(c_EvtNames,$A227)&amp;"")</f>
        <v/>
      </c>
      <c r="K227" s="36" t="str">
        <f aca="false">IF($A227="","",INDEX(c_Invested,$A227)&amp;"")</f>
        <v>No</v>
      </c>
      <c r="L227" s="16" t="str">
        <f aca="false">IF($A227="","",IF(INDEX(c_AUM,$A227)="","",INDEX(c_AUM,$A227)))</f>
        <v/>
      </c>
      <c r="M227" s="15" t="str">
        <f aca="false">IF($A227="","",INDEX(c_Source,$A227)&amp;"")</f>
        <v>Mass Email PIAS</v>
      </c>
      <c r="N227" s="15" t="str">
        <f aca="false">IF($A227="","",INDEX(c_Notes,$A227)&amp;"")</f>
        <v/>
      </c>
    </row>
    <row r="228" customFormat="false" ht="15" hidden="false" customHeight="false" outlineLevel="0" collapsed="false">
      <c r="A228" s="32" t="n">
        <f aca="false">IFERROR(MATCH(ROW()-5,c_Seq,0),"")</f>
        <v>223</v>
      </c>
      <c r="B228" s="11" t="str">
        <f aca="false">IF($A228="","",INDEX(c_Name,$A228)&amp;"")</f>
        <v>Dr Siva</v>
      </c>
      <c r="C228" s="11" t="str">
        <f aca="false">IF($A228="","",INDEX(c_Firm,$A228)&amp;"")</f>
        <v>PIAS</v>
      </c>
      <c r="D228" s="11" t="str">
        <f aca="false">IF($A228="","",INDEX(c_Type,$A228)&amp;"")</f>
        <v>Adviser</v>
      </c>
      <c r="E228" s="11" t="str">
        <f aca="false">IF($A228="","",INDEX(c_Email,$A228)&amp;"")</f>
        <v>dr.siva@proinvest.com.sg</v>
      </c>
      <c r="F228" s="34" t="str">
        <f aca="false">IF($A228="","",INDEX(c_Met,$A228)&amp;"")</f>
        <v>No</v>
      </c>
      <c r="G228" s="25" t="str">
        <f aca="false">IF($A228="","",IF(INDEX(c_Date,$A228)="","",INDEX(c_Date,$A228)))</f>
        <v/>
      </c>
      <c r="H228" s="33" t="str">
        <f aca="false">IF($A228="","",IF(INDEX(c_Days,$A228)="","",INDEX(c_Days,$A228)))</f>
        <v/>
      </c>
      <c r="I228" s="40" t="n">
        <f aca="false">IF($A228="","",IF(INDEX(c_Mtgs,$A228)="","",INDEX(c_Mtgs,$A228)))</f>
        <v>0</v>
      </c>
      <c r="J228" s="11" t="str">
        <f aca="false">IF($A228="","",INDEX(c_EvtNames,$A228)&amp;"")</f>
        <v/>
      </c>
      <c r="K228" s="34" t="str">
        <f aca="false">IF($A228="","",INDEX(c_Invested,$A228)&amp;"")</f>
        <v>No</v>
      </c>
      <c r="L228" s="12" t="str">
        <f aca="false">IF($A228="","",IF(INDEX(c_AUM,$A228)="","",INDEX(c_AUM,$A228)))</f>
        <v/>
      </c>
      <c r="M228" s="11" t="str">
        <f aca="false">IF($A228="","",INDEX(c_Source,$A228)&amp;"")</f>
        <v>Mass Email PIAS</v>
      </c>
      <c r="N228" s="11" t="str">
        <f aca="false">IF($A228="","",INDEX(c_Notes,$A228)&amp;"")</f>
        <v/>
      </c>
    </row>
    <row r="229" customFormat="false" ht="15" hidden="false" customHeight="false" outlineLevel="0" collapsed="false">
      <c r="A229" s="32" t="n">
        <f aca="false">IFERROR(MATCH(ROW()-5,c_Seq,0),"")</f>
        <v>224</v>
      </c>
      <c r="B229" s="15" t="str">
        <f aca="false">IF($A229="","",INDEX(c_Name,$A229)&amp;"")</f>
        <v>Edward Lee</v>
      </c>
      <c r="C229" s="15" t="str">
        <f aca="false">IF($A229="","",INDEX(c_Firm,$A229)&amp;"")</f>
        <v>PIAS</v>
      </c>
      <c r="D229" s="15" t="str">
        <f aca="false">IF($A229="","",INDEX(c_Type,$A229)&amp;"")</f>
        <v>Adviser</v>
      </c>
      <c r="E229" s="15" t="str">
        <f aca="false">IF($A229="","",INDEX(c_Email,$A229)&amp;"")</f>
        <v>edward.lee@proinvest.com.sg</v>
      </c>
      <c r="F229" s="36" t="str">
        <f aca="false">IF($A229="","",INDEX(c_Met,$A229)&amp;"")</f>
        <v>No</v>
      </c>
      <c r="G229" s="26" t="str">
        <f aca="false">IF($A229="","",IF(INDEX(c_Date,$A229)="","",INDEX(c_Date,$A229)))</f>
        <v/>
      </c>
      <c r="H229" s="35" t="str">
        <f aca="false">IF($A229="","",IF(INDEX(c_Days,$A229)="","",INDEX(c_Days,$A229)))</f>
        <v/>
      </c>
      <c r="I229" s="41" t="n">
        <f aca="false">IF($A229="","",IF(INDEX(c_Mtgs,$A229)="","",INDEX(c_Mtgs,$A229)))</f>
        <v>0</v>
      </c>
      <c r="J229" s="15" t="str">
        <f aca="false">IF($A229="","",INDEX(c_EvtNames,$A229)&amp;"")</f>
        <v/>
      </c>
      <c r="K229" s="36" t="str">
        <f aca="false">IF($A229="","",INDEX(c_Invested,$A229)&amp;"")</f>
        <v>No</v>
      </c>
      <c r="L229" s="16" t="str">
        <f aca="false">IF($A229="","",IF(INDEX(c_AUM,$A229)="","",INDEX(c_AUM,$A229)))</f>
        <v/>
      </c>
      <c r="M229" s="15" t="str">
        <f aca="false">IF($A229="","",INDEX(c_Source,$A229)&amp;"")</f>
        <v>Mass Email PIAS</v>
      </c>
      <c r="N229" s="15" t="str">
        <f aca="false">IF($A229="","",INDEX(c_Notes,$A229)&amp;"")</f>
        <v/>
      </c>
    </row>
    <row r="230" customFormat="false" ht="15" hidden="false" customHeight="false" outlineLevel="0" collapsed="false">
      <c r="A230" s="32" t="n">
        <f aca="false">IFERROR(MATCH(ROW()-5,c_Seq,0),"")</f>
        <v>225</v>
      </c>
      <c r="B230" s="11" t="str">
        <f aca="false">IF($A230="","",INDEX(c_Name,$A230)&amp;"")</f>
        <v>Edy Hartono</v>
      </c>
      <c r="C230" s="11" t="str">
        <f aca="false">IF($A230="","",INDEX(c_Firm,$A230)&amp;"")</f>
        <v>PIAS</v>
      </c>
      <c r="D230" s="11" t="str">
        <f aca="false">IF($A230="","",INDEX(c_Type,$A230)&amp;"")</f>
        <v>Adviser</v>
      </c>
      <c r="E230" s="11" t="str">
        <f aca="false">IF($A230="","",INDEX(c_Email,$A230)&amp;"")</f>
        <v>edy.hartono@proinvest.com.sg</v>
      </c>
      <c r="F230" s="34" t="str">
        <f aca="false">IF($A230="","",INDEX(c_Met,$A230)&amp;"")</f>
        <v>No</v>
      </c>
      <c r="G230" s="25" t="str">
        <f aca="false">IF($A230="","",IF(INDEX(c_Date,$A230)="","",INDEX(c_Date,$A230)))</f>
        <v/>
      </c>
      <c r="H230" s="33" t="str">
        <f aca="false">IF($A230="","",IF(INDEX(c_Days,$A230)="","",INDEX(c_Days,$A230)))</f>
        <v/>
      </c>
      <c r="I230" s="40" t="n">
        <f aca="false">IF($A230="","",IF(INDEX(c_Mtgs,$A230)="","",INDEX(c_Mtgs,$A230)))</f>
        <v>0</v>
      </c>
      <c r="J230" s="11" t="str">
        <f aca="false">IF($A230="","",INDEX(c_EvtNames,$A230)&amp;"")</f>
        <v/>
      </c>
      <c r="K230" s="34" t="str">
        <f aca="false">IF($A230="","",INDEX(c_Invested,$A230)&amp;"")</f>
        <v>No</v>
      </c>
      <c r="L230" s="12" t="str">
        <f aca="false">IF($A230="","",IF(INDEX(c_AUM,$A230)="","",INDEX(c_AUM,$A230)))</f>
        <v/>
      </c>
      <c r="M230" s="11" t="str">
        <f aca="false">IF($A230="","",INDEX(c_Source,$A230)&amp;"")</f>
        <v>Mass Email PIAS + Branch Directors</v>
      </c>
      <c r="N230" s="11" t="str">
        <f aca="false">IF($A230="","",INDEX(c_Notes,$A230)&amp;"")</f>
        <v>Branch: Polaris Advisory</v>
      </c>
    </row>
    <row r="231" customFormat="false" ht="15" hidden="false" customHeight="false" outlineLevel="0" collapsed="false">
      <c r="A231" s="32" t="n">
        <f aca="false">IFERROR(MATCH(ROW()-5,c_Seq,0),"")</f>
        <v>226</v>
      </c>
      <c r="B231" s="15" t="str">
        <f aca="false">IF($A231="","",INDEX(c_Name,$A231)&amp;"")</f>
        <v>Elizabeth Lau</v>
      </c>
      <c r="C231" s="15" t="str">
        <f aca="false">IF($A231="","",INDEX(c_Firm,$A231)&amp;"")</f>
        <v>PIAS</v>
      </c>
      <c r="D231" s="15" t="str">
        <f aca="false">IF($A231="","",INDEX(c_Type,$A231)&amp;"")</f>
        <v>Adviser</v>
      </c>
      <c r="E231" s="15" t="str">
        <f aca="false">IF($A231="","",INDEX(c_Email,$A231)&amp;"")</f>
        <v>elizabeth.lau@proinvest.com.sg</v>
      </c>
      <c r="F231" s="36" t="str">
        <f aca="false">IF($A231="","",INDEX(c_Met,$A231)&amp;"")</f>
        <v>No</v>
      </c>
      <c r="G231" s="26" t="str">
        <f aca="false">IF($A231="","",IF(INDEX(c_Date,$A231)="","",INDEX(c_Date,$A231)))</f>
        <v/>
      </c>
      <c r="H231" s="35" t="str">
        <f aca="false">IF($A231="","",IF(INDEX(c_Days,$A231)="","",INDEX(c_Days,$A231)))</f>
        <v/>
      </c>
      <c r="I231" s="41" t="n">
        <f aca="false">IF($A231="","",IF(INDEX(c_Mtgs,$A231)="","",INDEX(c_Mtgs,$A231)))</f>
        <v>0</v>
      </c>
      <c r="J231" s="15" t="str">
        <f aca="false">IF($A231="","",INDEX(c_EvtNames,$A231)&amp;"")</f>
        <v/>
      </c>
      <c r="K231" s="36" t="str">
        <f aca="false">IF($A231="","",INDEX(c_Invested,$A231)&amp;"")</f>
        <v>No</v>
      </c>
      <c r="L231" s="16" t="str">
        <f aca="false">IF($A231="","",IF(INDEX(c_AUM,$A231)="","",INDEX(c_AUM,$A231)))</f>
        <v/>
      </c>
      <c r="M231" s="15" t="str">
        <f aca="false">IF($A231="","",INDEX(c_Source,$A231)&amp;"")</f>
        <v>Mass Email PIAS</v>
      </c>
      <c r="N231" s="15" t="str">
        <f aca="false">IF($A231="","",INDEX(c_Notes,$A231)&amp;"")</f>
        <v/>
      </c>
    </row>
    <row r="232" customFormat="false" ht="15" hidden="false" customHeight="false" outlineLevel="0" collapsed="false">
      <c r="A232" s="32" t="n">
        <f aca="false">IFERROR(MATCH(ROW()-5,c_Seq,0),"")</f>
        <v>227</v>
      </c>
      <c r="B232" s="11" t="str">
        <f aca="false">IF($A232="","",INDEX(c_Name,$A232)&amp;"")</f>
        <v>Elsie Toh</v>
      </c>
      <c r="C232" s="11" t="str">
        <f aca="false">IF($A232="","",INDEX(c_Firm,$A232)&amp;"")</f>
        <v>PIAS</v>
      </c>
      <c r="D232" s="11" t="str">
        <f aca="false">IF($A232="","",INDEX(c_Type,$A232)&amp;"")</f>
        <v>Adviser</v>
      </c>
      <c r="E232" s="11" t="str">
        <f aca="false">IF($A232="","",INDEX(c_Email,$A232)&amp;"")</f>
        <v>elsie.toh@proinvest.com.sg</v>
      </c>
      <c r="F232" s="34" t="str">
        <f aca="false">IF($A232="","",INDEX(c_Met,$A232)&amp;"")</f>
        <v>No</v>
      </c>
      <c r="G232" s="25" t="str">
        <f aca="false">IF($A232="","",IF(INDEX(c_Date,$A232)="","",INDEX(c_Date,$A232)))</f>
        <v/>
      </c>
      <c r="H232" s="33" t="str">
        <f aca="false">IF($A232="","",IF(INDEX(c_Days,$A232)="","",INDEX(c_Days,$A232)))</f>
        <v/>
      </c>
      <c r="I232" s="40" t="n">
        <f aca="false">IF($A232="","",IF(INDEX(c_Mtgs,$A232)="","",INDEX(c_Mtgs,$A232)))</f>
        <v>0</v>
      </c>
      <c r="J232" s="11" t="str">
        <f aca="false">IF($A232="","",INDEX(c_EvtNames,$A232)&amp;"")</f>
        <v/>
      </c>
      <c r="K232" s="34" t="str">
        <f aca="false">IF($A232="","",INDEX(c_Invested,$A232)&amp;"")</f>
        <v>No</v>
      </c>
      <c r="L232" s="12" t="str">
        <f aca="false">IF($A232="","",IF(INDEX(c_AUM,$A232)="","",INDEX(c_AUM,$A232)))</f>
        <v/>
      </c>
      <c r="M232" s="11" t="str">
        <f aca="false">IF($A232="","",INDEX(c_Source,$A232)&amp;"")</f>
        <v>Mass Email PIAS</v>
      </c>
      <c r="N232" s="11" t="str">
        <f aca="false">IF($A232="","",INDEX(c_Notes,$A232)&amp;"")</f>
        <v/>
      </c>
    </row>
    <row r="233" customFormat="false" ht="15" hidden="false" customHeight="false" outlineLevel="0" collapsed="false">
      <c r="A233" s="32" t="n">
        <f aca="false">IFERROR(MATCH(ROW()-5,c_Seq,0),"")</f>
        <v>228</v>
      </c>
      <c r="B233" s="15" t="str">
        <f aca="false">IF($A233="","",INDEX(c_Name,$A233)&amp;"")</f>
        <v>Eric Cheah Chun Kit</v>
      </c>
      <c r="C233" s="15" t="str">
        <f aca="false">IF($A233="","",INDEX(c_Firm,$A233)&amp;"")</f>
        <v>PIAS</v>
      </c>
      <c r="D233" s="15" t="str">
        <f aca="false">IF($A233="","",INDEX(c_Type,$A233)&amp;"")</f>
        <v>Branch Director</v>
      </c>
      <c r="E233" s="15" t="str">
        <f aca="false">IF($A233="","",INDEX(c_Email,$A233)&amp;"")</f>
        <v/>
      </c>
      <c r="F233" s="36" t="str">
        <f aca="false">IF($A233="","",INDEX(c_Met,$A233)&amp;"")</f>
        <v>No</v>
      </c>
      <c r="G233" s="26" t="str">
        <f aca="false">IF($A233="","",IF(INDEX(c_Date,$A233)="","",INDEX(c_Date,$A233)))</f>
        <v/>
      </c>
      <c r="H233" s="35" t="str">
        <f aca="false">IF($A233="","",IF(INDEX(c_Days,$A233)="","",INDEX(c_Days,$A233)))</f>
        <v/>
      </c>
      <c r="I233" s="41" t="n">
        <f aca="false">IF($A233="","",IF(INDEX(c_Mtgs,$A233)="","",INDEX(c_Mtgs,$A233)))</f>
        <v>0</v>
      </c>
      <c r="J233" s="15" t="str">
        <f aca="false">IF($A233="","",INDEX(c_EvtNames,$A233)&amp;"")</f>
        <v/>
      </c>
      <c r="K233" s="36" t="str">
        <f aca="false">IF($A233="","",INDEX(c_Invested,$A233)&amp;"")</f>
        <v>No</v>
      </c>
      <c r="L233" s="16" t="str">
        <f aca="false">IF($A233="","",IF(INDEX(c_AUM,$A233)="","",INDEX(c_AUM,$A233)))</f>
        <v/>
      </c>
      <c r="M233" s="15" t="str">
        <f aca="false">IF($A233="","",INDEX(c_Source,$A233)&amp;"")</f>
        <v>Branch Directors</v>
      </c>
      <c r="N233" s="15" t="str">
        <f aca="false">IF($A233="","",INDEX(c_Notes,$A233)&amp;"")</f>
        <v>Branch: APEX Infinite Financial Consultancy | https://www.linkedin.com/in/ericcheahpias/</v>
      </c>
    </row>
    <row r="234" customFormat="false" ht="15" hidden="false" customHeight="false" outlineLevel="0" collapsed="false">
      <c r="A234" s="32" t="n">
        <f aca="false">IFERROR(MATCH(ROW()-5,c_Seq,0),"")</f>
        <v>229</v>
      </c>
      <c r="B234" s="11" t="str">
        <f aca="false">IF($A234="","",INDEX(c_Name,$A234)&amp;"")</f>
        <v>Felicia Fong</v>
      </c>
      <c r="C234" s="11" t="str">
        <f aca="false">IF($A234="","",INDEX(c_Firm,$A234)&amp;"")</f>
        <v>PIAS</v>
      </c>
      <c r="D234" s="11" t="str">
        <f aca="false">IF($A234="","",INDEX(c_Type,$A234)&amp;"")</f>
        <v>Adviser</v>
      </c>
      <c r="E234" s="11" t="str">
        <f aca="false">IF($A234="","",INDEX(c_Email,$A234)&amp;"")</f>
        <v>felicia.fong@proinvest.com.sg</v>
      </c>
      <c r="F234" s="34" t="str">
        <f aca="false">IF($A234="","",INDEX(c_Met,$A234)&amp;"")</f>
        <v>No</v>
      </c>
      <c r="G234" s="25" t="str">
        <f aca="false">IF($A234="","",IF(INDEX(c_Date,$A234)="","",INDEX(c_Date,$A234)))</f>
        <v/>
      </c>
      <c r="H234" s="33" t="str">
        <f aca="false">IF($A234="","",IF(INDEX(c_Days,$A234)="","",INDEX(c_Days,$A234)))</f>
        <v/>
      </c>
      <c r="I234" s="40" t="n">
        <f aca="false">IF($A234="","",IF(INDEX(c_Mtgs,$A234)="","",INDEX(c_Mtgs,$A234)))</f>
        <v>0</v>
      </c>
      <c r="J234" s="11" t="str">
        <f aca="false">IF($A234="","",INDEX(c_EvtNames,$A234)&amp;"")</f>
        <v/>
      </c>
      <c r="K234" s="34" t="str">
        <f aca="false">IF($A234="","",INDEX(c_Invested,$A234)&amp;"")</f>
        <v>No</v>
      </c>
      <c r="L234" s="12" t="str">
        <f aca="false">IF($A234="","",IF(INDEX(c_AUM,$A234)="","",INDEX(c_AUM,$A234)))</f>
        <v/>
      </c>
      <c r="M234" s="11" t="str">
        <f aca="false">IF($A234="","",INDEX(c_Source,$A234)&amp;"")</f>
        <v>Mass Email PIAS</v>
      </c>
      <c r="N234" s="11" t="str">
        <f aca="false">IF($A234="","",INDEX(c_Notes,$A234)&amp;"")</f>
        <v/>
      </c>
    </row>
    <row r="235" customFormat="false" ht="15" hidden="false" customHeight="false" outlineLevel="0" collapsed="false">
      <c r="A235" s="32" t="n">
        <f aca="false">IFERROR(MATCH(ROW()-5,c_Seq,0),"")</f>
        <v>230</v>
      </c>
      <c r="B235" s="15" t="str">
        <f aca="false">IF($A235="","",INDEX(c_Name,$A235)&amp;"")</f>
        <v>Gabriel Wong</v>
      </c>
      <c r="C235" s="15" t="str">
        <f aca="false">IF($A235="","",INDEX(c_Firm,$A235)&amp;"")</f>
        <v>PIAS</v>
      </c>
      <c r="D235" s="15" t="str">
        <f aca="false">IF($A235="","",INDEX(c_Type,$A235)&amp;"")</f>
        <v>Adviser</v>
      </c>
      <c r="E235" s="15" t="str">
        <f aca="false">IF($A235="","",INDEX(c_Email,$A235)&amp;"")</f>
        <v>gabriel.wong@proinvest.com.sg</v>
      </c>
      <c r="F235" s="36" t="str">
        <f aca="false">IF($A235="","",INDEX(c_Met,$A235)&amp;"")</f>
        <v>No</v>
      </c>
      <c r="G235" s="26" t="str">
        <f aca="false">IF($A235="","",IF(INDEX(c_Date,$A235)="","",INDEX(c_Date,$A235)))</f>
        <v/>
      </c>
      <c r="H235" s="35" t="str">
        <f aca="false">IF($A235="","",IF(INDEX(c_Days,$A235)="","",INDEX(c_Days,$A235)))</f>
        <v/>
      </c>
      <c r="I235" s="41" t="n">
        <f aca="false">IF($A235="","",IF(INDEX(c_Mtgs,$A235)="","",INDEX(c_Mtgs,$A235)))</f>
        <v>0</v>
      </c>
      <c r="J235" s="15" t="str">
        <f aca="false">IF($A235="","",INDEX(c_EvtNames,$A235)&amp;"")</f>
        <v/>
      </c>
      <c r="K235" s="36" t="str">
        <f aca="false">IF($A235="","",INDEX(c_Invested,$A235)&amp;"")</f>
        <v>No</v>
      </c>
      <c r="L235" s="16" t="str">
        <f aca="false">IF($A235="","",IF(INDEX(c_AUM,$A235)="","",INDEX(c_AUM,$A235)))</f>
        <v/>
      </c>
      <c r="M235" s="15" t="str">
        <f aca="false">IF($A235="","",INDEX(c_Source,$A235)&amp;"")</f>
        <v>Mass Email PIAS</v>
      </c>
      <c r="N235" s="15" t="str">
        <f aca="false">IF($A235="","",INDEX(c_Notes,$A235)&amp;"")</f>
        <v/>
      </c>
    </row>
    <row r="236" customFormat="false" ht="15" hidden="false" customHeight="false" outlineLevel="0" collapsed="false">
      <c r="A236" s="32" t="n">
        <f aca="false">IFERROR(MATCH(ROW()-5,c_Seq,0),"")</f>
        <v>231</v>
      </c>
      <c r="B236" s="11" t="str">
        <f aca="false">IF($A236="","",INDEX(c_Name,$A236)&amp;"")</f>
        <v>Gekheok Toh</v>
      </c>
      <c r="C236" s="11" t="str">
        <f aca="false">IF($A236="","",INDEX(c_Firm,$A236)&amp;"")</f>
        <v>PIAS</v>
      </c>
      <c r="D236" s="11" t="str">
        <f aca="false">IF($A236="","",INDEX(c_Type,$A236)&amp;"")</f>
        <v>Adviser</v>
      </c>
      <c r="E236" s="11" t="str">
        <f aca="false">IF($A236="","",INDEX(c_Email,$A236)&amp;"")</f>
        <v>gekheok.toh@proinvest.com.sg</v>
      </c>
      <c r="F236" s="34" t="str">
        <f aca="false">IF($A236="","",INDEX(c_Met,$A236)&amp;"")</f>
        <v>No</v>
      </c>
      <c r="G236" s="25" t="str">
        <f aca="false">IF($A236="","",IF(INDEX(c_Date,$A236)="","",INDEX(c_Date,$A236)))</f>
        <v/>
      </c>
      <c r="H236" s="33" t="str">
        <f aca="false">IF($A236="","",IF(INDEX(c_Days,$A236)="","",INDEX(c_Days,$A236)))</f>
        <v/>
      </c>
      <c r="I236" s="40" t="n">
        <f aca="false">IF($A236="","",IF(INDEX(c_Mtgs,$A236)="","",INDEX(c_Mtgs,$A236)))</f>
        <v>0</v>
      </c>
      <c r="J236" s="11" t="str">
        <f aca="false">IF($A236="","",INDEX(c_EvtNames,$A236)&amp;"")</f>
        <v/>
      </c>
      <c r="K236" s="34" t="str">
        <f aca="false">IF($A236="","",INDEX(c_Invested,$A236)&amp;"")</f>
        <v>No</v>
      </c>
      <c r="L236" s="12" t="str">
        <f aca="false">IF($A236="","",IF(INDEX(c_AUM,$A236)="","",INDEX(c_AUM,$A236)))</f>
        <v/>
      </c>
      <c r="M236" s="11" t="str">
        <f aca="false">IF($A236="","",INDEX(c_Source,$A236)&amp;"")</f>
        <v>Mass Email PIAS</v>
      </c>
      <c r="N236" s="11" t="str">
        <f aca="false">IF($A236="","",INDEX(c_Notes,$A236)&amp;"")</f>
        <v/>
      </c>
    </row>
    <row r="237" customFormat="false" ht="15" hidden="false" customHeight="false" outlineLevel="0" collapsed="false">
      <c r="A237" s="32" t="n">
        <f aca="false">IFERROR(MATCH(ROW()-5,c_Seq,0),"")</f>
        <v>232</v>
      </c>
      <c r="B237" s="15" t="str">
        <f aca="false">IF($A237="","",INDEX(c_Name,$A237)&amp;"")</f>
        <v>Guansi Ng</v>
      </c>
      <c r="C237" s="15" t="str">
        <f aca="false">IF($A237="","",INDEX(c_Firm,$A237)&amp;"")</f>
        <v>PIAS</v>
      </c>
      <c r="D237" s="15" t="str">
        <f aca="false">IF($A237="","",INDEX(c_Type,$A237)&amp;"")</f>
        <v>Adviser</v>
      </c>
      <c r="E237" s="15" t="str">
        <f aca="false">IF($A237="","",INDEX(c_Email,$A237)&amp;"")</f>
        <v>guansi.ng@proinvest.com.sg</v>
      </c>
      <c r="F237" s="36" t="str">
        <f aca="false">IF($A237="","",INDEX(c_Met,$A237)&amp;"")</f>
        <v>No</v>
      </c>
      <c r="G237" s="26" t="str">
        <f aca="false">IF($A237="","",IF(INDEX(c_Date,$A237)="","",INDEX(c_Date,$A237)))</f>
        <v/>
      </c>
      <c r="H237" s="35" t="str">
        <f aca="false">IF($A237="","",IF(INDEX(c_Days,$A237)="","",INDEX(c_Days,$A237)))</f>
        <v/>
      </c>
      <c r="I237" s="41" t="n">
        <f aca="false">IF($A237="","",IF(INDEX(c_Mtgs,$A237)="","",INDEX(c_Mtgs,$A237)))</f>
        <v>0</v>
      </c>
      <c r="J237" s="15" t="str">
        <f aca="false">IF($A237="","",INDEX(c_EvtNames,$A237)&amp;"")</f>
        <v/>
      </c>
      <c r="K237" s="36" t="str">
        <f aca="false">IF($A237="","",INDEX(c_Invested,$A237)&amp;"")</f>
        <v>No</v>
      </c>
      <c r="L237" s="16" t="str">
        <f aca="false">IF($A237="","",IF(INDEX(c_AUM,$A237)="","",INDEX(c_AUM,$A237)))</f>
        <v/>
      </c>
      <c r="M237" s="15" t="str">
        <f aca="false">IF($A237="","",INDEX(c_Source,$A237)&amp;"")</f>
        <v>Mass Email PIAS</v>
      </c>
      <c r="N237" s="15" t="str">
        <f aca="false">IF($A237="","",INDEX(c_Notes,$A237)&amp;"")</f>
        <v/>
      </c>
    </row>
    <row r="238" customFormat="false" ht="15" hidden="false" customHeight="false" outlineLevel="0" collapsed="false">
      <c r="A238" s="32" t="n">
        <f aca="false">IFERROR(MATCH(ROW()-5,c_Seq,0),"")</f>
        <v>233</v>
      </c>
      <c r="B238" s="11" t="str">
        <f aca="false">IF($A238="","",INDEX(c_Name,$A238)&amp;"")</f>
        <v>Huiting Toh</v>
      </c>
      <c r="C238" s="11" t="str">
        <f aca="false">IF($A238="","",INDEX(c_Firm,$A238)&amp;"")</f>
        <v>PIAS</v>
      </c>
      <c r="D238" s="11" t="str">
        <f aca="false">IF($A238="","",INDEX(c_Type,$A238)&amp;"")</f>
        <v>Adviser</v>
      </c>
      <c r="E238" s="11" t="str">
        <f aca="false">IF($A238="","",INDEX(c_Email,$A238)&amp;"")</f>
        <v>huiting.toh@proinvest.com.sg</v>
      </c>
      <c r="F238" s="34" t="str">
        <f aca="false">IF($A238="","",INDEX(c_Met,$A238)&amp;"")</f>
        <v>No</v>
      </c>
      <c r="G238" s="25" t="str">
        <f aca="false">IF($A238="","",IF(INDEX(c_Date,$A238)="","",INDEX(c_Date,$A238)))</f>
        <v/>
      </c>
      <c r="H238" s="33" t="str">
        <f aca="false">IF($A238="","",IF(INDEX(c_Days,$A238)="","",INDEX(c_Days,$A238)))</f>
        <v/>
      </c>
      <c r="I238" s="40" t="n">
        <f aca="false">IF($A238="","",IF(INDEX(c_Mtgs,$A238)="","",INDEX(c_Mtgs,$A238)))</f>
        <v>0</v>
      </c>
      <c r="J238" s="11" t="str">
        <f aca="false">IF($A238="","",INDEX(c_EvtNames,$A238)&amp;"")</f>
        <v/>
      </c>
      <c r="K238" s="34" t="str">
        <f aca="false">IF($A238="","",INDEX(c_Invested,$A238)&amp;"")</f>
        <v>No</v>
      </c>
      <c r="L238" s="12" t="str">
        <f aca="false">IF($A238="","",IF(INDEX(c_AUM,$A238)="","",INDEX(c_AUM,$A238)))</f>
        <v/>
      </c>
      <c r="M238" s="11" t="str">
        <f aca="false">IF($A238="","",INDEX(c_Source,$A238)&amp;"")</f>
        <v>Mass Email PIAS</v>
      </c>
      <c r="N238" s="11" t="str">
        <f aca="false">IF($A238="","",INDEX(c_Notes,$A238)&amp;"")</f>
        <v/>
      </c>
    </row>
    <row r="239" customFormat="false" ht="15" hidden="false" customHeight="false" outlineLevel="0" collapsed="false">
      <c r="A239" s="32" t="n">
        <f aca="false">IFERROR(MATCH(ROW()-5,c_Seq,0),"")</f>
        <v>234</v>
      </c>
      <c r="B239" s="15" t="str">
        <f aca="false">IF($A239="","",INDEX(c_Name,$A239)&amp;"")</f>
        <v>Hung Lib Teo</v>
      </c>
      <c r="C239" s="15" t="str">
        <f aca="false">IF($A239="","",INDEX(c_Firm,$A239)&amp;"")</f>
        <v>PIAS</v>
      </c>
      <c r="D239" s="15" t="str">
        <f aca="false">IF($A239="","",INDEX(c_Type,$A239)&amp;"")</f>
        <v>Adviser</v>
      </c>
      <c r="E239" s="15" t="str">
        <f aca="false">IF($A239="","",INDEX(c_Email,$A239)&amp;"")</f>
        <v>hunglib.teo@proinvest.com.sg</v>
      </c>
      <c r="F239" s="36" t="str">
        <f aca="false">IF($A239="","",INDEX(c_Met,$A239)&amp;"")</f>
        <v>No</v>
      </c>
      <c r="G239" s="26" t="str">
        <f aca="false">IF($A239="","",IF(INDEX(c_Date,$A239)="","",INDEX(c_Date,$A239)))</f>
        <v/>
      </c>
      <c r="H239" s="35" t="str">
        <f aca="false">IF($A239="","",IF(INDEX(c_Days,$A239)="","",INDEX(c_Days,$A239)))</f>
        <v/>
      </c>
      <c r="I239" s="41" t="n">
        <f aca="false">IF($A239="","",IF(INDEX(c_Mtgs,$A239)="","",INDEX(c_Mtgs,$A239)))</f>
        <v>0</v>
      </c>
      <c r="J239" s="15" t="str">
        <f aca="false">IF($A239="","",INDEX(c_EvtNames,$A239)&amp;"")</f>
        <v/>
      </c>
      <c r="K239" s="36" t="str">
        <f aca="false">IF($A239="","",INDEX(c_Invested,$A239)&amp;"")</f>
        <v>No</v>
      </c>
      <c r="L239" s="16" t="str">
        <f aca="false">IF($A239="","",IF(INDEX(c_AUM,$A239)="","",INDEX(c_AUM,$A239)))</f>
        <v/>
      </c>
      <c r="M239" s="15" t="str">
        <f aca="false">IF($A239="","",INDEX(c_Source,$A239)&amp;"")</f>
        <v>Mass Email PIAS</v>
      </c>
      <c r="N239" s="15" t="str">
        <f aca="false">IF($A239="","",INDEX(c_Notes,$A239)&amp;"")</f>
        <v/>
      </c>
    </row>
    <row r="240" customFormat="false" ht="15" hidden="false" customHeight="false" outlineLevel="0" collapsed="false">
      <c r="A240" s="32" t="n">
        <f aca="false">IFERROR(MATCH(ROW()-5,c_Seq,0),"")</f>
        <v>235</v>
      </c>
      <c r="B240" s="11" t="str">
        <f aca="false">IF($A240="","",INDEX(c_Name,$A240)&amp;"")</f>
        <v>Jacan Ng</v>
      </c>
      <c r="C240" s="11" t="str">
        <f aca="false">IF($A240="","",INDEX(c_Firm,$A240)&amp;"")</f>
        <v>PIAS</v>
      </c>
      <c r="D240" s="11" t="str">
        <f aca="false">IF($A240="","",INDEX(c_Type,$A240)&amp;"")</f>
        <v>Adviser</v>
      </c>
      <c r="E240" s="11" t="str">
        <f aca="false">IF($A240="","",INDEX(c_Email,$A240)&amp;"")</f>
        <v>jacan.ng@proinvest.com.sg</v>
      </c>
      <c r="F240" s="34" t="str">
        <f aca="false">IF($A240="","",INDEX(c_Met,$A240)&amp;"")</f>
        <v>No</v>
      </c>
      <c r="G240" s="25" t="str">
        <f aca="false">IF($A240="","",IF(INDEX(c_Date,$A240)="","",INDEX(c_Date,$A240)))</f>
        <v/>
      </c>
      <c r="H240" s="33" t="str">
        <f aca="false">IF($A240="","",IF(INDEX(c_Days,$A240)="","",INDEX(c_Days,$A240)))</f>
        <v/>
      </c>
      <c r="I240" s="40" t="n">
        <f aca="false">IF($A240="","",IF(INDEX(c_Mtgs,$A240)="","",INDEX(c_Mtgs,$A240)))</f>
        <v>0</v>
      </c>
      <c r="J240" s="11" t="str">
        <f aca="false">IF($A240="","",INDEX(c_EvtNames,$A240)&amp;"")</f>
        <v/>
      </c>
      <c r="K240" s="34" t="str">
        <f aca="false">IF($A240="","",INDEX(c_Invested,$A240)&amp;"")</f>
        <v>No</v>
      </c>
      <c r="L240" s="12" t="str">
        <f aca="false">IF($A240="","",IF(INDEX(c_AUM,$A240)="","",INDEX(c_AUM,$A240)))</f>
        <v/>
      </c>
      <c r="M240" s="11" t="str">
        <f aca="false">IF($A240="","",INDEX(c_Source,$A240)&amp;"")</f>
        <v>Mass Email PIAS</v>
      </c>
      <c r="N240" s="11" t="str">
        <f aca="false">IF($A240="","",INDEX(c_Notes,$A240)&amp;"")</f>
        <v/>
      </c>
    </row>
    <row r="241" customFormat="false" ht="15" hidden="false" customHeight="false" outlineLevel="0" collapsed="false">
      <c r="A241" s="32" t="n">
        <f aca="false">IFERROR(MATCH(ROW()-5,c_Seq,0),"")</f>
        <v>236</v>
      </c>
      <c r="B241" s="15" t="str">
        <f aca="false">IF($A241="","",INDEX(c_Name,$A241)&amp;"")</f>
        <v>James Yang Jiahao</v>
      </c>
      <c r="C241" s="15" t="str">
        <f aca="false">IF($A241="","",INDEX(c_Firm,$A241)&amp;"")</f>
        <v>PIAS</v>
      </c>
      <c r="D241" s="15" t="str">
        <f aca="false">IF($A241="","",INDEX(c_Type,$A241)&amp;"")</f>
        <v>Branch Director</v>
      </c>
      <c r="E241" s="15" t="str">
        <f aca="false">IF($A241="","",INDEX(c_Email,$A241)&amp;"")</f>
        <v/>
      </c>
      <c r="F241" s="36" t="str">
        <f aca="false">IF($A241="","",INDEX(c_Met,$A241)&amp;"")</f>
        <v>No</v>
      </c>
      <c r="G241" s="26" t="str">
        <f aca="false">IF($A241="","",IF(INDEX(c_Date,$A241)="","",INDEX(c_Date,$A241)))</f>
        <v/>
      </c>
      <c r="H241" s="35" t="str">
        <f aca="false">IF($A241="","",IF(INDEX(c_Days,$A241)="","",INDEX(c_Days,$A241)))</f>
        <v/>
      </c>
      <c r="I241" s="41" t="n">
        <f aca="false">IF($A241="","",IF(INDEX(c_Mtgs,$A241)="","",INDEX(c_Mtgs,$A241)))</f>
        <v>0</v>
      </c>
      <c r="J241" s="15" t="str">
        <f aca="false">IF($A241="","",INDEX(c_EvtNames,$A241)&amp;"")</f>
        <v/>
      </c>
      <c r="K241" s="36" t="str">
        <f aca="false">IF($A241="","",INDEX(c_Invested,$A241)&amp;"")</f>
        <v>No</v>
      </c>
      <c r="L241" s="16" t="str">
        <f aca="false">IF($A241="","",IF(INDEX(c_AUM,$A241)="","",INDEX(c_AUM,$A241)))</f>
        <v/>
      </c>
      <c r="M241" s="15" t="str">
        <f aca="false">IF($A241="","",INDEX(c_Source,$A241)&amp;"")</f>
        <v>Branch Directors</v>
      </c>
      <c r="N241" s="15" t="str">
        <f aca="false">IF($A241="","",INDEX(c_Notes,$A241)&amp;"")</f>
        <v>Branch: Beacon Advisers | https://www.linkedin.com/in/jamesyangmdrt/</v>
      </c>
    </row>
    <row r="242" customFormat="false" ht="15" hidden="false" customHeight="false" outlineLevel="0" collapsed="false">
      <c r="A242" s="32" t="n">
        <f aca="false">IFERROR(MATCH(ROW()-5,c_Seq,0),"")</f>
        <v>237</v>
      </c>
      <c r="B242" s="11" t="str">
        <f aca="false">IF($A242="","",INDEX(c_Name,$A242)&amp;"")</f>
        <v>Jameswongyn</v>
      </c>
      <c r="C242" s="11" t="str">
        <f aca="false">IF($A242="","",INDEX(c_Firm,$A242)&amp;"")</f>
        <v>PIAS</v>
      </c>
      <c r="D242" s="11" t="str">
        <f aca="false">IF($A242="","",INDEX(c_Type,$A242)&amp;"")</f>
        <v>Adviser</v>
      </c>
      <c r="E242" s="11" t="str">
        <f aca="false">IF($A242="","",INDEX(c_Email,$A242)&amp;"")</f>
        <v>jameswongyn@gmail.com</v>
      </c>
      <c r="F242" s="34" t="str">
        <f aca="false">IF($A242="","",INDEX(c_Met,$A242)&amp;"")</f>
        <v>No</v>
      </c>
      <c r="G242" s="25" t="str">
        <f aca="false">IF($A242="","",IF(INDEX(c_Date,$A242)="","",INDEX(c_Date,$A242)))</f>
        <v/>
      </c>
      <c r="H242" s="33" t="str">
        <f aca="false">IF($A242="","",IF(INDEX(c_Days,$A242)="","",INDEX(c_Days,$A242)))</f>
        <v/>
      </c>
      <c r="I242" s="40" t="n">
        <f aca="false">IF($A242="","",IF(INDEX(c_Mtgs,$A242)="","",INDEX(c_Mtgs,$A242)))</f>
        <v>0</v>
      </c>
      <c r="J242" s="11" t="str">
        <f aca="false">IF($A242="","",INDEX(c_EvtNames,$A242)&amp;"")</f>
        <v/>
      </c>
      <c r="K242" s="34" t="str">
        <f aca="false">IF($A242="","",INDEX(c_Invested,$A242)&amp;"")</f>
        <v>No</v>
      </c>
      <c r="L242" s="12" t="str">
        <f aca="false">IF($A242="","",IF(INDEX(c_AUM,$A242)="","",INDEX(c_AUM,$A242)))</f>
        <v/>
      </c>
      <c r="M242" s="11" t="str">
        <f aca="false">IF($A242="","",INDEX(c_Source,$A242)&amp;"")</f>
        <v>Mass Email PIAS</v>
      </c>
      <c r="N242" s="11" t="str">
        <f aca="false">IF($A242="","",INDEX(c_Notes,$A242)&amp;"")</f>
        <v/>
      </c>
    </row>
    <row r="243" customFormat="false" ht="15" hidden="false" customHeight="false" outlineLevel="0" collapsed="false">
      <c r="A243" s="32" t="n">
        <f aca="false">IFERROR(MATCH(ROW()-5,c_Seq,0),"")</f>
        <v>238</v>
      </c>
      <c r="B243" s="15" t="str">
        <f aca="false">IF($A243="","",INDEX(c_Name,$A243)&amp;"")</f>
        <v>Janice Tay</v>
      </c>
      <c r="C243" s="15" t="str">
        <f aca="false">IF($A243="","",INDEX(c_Firm,$A243)&amp;"")</f>
        <v>PIAS</v>
      </c>
      <c r="D243" s="15" t="str">
        <f aca="false">IF($A243="","",INDEX(c_Type,$A243)&amp;"")</f>
        <v>Adviser</v>
      </c>
      <c r="E243" s="15" t="str">
        <f aca="false">IF($A243="","",INDEX(c_Email,$A243)&amp;"")</f>
        <v>janice.tay@proinvest.com.sg</v>
      </c>
      <c r="F243" s="36" t="str">
        <f aca="false">IF($A243="","",INDEX(c_Met,$A243)&amp;"")</f>
        <v>Yes</v>
      </c>
      <c r="G243" s="26" t="n">
        <f aca="false">IF($A243="","",IF(INDEX(c_Date,$A243)="","",INDEX(c_Date,$A243)))</f>
        <v>45924</v>
      </c>
      <c r="H243" s="35" t="n">
        <f aca="false">IF($A243="","",IF(INDEX(c_Days,$A243)="","",INDEX(c_Days,$A243)))</f>
        <v>317</v>
      </c>
      <c r="I243" s="41" t="n">
        <f aca="false">IF($A243="","",IF(INDEX(c_Mtgs,$A243)="","",INDEX(c_Mtgs,$A243)))</f>
        <v>1</v>
      </c>
      <c r="J243" s="15" t="str">
        <f aca="false">IF($A243="","",INDEX(c_EvtNames,$A243)&amp;"")</f>
        <v/>
      </c>
      <c r="K243" s="36" t="str">
        <f aca="false">IF($A243="","",INDEX(c_Invested,$A243)&amp;"")</f>
        <v>No</v>
      </c>
      <c r="L243" s="16" t="n">
        <f aca="false">IF($A243="","",IF(INDEX(c_AUM,$A243)="","",INDEX(c_AUM,$A243)))</f>
        <v>3000000</v>
      </c>
      <c r="M243" s="15" t="str">
        <f aca="false">IF($A243="","",INDEX(c_Source,$A243)&amp;"")</f>
        <v>Meeting List + ILP Data</v>
      </c>
      <c r="N243" s="15" t="str">
        <f aca="false">IF($A243="","",INDEX(c_Notes,$A243)&amp;"")</f>
        <v/>
      </c>
    </row>
    <row r="244" customFormat="false" ht="15" hidden="false" customHeight="false" outlineLevel="0" collapsed="false">
      <c r="A244" s="32" t="n">
        <f aca="false">IFERROR(MATCH(ROW()-5,c_Seq,0),"")</f>
        <v>239</v>
      </c>
      <c r="B244" s="11" t="str">
        <f aca="false">IF($A244="","",INDEX(c_Name,$A244)&amp;"")</f>
        <v>Jay Wong</v>
      </c>
      <c r="C244" s="11" t="str">
        <f aca="false">IF($A244="","",INDEX(c_Firm,$A244)&amp;"")</f>
        <v>PIAS</v>
      </c>
      <c r="D244" s="11" t="str">
        <f aca="false">IF($A244="","",INDEX(c_Type,$A244)&amp;"")</f>
        <v>Adviser</v>
      </c>
      <c r="E244" s="11" t="str">
        <f aca="false">IF($A244="","",INDEX(c_Email,$A244)&amp;"")</f>
        <v>jay.wong@proinvest.com.sg</v>
      </c>
      <c r="F244" s="34" t="str">
        <f aca="false">IF($A244="","",INDEX(c_Met,$A244)&amp;"")</f>
        <v>No</v>
      </c>
      <c r="G244" s="25" t="str">
        <f aca="false">IF($A244="","",IF(INDEX(c_Date,$A244)="","",INDEX(c_Date,$A244)))</f>
        <v/>
      </c>
      <c r="H244" s="33" t="str">
        <f aca="false">IF($A244="","",IF(INDEX(c_Days,$A244)="","",INDEX(c_Days,$A244)))</f>
        <v/>
      </c>
      <c r="I244" s="40" t="n">
        <f aca="false">IF($A244="","",IF(INDEX(c_Mtgs,$A244)="","",INDEX(c_Mtgs,$A244)))</f>
        <v>0</v>
      </c>
      <c r="J244" s="11" t="str">
        <f aca="false">IF($A244="","",INDEX(c_EvtNames,$A244)&amp;"")</f>
        <v/>
      </c>
      <c r="K244" s="34" t="str">
        <f aca="false">IF($A244="","",INDEX(c_Invested,$A244)&amp;"")</f>
        <v>No</v>
      </c>
      <c r="L244" s="12" t="str">
        <f aca="false">IF($A244="","",IF(INDEX(c_AUM,$A244)="","",INDEX(c_AUM,$A244)))</f>
        <v/>
      </c>
      <c r="M244" s="11" t="str">
        <f aca="false">IF($A244="","",INDEX(c_Source,$A244)&amp;"")</f>
        <v>Mass Email PIAS</v>
      </c>
      <c r="N244" s="11" t="str">
        <f aca="false">IF($A244="","",INDEX(c_Notes,$A244)&amp;"")</f>
        <v/>
      </c>
    </row>
    <row r="245" customFormat="false" ht="15" hidden="false" customHeight="false" outlineLevel="0" collapsed="false">
      <c r="A245" s="32" t="n">
        <f aca="false">IFERROR(MATCH(ROW()-5,c_Seq,0),"")</f>
        <v>240</v>
      </c>
      <c r="B245" s="15" t="str">
        <f aca="false">IF($A245="","",INDEX(c_Name,$A245)&amp;"")</f>
        <v>Jeffrey Edwards</v>
      </c>
      <c r="C245" s="15" t="str">
        <f aca="false">IF($A245="","",INDEX(c_Firm,$A245)&amp;"")</f>
        <v>PIAS</v>
      </c>
      <c r="D245" s="15" t="str">
        <f aca="false">IF($A245="","",INDEX(c_Type,$A245)&amp;"")</f>
        <v>Adviser</v>
      </c>
      <c r="E245" s="15" t="str">
        <f aca="false">IF($A245="","",INDEX(c_Email,$A245)&amp;"")</f>
        <v>jeffrey.edwards@proinvest.com.sg</v>
      </c>
      <c r="F245" s="36" t="str">
        <f aca="false">IF($A245="","",INDEX(c_Met,$A245)&amp;"")</f>
        <v>No</v>
      </c>
      <c r="G245" s="26" t="str">
        <f aca="false">IF($A245="","",IF(INDEX(c_Date,$A245)="","",INDEX(c_Date,$A245)))</f>
        <v/>
      </c>
      <c r="H245" s="35" t="str">
        <f aca="false">IF($A245="","",IF(INDEX(c_Days,$A245)="","",INDEX(c_Days,$A245)))</f>
        <v/>
      </c>
      <c r="I245" s="41" t="n">
        <f aca="false">IF($A245="","",IF(INDEX(c_Mtgs,$A245)="","",INDEX(c_Mtgs,$A245)))</f>
        <v>0</v>
      </c>
      <c r="J245" s="15" t="str">
        <f aca="false">IF($A245="","",INDEX(c_EvtNames,$A245)&amp;"")</f>
        <v/>
      </c>
      <c r="K245" s="36" t="str">
        <f aca="false">IF($A245="","",INDEX(c_Invested,$A245)&amp;"")</f>
        <v>No</v>
      </c>
      <c r="L245" s="16" t="str">
        <f aca="false">IF($A245="","",IF(INDEX(c_AUM,$A245)="","",INDEX(c_AUM,$A245)))</f>
        <v/>
      </c>
      <c r="M245" s="15" t="str">
        <f aca="false">IF($A245="","",INDEX(c_Source,$A245)&amp;"")</f>
        <v>Mass Email PIAS</v>
      </c>
      <c r="N245" s="15" t="str">
        <f aca="false">IF($A245="","",INDEX(c_Notes,$A245)&amp;"")</f>
        <v/>
      </c>
    </row>
    <row r="246" customFormat="false" ht="15" hidden="false" customHeight="false" outlineLevel="0" collapsed="false">
      <c r="A246" s="32" t="n">
        <f aca="false">IFERROR(MATCH(ROW()-5,c_Seq,0),"")</f>
        <v>241</v>
      </c>
      <c r="B246" s="11" t="str">
        <f aca="false">IF($A246="","",INDEX(c_Name,$A246)&amp;"")</f>
        <v>Jelson Koh</v>
      </c>
      <c r="C246" s="11" t="str">
        <f aca="false">IF($A246="","",INDEX(c_Firm,$A246)&amp;"")</f>
        <v>PIAS</v>
      </c>
      <c r="D246" s="11" t="str">
        <f aca="false">IF($A246="","",INDEX(c_Type,$A246)&amp;"")</f>
        <v>Adviser</v>
      </c>
      <c r="E246" s="11" t="str">
        <f aca="false">IF($A246="","",INDEX(c_Email,$A246)&amp;"")</f>
        <v>jelson.koh@proinvest.com.sg</v>
      </c>
      <c r="F246" s="34" t="str">
        <f aca="false">IF($A246="","",INDEX(c_Met,$A246)&amp;"")</f>
        <v>No</v>
      </c>
      <c r="G246" s="25" t="str">
        <f aca="false">IF($A246="","",IF(INDEX(c_Date,$A246)="","",INDEX(c_Date,$A246)))</f>
        <v/>
      </c>
      <c r="H246" s="33" t="str">
        <f aca="false">IF($A246="","",IF(INDEX(c_Days,$A246)="","",INDEX(c_Days,$A246)))</f>
        <v/>
      </c>
      <c r="I246" s="40" t="n">
        <f aca="false">IF($A246="","",IF(INDEX(c_Mtgs,$A246)="","",INDEX(c_Mtgs,$A246)))</f>
        <v>0</v>
      </c>
      <c r="J246" s="11" t="str">
        <f aca="false">IF($A246="","",INDEX(c_EvtNames,$A246)&amp;"")</f>
        <v/>
      </c>
      <c r="K246" s="34" t="str">
        <f aca="false">IF($A246="","",INDEX(c_Invested,$A246)&amp;"")</f>
        <v>No</v>
      </c>
      <c r="L246" s="12" t="str">
        <f aca="false">IF($A246="","",IF(INDEX(c_AUM,$A246)="","",INDEX(c_AUM,$A246)))</f>
        <v/>
      </c>
      <c r="M246" s="11" t="str">
        <f aca="false">IF($A246="","",INDEX(c_Source,$A246)&amp;"")</f>
        <v>Mass Email PIAS</v>
      </c>
      <c r="N246" s="11" t="str">
        <f aca="false">IF($A246="","",INDEX(c_Notes,$A246)&amp;"")</f>
        <v/>
      </c>
    </row>
    <row r="247" customFormat="false" ht="15" hidden="false" customHeight="false" outlineLevel="0" collapsed="false">
      <c r="A247" s="32" t="n">
        <f aca="false">IFERROR(MATCH(ROW()-5,c_Seq,0),"")</f>
        <v>242</v>
      </c>
      <c r="B247" s="15" t="str">
        <f aca="false">IF($A247="","",INDEX(c_Name,$A247)&amp;"")</f>
        <v>Jerry Teo</v>
      </c>
      <c r="C247" s="15" t="str">
        <f aca="false">IF($A247="","",INDEX(c_Firm,$A247)&amp;"")</f>
        <v>PIAS</v>
      </c>
      <c r="D247" s="15" t="str">
        <f aca="false">IF($A247="","",INDEX(c_Type,$A247)&amp;"")</f>
        <v>Branch Director</v>
      </c>
      <c r="E247" s="15" t="str">
        <f aca="false">IF($A247="","",INDEX(c_Email,$A247)&amp;"")</f>
        <v/>
      </c>
      <c r="F247" s="36" t="str">
        <f aca="false">IF($A247="","",INDEX(c_Met,$A247)&amp;"")</f>
        <v>No</v>
      </c>
      <c r="G247" s="26" t="str">
        <f aca="false">IF($A247="","",IF(INDEX(c_Date,$A247)="","",INDEX(c_Date,$A247)))</f>
        <v/>
      </c>
      <c r="H247" s="35" t="str">
        <f aca="false">IF($A247="","",IF(INDEX(c_Days,$A247)="","",INDEX(c_Days,$A247)))</f>
        <v/>
      </c>
      <c r="I247" s="41" t="n">
        <f aca="false">IF($A247="","",IF(INDEX(c_Mtgs,$A247)="","",INDEX(c_Mtgs,$A247)))</f>
        <v>0</v>
      </c>
      <c r="J247" s="15" t="str">
        <f aca="false">IF($A247="","",INDEX(c_EvtNames,$A247)&amp;"")</f>
        <v/>
      </c>
      <c r="K247" s="36" t="str">
        <f aca="false">IF($A247="","",INDEX(c_Invested,$A247)&amp;"")</f>
        <v>No</v>
      </c>
      <c r="L247" s="16" t="str">
        <f aca="false">IF($A247="","",IF(INDEX(c_AUM,$A247)="","",INDEX(c_AUM,$A247)))</f>
        <v/>
      </c>
      <c r="M247" s="15" t="str">
        <f aca="false">IF($A247="","",INDEX(c_Source,$A247)&amp;"")</f>
        <v>Branch Directors</v>
      </c>
      <c r="N247" s="15" t="str">
        <f aca="false">IF($A247="","",INDEX(c_Notes,$A247)&amp;"")</f>
        <v>Branch: Prime Achievers | https://www.linkedin.com/in/jerry-teo-b1206a1a8/</v>
      </c>
    </row>
    <row r="248" customFormat="false" ht="15" hidden="false" customHeight="false" outlineLevel="0" collapsed="false">
      <c r="A248" s="32" t="n">
        <f aca="false">IFERROR(MATCH(ROW()-5,c_Seq,0),"")</f>
        <v>243</v>
      </c>
      <c r="B248" s="11" t="str">
        <f aca="false">IF($A248="","",INDEX(c_Name,$A248)&amp;"")</f>
        <v>Jessica Yeo</v>
      </c>
      <c r="C248" s="11" t="str">
        <f aca="false">IF($A248="","",INDEX(c_Firm,$A248)&amp;"")</f>
        <v>PIAS</v>
      </c>
      <c r="D248" s="11" t="str">
        <f aca="false">IF($A248="","",INDEX(c_Type,$A248)&amp;"")</f>
        <v>Adviser</v>
      </c>
      <c r="E248" s="11" t="str">
        <f aca="false">IF($A248="","",INDEX(c_Email,$A248)&amp;"")</f>
        <v>jessica.yeo@proinvest.com.sg</v>
      </c>
      <c r="F248" s="34" t="str">
        <f aca="false">IF($A248="","",INDEX(c_Met,$A248)&amp;"")</f>
        <v>No</v>
      </c>
      <c r="G248" s="25" t="str">
        <f aca="false">IF($A248="","",IF(INDEX(c_Date,$A248)="","",INDEX(c_Date,$A248)))</f>
        <v/>
      </c>
      <c r="H248" s="33" t="str">
        <f aca="false">IF($A248="","",IF(INDEX(c_Days,$A248)="","",INDEX(c_Days,$A248)))</f>
        <v/>
      </c>
      <c r="I248" s="40" t="n">
        <f aca="false">IF($A248="","",IF(INDEX(c_Mtgs,$A248)="","",INDEX(c_Mtgs,$A248)))</f>
        <v>0</v>
      </c>
      <c r="J248" s="11" t="str">
        <f aca="false">IF($A248="","",INDEX(c_EvtNames,$A248)&amp;"")</f>
        <v/>
      </c>
      <c r="K248" s="34" t="str">
        <f aca="false">IF($A248="","",INDEX(c_Invested,$A248)&amp;"")</f>
        <v>No</v>
      </c>
      <c r="L248" s="12" t="str">
        <f aca="false">IF($A248="","",IF(INDEX(c_AUM,$A248)="","",INDEX(c_AUM,$A248)))</f>
        <v/>
      </c>
      <c r="M248" s="11" t="str">
        <f aca="false">IF($A248="","",INDEX(c_Source,$A248)&amp;"")</f>
        <v>Mass Email PIAS</v>
      </c>
      <c r="N248" s="11" t="str">
        <f aca="false">IF($A248="","",INDEX(c_Notes,$A248)&amp;"")</f>
        <v/>
      </c>
    </row>
    <row r="249" customFormat="false" ht="15" hidden="false" customHeight="false" outlineLevel="0" collapsed="false">
      <c r="A249" s="32" t="n">
        <f aca="false">IFERROR(MATCH(ROW()-5,c_Seq,0),"")</f>
        <v>244</v>
      </c>
      <c r="B249" s="15" t="str">
        <f aca="false">IF($A249="","",INDEX(c_Name,$A249)&amp;"")</f>
        <v>Jessica Zheng</v>
      </c>
      <c r="C249" s="15" t="str">
        <f aca="false">IF($A249="","",INDEX(c_Firm,$A249)&amp;"")</f>
        <v>PIAS</v>
      </c>
      <c r="D249" s="15" t="str">
        <f aca="false">IF($A249="","",INDEX(c_Type,$A249)&amp;"")</f>
        <v>Adviser</v>
      </c>
      <c r="E249" s="15" t="str">
        <f aca="false">IF($A249="","",INDEX(c_Email,$A249)&amp;"")</f>
        <v>jessica.zheng@proinvest.com.sg</v>
      </c>
      <c r="F249" s="36" t="str">
        <f aca="false">IF($A249="","",INDEX(c_Met,$A249)&amp;"")</f>
        <v>No</v>
      </c>
      <c r="G249" s="26" t="str">
        <f aca="false">IF($A249="","",IF(INDEX(c_Date,$A249)="","",INDEX(c_Date,$A249)))</f>
        <v/>
      </c>
      <c r="H249" s="35" t="str">
        <f aca="false">IF($A249="","",IF(INDEX(c_Days,$A249)="","",INDEX(c_Days,$A249)))</f>
        <v/>
      </c>
      <c r="I249" s="41" t="n">
        <f aca="false">IF($A249="","",IF(INDEX(c_Mtgs,$A249)="","",INDEX(c_Mtgs,$A249)))</f>
        <v>0</v>
      </c>
      <c r="J249" s="15" t="str">
        <f aca="false">IF($A249="","",INDEX(c_EvtNames,$A249)&amp;"")</f>
        <v/>
      </c>
      <c r="K249" s="36" t="str">
        <f aca="false">IF($A249="","",INDEX(c_Invested,$A249)&amp;"")</f>
        <v>No</v>
      </c>
      <c r="L249" s="16" t="str">
        <f aca="false">IF($A249="","",IF(INDEX(c_AUM,$A249)="","",INDEX(c_AUM,$A249)))</f>
        <v/>
      </c>
      <c r="M249" s="15" t="str">
        <f aca="false">IF($A249="","",INDEX(c_Source,$A249)&amp;"")</f>
        <v>Mass Email PIAS</v>
      </c>
      <c r="N249" s="15" t="str">
        <f aca="false">IF($A249="","",INDEX(c_Notes,$A249)&amp;"")</f>
        <v/>
      </c>
    </row>
    <row r="250" customFormat="false" ht="15" hidden="false" customHeight="false" outlineLevel="0" collapsed="false">
      <c r="A250" s="32" t="n">
        <f aca="false">IFERROR(MATCH(ROW()-5,c_Seq,0),"")</f>
        <v>245</v>
      </c>
      <c r="B250" s="11" t="str">
        <f aca="false">IF($A250="","",INDEX(c_Name,$A250)&amp;"")</f>
        <v>Jessie Leo</v>
      </c>
      <c r="C250" s="11" t="str">
        <f aca="false">IF($A250="","",INDEX(c_Firm,$A250)&amp;"")</f>
        <v>PIAS</v>
      </c>
      <c r="D250" s="11" t="str">
        <f aca="false">IF($A250="","",INDEX(c_Type,$A250)&amp;"")</f>
        <v>Adviser</v>
      </c>
      <c r="E250" s="11" t="str">
        <f aca="false">IF($A250="","",INDEX(c_Email,$A250)&amp;"")</f>
        <v>jessie.leo@proinvest.com.sg</v>
      </c>
      <c r="F250" s="34" t="str">
        <f aca="false">IF($A250="","",INDEX(c_Met,$A250)&amp;"")</f>
        <v>No</v>
      </c>
      <c r="G250" s="25" t="str">
        <f aca="false">IF($A250="","",IF(INDEX(c_Date,$A250)="","",INDEX(c_Date,$A250)))</f>
        <v/>
      </c>
      <c r="H250" s="33" t="str">
        <f aca="false">IF($A250="","",IF(INDEX(c_Days,$A250)="","",INDEX(c_Days,$A250)))</f>
        <v/>
      </c>
      <c r="I250" s="40" t="n">
        <f aca="false">IF($A250="","",IF(INDEX(c_Mtgs,$A250)="","",INDEX(c_Mtgs,$A250)))</f>
        <v>0</v>
      </c>
      <c r="J250" s="11" t="str">
        <f aca="false">IF($A250="","",INDEX(c_EvtNames,$A250)&amp;"")</f>
        <v/>
      </c>
      <c r="K250" s="34" t="str">
        <f aca="false">IF($A250="","",INDEX(c_Invested,$A250)&amp;"")</f>
        <v>No</v>
      </c>
      <c r="L250" s="12" t="str">
        <f aca="false">IF($A250="","",IF(INDEX(c_AUM,$A250)="","",INDEX(c_AUM,$A250)))</f>
        <v/>
      </c>
      <c r="M250" s="11" t="str">
        <f aca="false">IF($A250="","",INDEX(c_Source,$A250)&amp;"")</f>
        <v>Mass Email PIAS</v>
      </c>
      <c r="N250" s="11" t="str">
        <f aca="false">IF($A250="","",INDEX(c_Notes,$A250)&amp;"")</f>
        <v/>
      </c>
    </row>
    <row r="251" customFormat="false" ht="15" hidden="false" customHeight="false" outlineLevel="0" collapsed="false">
      <c r="A251" s="32" t="n">
        <f aca="false">IFERROR(MATCH(ROW()-5,c_Seq,0),"")</f>
        <v>246</v>
      </c>
      <c r="B251" s="15" t="str">
        <f aca="false">IF($A251="","",INDEX(c_Name,$A251)&amp;"")</f>
        <v>Joanne Limhf</v>
      </c>
      <c r="C251" s="15" t="str">
        <f aca="false">IF($A251="","",INDEX(c_Firm,$A251)&amp;"")</f>
        <v>PIAS</v>
      </c>
      <c r="D251" s="15" t="str">
        <f aca="false">IF($A251="","",INDEX(c_Type,$A251)&amp;"")</f>
        <v>Adviser</v>
      </c>
      <c r="E251" s="15" t="str">
        <f aca="false">IF($A251="","",INDEX(c_Email,$A251)&amp;"")</f>
        <v>joanne.limhf@proinvest.com.sg</v>
      </c>
      <c r="F251" s="36" t="str">
        <f aca="false">IF($A251="","",INDEX(c_Met,$A251)&amp;"")</f>
        <v>No</v>
      </c>
      <c r="G251" s="26" t="str">
        <f aca="false">IF($A251="","",IF(INDEX(c_Date,$A251)="","",INDEX(c_Date,$A251)))</f>
        <v/>
      </c>
      <c r="H251" s="35" t="str">
        <f aca="false">IF($A251="","",IF(INDEX(c_Days,$A251)="","",INDEX(c_Days,$A251)))</f>
        <v/>
      </c>
      <c r="I251" s="41" t="n">
        <f aca="false">IF($A251="","",IF(INDEX(c_Mtgs,$A251)="","",INDEX(c_Mtgs,$A251)))</f>
        <v>0</v>
      </c>
      <c r="J251" s="15" t="str">
        <f aca="false">IF($A251="","",INDEX(c_EvtNames,$A251)&amp;"")</f>
        <v/>
      </c>
      <c r="K251" s="36" t="str">
        <f aca="false">IF($A251="","",INDEX(c_Invested,$A251)&amp;"")</f>
        <v>No</v>
      </c>
      <c r="L251" s="16" t="str">
        <f aca="false">IF($A251="","",IF(INDEX(c_AUM,$A251)="","",INDEX(c_AUM,$A251)))</f>
        <v/>
      </c>
      <c r="M251" s="15" t="str">
        <f aca="false">IF($A251="","",INDEX(c_Source,$A251)&amp;"")</f>
        <v>Mass Email PIAS</v>
      </c>
      <c r="N251" s="15" t="str">
        <f aca="false">IF($A251="","",INDEX(c_Notes,$A251)&amp;"")</f>
        <v/>
      </c>
    </row>
    <row r="252" customFormat="false" ht="15" hidden="false" customHeight="false" outlineLevel="0" collapsed="false">
      <c r="A252" s="32" t="n">
        <f aca="false">IFERROR(MATCH(ROW()-5,c_Seq,0),"")</f>
        <v>247</v>
      </c>
      <c r="B252" s="11" t="str">
        <f aca="false">IF($A252="","",INDEX(c_Name,$A252)&amp;"")</f>
        <v>John Lua</v>
      </c>
      <c r="C252" s="11" t="str">
        <f aca="false">IF($A252="","",INDEX(c_Firm,$A252)&amp;"")</f>
        <v>PIAS</v>
      </c>
      <c r="D252" s="11" t="str">
        <f aca="false">IF($A252="","",INDEX(c_Type,$A252)&amp;"")</f>
        <v>Adviser</v>
      </c>
      <c r="E252" s="11" t="str">
        <f aca="false">IF($A252="","",INDEX(c_Email,$A252)&amp;"")</f>
        <v>john.lua@proinvest.com.sg</v>
      </c>
      <c r="F252" s="34" t="str">
        <f aca="false">IF($A252="","",INDEX(c_Met,$A252)&amp;"")</f>
        <v>Yes</v>
      </c>
      <c r="G252" s="25" t="n">
        <f aca="false">IF($A252="","",IF(INDEX(c_Date,$A252)="","",INDEX(c_Date,$A252)))</f>
        <v>45960</v>
      </c>
      <c r="H252" s="33" t="n">
        <f aca="false">IF($A252="","",IF(INDEX(c_Days,$A252)="","",INDEX(c_Days,$A252)))</f>
        <v>281</v>
      </c>
      <c r="I252" s="40" t="n">
        <f aca="false">IF($A252="","",IF(INDEX(c_Mtgs,$A252)="","",INDEX(c_Mtgs,$A252)))</f>
        <v>1</v>
      </c>
      <c r="J252" s="11" t="str">
        <f aca="false">IF($A252="","",INDEX(c_EvtNames,$A252)&amp;"")</f>
        <v>Oct-25 Symposium, May-26 Symposium</v>
      </c>
      <c r="K252" s="34" t="str">
        <f aca="false">IF($A252="","",INDEX(c_Invested,$A252)&amp;"")</f>
        <v>Yes</v>
      </c>
      <c r="L252" s="12" t="n">
        <f aca="false">IF($A252="","",IF(INDEX(c_AUM,$A252)="","",INDEX(c_AUM,$A252)))</f>
        <v>30000000</v>
      </c>
      <c r="M252" s="11" t="str">
        <f aca="false">IF($A252="","",INDEX(c_Source,$A252)&amp;"")</f>
        <v>Meeting List + ILP Data + Branch Directors</v>
      </c>
      <c r="N252" s="11" t="str">
        <f aca="false">IF($A252="","",INDEX(c_Notes,$A252)&amp;"")</f>
        <v>Reports to Edy Hartono | Branch: Polaris Advisory</v>
      </c>
    </row>
    <row r="253" customFormat="false" ht="15" hidden="false" customHeight="false" outlineLevel="0" collapsed="false">
      <c r="A253" s="32" t="n">
        <f aca="false">IFERROR(MATCH(ROW()-5,c_Seq,0),"")</f>
        <v>248</v>
      </c>
      <c r="B253" s="15" t="str">
        <f aca="false">IF($A253="","",INDEX(c_Name,$A253)&amp;"")</f>
        <v>John NG</v>
      </c>
      <c r="C253" s="15" t="str">
        <f aca="false">IF($A253="","",INDEX(c_Firm,$A253)&amp;"")</f>
        <v>PIAS</v>
      </c>
      <c r="D253" s="15" t="str">
        <f aca="false">IF($A253="","",INDEX(c_Type,$A253)&amp;"")</f>
        <v>Branch Director</v>
      </c>
      <c r="E253" s="15" t="str">
        <f aca="false">IF($A253="","",INDEX(c_Email,$A253)&amp;"")</f>
        <v/>
      </c>
      <c r="F253" s="36" t="str">
        <f aca="false">IF($A253="","",INDEX(c_Met,$A253)&amp;"")</f>
        <v>No</v>
      </c>
      <c r="G253" s="26" t="str">
        <f aca="false">IF($A253="","",IF(INDEX(c_Date,$A253)="","",INDEX(c_Date,$A253)))</f>
        <v/>
      </c>
      <c r="H253" s="35" t="str">
        <f aca="false">IF($A253="","",IF(INDEX(c_Days,$A253)="","",INDEX(c_Days,$A253)))</f>
        <v/>
      </c>
      <c r="I253" s="41" t="n">
        <f aca="false">IF($A253="","",IF(INDEX(c_Mtgs,$A253)="","",INDEX(c_Mtgs,$A253)))</f>
        <v>0</v>
      </c>
      <c r="J253" s="15" t="str">
        <f aca="false">IF($A253="","",INDEX(c_EvtNames,$A253)&amp;"")</f>
        <v/>
      </c>
      <c r="K253" s="36" t="str">
        <f aca="false">IF($A253="","",INDEX(c_Invested,$A253)&amp;"")</f>
        <v>No</v>
      </c>
      <c r="L253" s="16" t="str">
        <f aca="false">IF($A253="","",IF(INDEX(c_AUM,$A253)="","",INDEX(c_AUM,$A253)))</f>
        <v/>
      </c>
      <c r="M253" s="15" t="str">
        <f aca="false">IF($A253="","",INDEX(c_Source,$A253)&amp;"")</f>
        <v>Branch Directors</v>
      </c>
      <c r="N253" s="15" t="str">
        <f aca="false">IF($A253="","",INDEX(c_Notes,$A253)&amp;"")</f>
        <v>Branch: Affinity Elite Advisory</v>
      </c>
    </row>
    <row r="254" customFormat="false" ht="15" hidden="false" customHeight="false" outlineLevel="0" collapsed="false">
      <c r="A254" s="32" t="n">
        <f aca="false">IFERROR(MATCH(ROW()-5,c_Seq,0),"")</f>
        <v>249</v>
      </c>
      <c r="B254" s="11" t="str">
        <f aca="false">IF($A254="","",INDEX(c_Name,$A254)&amp;"")</f>
        <v>Joraine Tan Hui Hui</v>
      </c>
      <c r="C254" s="11" t="str">
        <f aca="false">IF($A254="","",INDEX(c_Firm,$A254)&amp;"")</f>
        <v>PIAS</v>
      </c>
      <c r="D254" s="11" t="str">
        <f aca="false">IF($A254="","",INDEX(c_Type,$A254)&amp;"")</f>
        <v>Branch Director</v>
      </c>
      <c r="E254" s="11" t="str">
        <f aca="false">IF($A254="","",INDEX(c_Email,$A254)&amp;"")</f>
        <v/>
      </c>
      <c r="F254" s="34" t="str">
        <f aca="false">IF($A254="","",INDEX(c_Met,$A254)&amp;"")</f>
        <v>No</v>
      </c>
      <c r="G254" s="25" t="str">
        <f aca="false">IF($A254="","",IF(INDEX(c_Date,$A254)="","",INDEX(c_Date,$A254)))</f>
        <v/>
      </c>
      <c r="H254" s="33" t="str">
        <f aca="false">IF($A254="","",IF(INDEX(c_Days,$A254)="","",INDEX(c_Days,$A254)))</f>
        <v/>
      </c>
      <c r="I254" s="40" t="n">
        <f aca="false">IF($A254="","",IF(INDEX(c_Mtgs,$A254)="","",INDEX(c_Mtgs,$A254)))</f>
        <v>0</v>
      </c>
      <c r="J254" s="11" t="str">
        <f aca="false">IF($A254="","",INDEX(c_EvtNames,$A254)&amp;"")</f>
        <v/>
      </c>
      <c r="K254" s="34" t="str">
        <f aca="false">IF($A254="","",INDEX(c_Invested,$A254)&amp;"")</f>
        <v>No</v>
      </c>
      <c r="L254" s="12" t="str">
        <f aca="false">IF($A254="","",IF(INDEX(c_AUM,$A254)="","",INDEX(c_AUM,$A254)))</f>
        <v/>
      </c>
      <c r="M254" s="11" t="str">
        <f aca="false">IF($A254="","",INDEX(c_Source,$A254)&amp;"")</f>
        <v>Branch Directors</v>
      </c>
      <c r="N254" s="11" t="str">
        <f aca="false">IF($A254="","",INDEX(c_Notes,$A254)&amp;"")</f>
        <v>Branch: Prestige Wealth Advisory | https://www.linkedin.com/in/joraine-tan-02b80149/</v>
      </c>
    </row>
    <row r="255" customFormat="false" ht="15" hidden="false" customHeight="false" outlineLevel="0" collapsed="false">
      <c r="A255" s="32" t="n">
        <f aca="false">IFERROR(MATCH(ROW()-5,c_Seq,0),"")</f>
        <v>250</v>
      </c>
      <c r="B255" s="15" t="str">
        <f aca="false">IF($A255="","",INDEX(c_Name,$A255)&amp;"")</f>
        <v>Juan Zhao</v>
      </c>
      <c r="C255" s="15" t="str">
        <f aca="false">IF($A255="","",INDEX(c_Firm,$A255)&amp;"")</f>
        <v>PIAS</v>
      </c>
      <c r="D255" s="15" t="str">
        <f aca="false">IF($A255="","",INDEX(c_Type,$A255)&amp;"")</f>
        <v>Adviser</v>
      </c>
      <c r="E255" s="15" t="str">
        <f aca="false">IF($A255="","",INDEX(c_Email,$A255)&amp;"")</f>
        <v>juan.zhao@proinvest.com.sg</v>
      </c>
      <c r="F255" s="36" t="str">
        <f aca="false">IF($A255="","",INDEX(c_Met,$A255)&amp;"")</f>
        <v>No</v>
      </c>
      <c r="G255" s="26" t="str">
        <f aca="false">IF($A255="","",IF(INDEX(c_Date,$A255)="","",INDEX(c_Date,$A255)))</f>
        <v/>
      </c>
      <c r="H255" s="35" t="str">
        <f aca="false">IF($A255="","",IF(INDEX(c_Days,$A255)="","",INDEX(c_Days,$A255)))</f>
        <v/>
      </c>
      <c r="I255" s="41" t="n">
        <f aca="false">IF($A255="","",IF(INDEX(c_Mtgs,$A255)="","",INDEX(c_Mtgs,$A255)))</f>
        <v>0</v>
      </c>
      <c r="J255" s="15" t="str">
        <f aca="false">IF($A255="","",INDEX(c_EvtNames,$A255)&amp;"")</f>
        <v/>
      </c>
      <c r="K255" s="36" t="str">
        <f aca="false">IF($A255="","",INDEX(c_Invested,$A255)&amp;"")</f>
        <v>No</v>
      </c>
      <c r="L255" s="16" t="str">
        <f aca="false">IF($A255="","",IF(INDEX(c_AUM,$A255)="","",INDEX(c_AUM,$A255)))</f>
        <v/>
      </c>
      <c r="M255" s="15" t="str">
        <f aca="false">IF($A255="","",INDEX(c_Source,$A255)&amp;"")</f>
        <v>Mass Email PIAS</v>
      </c>
      <c r="N255" s="15" t="str">
        <f aca="false">IF($A255="","",INDEX(c_Notes,$A255)&amp;"")</f>
        <v/>
      </c>
    </row>
    <row r="256" customFormat="false" ht="15" hidden="false" customHeight="false" outlineLevel="0" collapsed="false">
      <c r="A256" s="32" t="n">
        <f aca="false">IFERROR(MATCH(ROW()-5,c_Seq,0),"")</f>
        <v>251</v>
      </c>
      <c r="B256" s="11" t="str">
        <f aca="false">IF($A256="","",INDEX(c_Name,$A256)&amp;"")</f>
        <v>Julian Qwek</v>
      </c>
      <c r="C256" s="11" t="str">
        <f aca="false">IF($A256="","",INDEX(c_Firm,$A256)&amp;"")</f>
        <v>PIAS</v>
      </c>
      <c r="D256" s="11" t="str">
        <f aca="false">IF($A256="","",INDEX(c_Type,$A256)&amp;"")</f>
        <v>Adviser</v>
      </c>
      <c r="E256" s="11" t="str">
        <f aca="false">IF($A256="","",INDEX(c_Email,$A256)&amp;"")</f>
        <v>julian.qwek@proinvest.com.sg</v>
      </c>
      <c r="F256" s="34" t="str">
        <f aca="false">IF($A256="","",INDEX(c_Met,$A256)&amp;"")</f>
        <v>No</v>
      </c>
      <c r="G256" s="25" t="str">
        <f aca="false">IF($A256="","",IF(INDEX(c_Date,$A256)="","",INDEX(c_Date,$A256)))</f>
        <v/>
      </c>
      <c r="H256" s="33" t="str">
        <f aca="false">IF($A256="","",IF(INDEX(c_Days,$A256)="","",INDEX(c_Days,$A256)))</f>
        <v/>
      </c>
      <c r="I256" s="40" t="n">
        <f aca="false">IF($A256="","",IF(INDEX(c_Mtgs,$A256)="","",INDEX(c_Mtgs,$A256)))</f>
        <v>0</v>
      </c>
      <c r="J256" s="11" t="str">
        <f aca="false">IF($A256="","",INDEX(c_EvtNames,$A256)&amp;"")</f>
        <v/>
      </c>
      <c r="K256" s="34" t="str">
        <f aca="false">IF($A256="","",INDEX(c_Invested,$A256)&amp;"")</f>
        <v>No</v>
      </c>
      <c r="L256" s="12" t="str">
        <f aca="false">IF($A256="","",IF(INDEX(c_AUM,$A256)="","",INDEX(c_AUM,$A256)))</f>
        <v/>
      </c>
      <c r="M256" s="11" t="str">
        <f aca="false">IF($A256="","",INDEX(c_Source,$A256)&amp;"")</f>
        <v>Mass Email PIAS</v>
      </c>
      <c r="N256" s="11" t="str">
        <f aca="false">IF($A256="","",INDEX(c_Notes,$A256)&amp;"")</f>
        <v/>
      </c>
    </row>
    <row r="257" customFormat="false" ht="15" hidden="false" customHeight="false" outlineLevel="0" collapsed="false">
      <c r="A257" s="32" t="n">
        <f aca="false">IFERROR(MATCH(ROW()-5,c_Seq,0),"")</f>
        <v>252</v>
      </c>
      <c r="B257" s="15" t="str">
        <f aca="false">IF($A257="","",INDEX(c_Name,$A257)&amp;"")</f>
        <v>Junwei Pak</v>
      </c>
      <c r="C257" s="15" t="str">
        <f aca="false">IF($A257="","",INDEX(c_Firm,$A257)&amp;"")</f>
        <v>PIAS</v>
      </c>
      <c r="D257" s="15" t="str">
        <f aca="false">IF($A257="","",INDEX(c_Type,$A257)&amp;"")</f>
        <v>Adviser</v>
      </c>
      <c r="E257" s="15" t="str">
        <f aca="false">IF($A257="","",INDEX(c_Email,$A257)&amp;"")</f>
        <v>junwei.pak@proinvest.com.sg</v>
      </c>
      <c r="F257" s="36" t="str">
        <f aca="false">IF($A257="","",INDEX(c_Met,$A257)&amp;"")</f>
        <v>No</v>
      </c>
      <c r="G257" s="26" t="str">
        <f aca="false">IF($A257="","",IF(INDEX(c_Date,$A257)="","",INDEX(c_Date,$A257)))</f>
        <v/>
      </c>
      <c r="H257" s="35" t="str">
        <f aca="false">IF($A257="","",IF(INDEX(c_Days,$A257)="","",INDEX(c_Days,$A257)))</f>
        <v/>
      </c>
      <c r="I257" s="41" t="n">
        <f aca="false">IF($A257="","",IF(INDEX(c_Mtgs,$A257)="","",INDEX(c_Mtgs,$A257)))</f>
        <v>0</v>
      </c>
      <c r="J257" s="15" t="str">
        <f aca="false">IF($A257="","",INDEX(c_EvtNames,$A257)&amp;"")</f>
        <v/>
      </c>
      <c r="K257" s="36" t="str">
        <f aca="false">IF($A257="","",INDEX(c_Invested,$A257)&amp;"")</f>
        <v>No</v>
      </c>
      <c r="L257" s="16" t="str">
        <f aca="false">IF($A257="","",IF(INDEX(c_AUM,$A257)="","",INDEX(c_AUM,$A257)))</f>
        <v/>
      </c>
      <c r="M257" s="15" t="str">
        <f aca="false">IF($A257="","",INDEX(c_Source,$A257)&amp;"")</f>
        <v>Mass Email PIAS</v>
      </c>
      <c r="N257" s="15" t="str">
        <f aca="false">IF($A257="","",INDEX(c_Notes,$A257)&amp;"")</f>
        <v/>
      </c>
    </row>
    <row r="258" customFormat="false" ht="15" hidden="false" customHeight="false" outlineLevel="0" collapsed="false">
      <c r="A258" s="32" t="n">
        <f aca="false">IFERROR(MATCH(ROW()-5,c_Seq,0),"")</f>
        <v>253</v>
      </c>
      <c r="B258" s="11" t="str">
        <f aca="false">IF($A258="","",INDEX(c_Name,$A258)&amp;"")</f>
        <v>Kailai Boey</v>
      </c>
      <c r="C258" s="11" t="str">
        <f aca="false">IF($A258="","",INDEX(c_Firm,$A258)&amp;"")</f>
        <v>PIAS</v>
      </c>
      <c r="D258" s="11" t="str">
        <f aca="false">IF($A258="","",INDEX(c_Type,$A258)&amp;"")</f>
        <v>Adviser</v>
      </c>
      <c r="E258" s="11" t="str">
        <f aca="false">IF($A258="","",INDEX(c_Email,$A258)&amp;"")</f>
        <v>kailai.boey@proinvest.com.sg</v>
      </c>
      <c r="F258" s="34" t="str">
        <f aca="false">IF($A258="","",INDEX(c_Met,$A258)&amp;"")</f>
        <v>No</v>
      </c>
      <c r="G258" s="25" t="str">
        <f aca="false">IF($A258="","",IF(INDEX(c_Date,$A258)="","",INDEX(c_Date,$A258)))</f>
        <v/>
      </c>
      <c r="H258" s="33" t="str">
        <f aca="false">IF($A258="","",IF(INDEX(c_Days,$A258)="","",INDEX(c_Days,$A258)))</f>
        <v/>
      </c>
      <c r="I258" s="40" t="n">
        <f aca="false">IF($A258="","",IF(INDEX(c_Mtgs,$A258)="","",INDEX(c_Mtgs,$A258)))</f>
        <v>0</v>
      </c>
      <c r="J258" s="11" t="str">
        <f aca="false">IF($A258="","",INDEX(c_EvtNames,$A258)&amp;"")</f>
        <v/>
      </c>
      <c r="K258" s="34" t="str">
        <f aca="false">IF($A258="","",INDEX(c_Invested,$A258)&amp;"")</f>
        <v>No</v>
      </c>
      <c r="L258" s="12" t="str">
        <f aca="false">IF($A258="","",IF(INDEX(c_AUM,$A258)="","",INDEX(c_AUM,$A258)))</f>
        <v/>
      </c>
      <c r="M258" s="11" t="str">
        <f aca="false">IF($A258="","",INDEX(c_Source,$A258)&amp;"")</f>
        <v>Mass Email PIAS</v>
      </c>
      <c r="N258" s="11" t="str">
        <f aca="false">IF($A258="","",INDEX(c_Notes,$A258)&amp;"")</f>
        <v/>
      </c>
    </row>
    <row r="259" customFormat="false" ht="15" hidden="false" customHeight="false" outlineLevel="0" collapsed="false">
      <c r="A259" s="32" t="n">
        <f aca="false">IFERROR(MATCH(ROW()-5,c_Seq,0),"")</f>
        <v>254</v>
      </c>
      <c r="B259" s="15" t="str">
        <f aca="false">IF($A259="","",INDEX(c_Name,$A259)&amp;"")</f>
        <v>Kaiser Tan</v>
      </c>
      <c r="C259" s="15" t="str">
        <f aca="false">IF($A259="","",INDEX(c_Firm,$A259)&amp;"")</f>
        <v>PIAS</v>
      </c>
      <c r="D259" s="15" t="str">
        <f aca="false">IF($A259="","",INDEX(c_Type,$A259)&amp;"")</f>
        <v>Adviser</v>
      </c>
      <c r="E259" s="15" t="str">
        <f aca="false">IF($A259="","",INDEX(c_Email,$A259)&amp;"")</f>
        <v>kaiser.tan@proinvest.com.sg</v>
      </c>
      <c r="F259" s="36" t="str">
        <f aca="false">IF($A259="","",INDEX(c_Met,$A259)&amp;"")</f>
        <v>No</v>
      </c>
      <c r="G259" s="26" t="str">
        <f aca="false">IF($A259="","",IF(INDEX(c_Date,$A259)="","",INDEX(c_Date,$A259)))</f>
        <v/>
      </c>
      <c r="H259" s="35" t="str">
        <f aca="false">IF($A259="","",IF(INDEX(c_Days,$A259)="","",INDEX(c_Days,$A259)))</f>
        <v/>
      </c>
      <c r="I259" s="41" t="n">
        <f aca="false">IF($A259="","",IF(INDEX(c_Mtgs,$A259)="","",INDEX(c_Mtgs,$A259)))</f>
        <v>0</v>
      </c>
      <c r="J259" s="15" t="str">
        <f aca="false">IF($A259="","",INDEX(c_EvtNames,$A259)&amp;"")</f>
        <v/>
      </c>
      <c r="K259" s="36" t="str">
        <f aca="false">IF($A259="","",INDEX(c_Invested,$A259)&amp;"")</f>
        <v>No</v>
      </c>
      <c r="L259" s="16" t="str">
        <f aca="false">IF($A259="","",IF(INDEX(c_AUM,$A259)="","",INDEX(c_AUM,$A259)))</f>
        <v/>
      </c>
      <c r="M259" s="15" t="str">
        <f aca="false">IF($A259="","",INDEX(c_Source,$A259)&amp;"")</f>
        <v>Mass Email PIAS</v>
      </c>
      <c r="N259" s="15" t="str">
        <f aca="false">IF($A259="","",INDEX(c_Notes,$A259)&amp;"")</f>
        <v/>
      </c>
    </row>
    <row r="260" customFormat="false" ht="15" hidden="false" customHeight="false" outlineLevel="0" collapsed="false">
      <c r="A260" s="32" t="n">
        <f aca="false">IFERROR(MATCH(ROW()-5,c_Seq,0),"")</f>
        <v>255</v>
      </c>
      <c r="B260" s="11" t="str">
        <f aca="false">IF($A260="","",INDEX(c_Name,$A260)&amp;"")</f>
        <v>Kaiyuan Ng</v>
      </c>
      <c r="C260" s="11" t="str">
        <f aca="false">IF($A260="","",INDEX(c_Firm,$A260)&amp;"")</f>
        <v>PIAS</v>
      </c>
      <c r="D260" s="11" t="str">
        <f aca="false">IF($A260="","",INDEX(c_Type,$A260)&amp;"")</f>
        <v>Adviser</v>
      </c>
      <c r="E260" s="11" t="str">
        <f aca="false">IF($A260="","",INDEX(c_Email,$A260)&amp;"")</f>
        <v>kaiyuan.ng@proinvest.com.sg</v>
      </c>
      <c r="F260" s="34" t="str">
        <f aca="false">IF($A260="","",INDEX(c_Met,$A260)&amp;"")</f>
        <v>No</v>
      </c>
      <c r="G260" s="25" t="str">
        <f aca="false">IF($A260="","",IF(INDEX(c_Date,$A260)="","",INDEX(c_Date,$A260)))</f>
        <v/>
      </c>
      <c r="H260" s="33" t="str">
        <f aca="false">IF($A260="","",IF(INDEX(c_Days,$A260)="","",INDEX(c_Days,$A260)))</f>
        <v/>
      </c>
      <c r="I260" s="40" t="n">
        <f aca="false">IF($A260="","",IF(INDEX(c_Mtgs,$A260)="","",INDEX(c_Mtgs,$A260)))</f>
        <v>0</v>
      </c>
      <c r="J260" s="11" t="str">
        <f aca="false">IF($A260="","",INDEX(c_EvtNames,$A260)&amp;"")</f>
        <v/>
      </c>
      <c r="K260" s="34" t="str">
        <f aca="false">IF($A260="","",INDEX(c_Invested,$A260)&amp;"")</f>
        <v>No</v>
      </c>
      <c r="L260" s="12" t="str">
        <f aca="false">IF($A260="","",IF(INDEX(c_AUM,$A260)="","",INDEX(c_AUM,$A260)))</f>
        <v/>
      </c>
      <c r="M260" s="11" t="str">
        <f aca="false">IF($A260="","",INDEX(c_Source,$A260)&amp;"")</f>
        <v>Mass Email PIAS</v>
      </c>
      <c r="N260" s="11" t="str">
        <f aca="false">IF($A260="","",INDEX(c_Notes,$A260)&amp;"")</f>
        <v/>
      </c>
    </row>
    <row r="261" customFormat="false" ht="15" hidden="false" customHeight="false" outlineLevel="0" collapsed="false">
      <c r="A261" s="32" t="n">
        <f aca="false">IFERROR(MATCH(ROW()-5,c_Seq,0),"")</f>
        <v>256</v>
      </c>
      <c r="B261" s="15" t="str">
        <f aca="false">IF($A261="","",INDEX(c_Name,$A261)&amp;"")</f>
        <v>Keng Zi Hao</v>
      </c>
      <c r="C261" s="15" t="str">
        <f aca="false">IF($A261="","",INDEX(c_Firm,$A261)&amp;"")</f>
        <v>PIAS</v>
      </c>
      <c r="D261" s="15" t="str">
        <f aca="false">IF($A261="","",INDEX(c_Type,$A261)&amp;"")</f>
        <v>Branch Director</v>
      </c>
      <c r="E261" s="15" t="str">
        <f aca="false">IF($A261="","",INDEX(c_Email,$A261)&amp;"")</f>
        <v/>
      </c>
      <c r="F261" s="36" t="str">
        <f aca="false">IF($A261="","",INDEX(c_Met,$A261)&amp;"")</f>
        <v>No</v>
      </c>
      <c r="G261" s="26" t="str">
        <f aca="false">IF($A261="","",IF(INDEX(c_Date,$A261)="","",INDEX(c_Date,$A261)))</f>
        <v/>
      </c>
      <c r="H261" s="35" t="str">
        <f aca="false">IF($A261="","",IF(INDEX(c_Days,$A261)="","",INDEX(c_Days,$A261)))</f>
        <v/>
      </c>
      <c r="I261" s="41" t="n">
        <f aca="false">IF($A261="","",IF(INDEX(c_Mtgs,$A261)="","",INDEX(c_Mtgs,$A261)))</f>
        <v>0</v>
      </c>
      <c r="J261" s="15" t="str">
        <f aca="false">IF($A261="","",INDEX(c_EvtNames,$A261)&amp;"")</f>
        <v/>
      </c>
      <c r="K261" s="36" t="str">
        <f aca="false">IF($A261="","",INDEX(c_Invested,$A261)&amp;"")</f>
        <v>No</v>
      </c>
      <c r="L261" s="16" t="str">
        <f aca="false">IF($A261="","",IF(INDEX(c_AUM,$A261)="","",INDEX(c_AUM,$A261)))</f>
        <v/>
      </c>
      <c r="M261" s="15" t="str">
        <f aca="false">IF($A261="","",INDEX(c_Source,$A261)&amp;"")</f>
        <v>Branch Directors</v>
      </c>
      <c r="N261" s="15" t="str">
        <f aca="false">IF($A261="","",INDEX(c_Notes,$A261)&amp;"")</f>
        <v>Branch: APEX Premier | https://www.linkedin.com/in/nelsonkeng/</v>
      </c>
    </row>
    <row r="262" customFormat="false" ht="15" hidden="false" customHeight="false" outlineLevel="0" collapsed="false">
      <c r="A262" s="32" t="n">
        <f aca="false">IFERROR(MATCH(ROW()-5,c_Seq,0),"")</f>
        <v>257</v>
      </c>
      <c r="B262" s="11" t="str">
        <f aca="false">IF($A262="","",INDEX(c_Name,$A262)&amp;"")</f>
        <v>Kevin Chang</v>
      </c>
      <c r="C262" s="11" t="str">
        <f aca="false">IF($A262="","",INDEX(c_Firm,$A262)&amp;"")</f>
        <v>PIAS</v>
      </c>
      <c r="D262" s="11" t="str">
        <f aca="false">IF($A262="","",INDEX(c_Type,$A262)&amp;"")</f>
        <v>Adviser</v>
      </c>
      <c r="E262" s="11" t="str">
        <f aca="false">IF($A262="","",INDEX(c_Email,$A262)&amp;"")</f>
        <v>kevin.chang@proinvest.com.sg</v>
      </c>
      <c r="F262" s="34" t="str">
        <f aca="false">IF($A262="","",INDEX(c_Met,$A262)&amp;"")</f>
        <v>No</v>
      </c>
      <c r="G262" s="25" t="str">
        <f aca="false">IF($A262="","",IF(INDEX(c_Date,$A262)="","",INDEX(c_Date,$A262)))</f>
        <v/>
      </c>
      <c r="H262" s="33" t="str">
        <f aca="false">IF($A262="","",IF(INDEX(c_Days,$A262)="","",INDEX(c_Days,$A262)))</f>
        <v/>
      </c>
      <c r="I262" s="40" t="n">
        <f aca="false">IF($A262="","",IF(INDEX(c_Mtgs,$A262)="","",INDEX(c_Mtgs,$A262)))</f>
        <v>0</v>
      </c>
      <c r="J262" s="11" t="str">
        <f aca="false">IF($A262="","",INDEX(c_EvtNames,$A262)&amp;"")</f>
        <v/>
      </c>
      <c r="K262" s="34" t="str">
        <f aca="false">IF($A262="","",INDEX(c_Invested,$A262)&amp;"")</f>
        <v>No</v>
      </c>
      <c r="L262" s="12" t="str">
        <f aca="false">IF($A262="","",IF(INDEX(c_AUM,$A262)="","",INDEX(c_AUM,$A262)))</f>
        <v/>
      </c>
      <c r="M262" s="11" t="str">
        <f aca="false">IF($A262="","",INDEX(c_Source,$A262)&amp;"")</f>
        <v>Mass Email PIAS</v>
      </c>
      <c r="N262" s="11" t="str">
        <f aca="false">IF($A262="","",INDEX(c_Notes,$A262)&amp;"")</f>
        <v/>
      </c>
    </row>
    <row r="263" customFormat="false" ht="15" hidden="false" customHeight="false" outlineLevel="0" collapsed="false">
      <c r="A263" s="32" t="n">
        <f aca="false">IFERROR(MATCH(ROW()-5,c_Seq,0),"")</f>
        <v>258</v>
      </c>
      <c r="B263" s="15" t="str">
        <f aca="false">IF($A263="","",INDEX(c_Name,$A263)&amp;"")</f>
        <v>Khaihwee Loh</v>
      </c>
      <c r="C263" s="15" t="str">
        <f aca="false">IF($A263="","",INDEX(c_Firm,$A263)&amp;"")</f>
        <v>PIAS</v>
      </c>
      <c r="D263" s="15" t="str">
        <f aca="false">IF($A263="","",INDEX(c_Type,$A263)&amp;"")</f>
        <v>Adviser</v>
      </c>
      <c r="E263" s="15" t="str">
        <f aca="false">IF($A263="","",INDEX(c_Email,$A263)&amp;"")</f>
        <v>khaihwee.loh@proinvest.com.sg</v>
      </c>
      <c r="F263" s="36" t="str">
        <f aca="false">IF($A263="","",INDEX(c_Met,$A263)&amp;"")</f>
        <v>No</v>
      </c>
      <c r="G263" s="26" t="str">
        <f aca="false">IF($A263="","",IF(INDEX(c_Date,$A263)="","",INDEX(c_Date,$A263)))</f>
        <v/>
      </c>
      <c r="H263" s="35" t="str">
        <f aca="false">IF($A263="","",IF(INDEX(c_Days,$A263)="","",INDEX(c_Days,$A263)))</f>
        <v/>
      </c>
      <c r="I263" s="41" t="n">
        <f aca="false">IF($A263="","",IF(INDEX(c_Mtgs,$A263)="","",INDEX(c_Mtgs,$A263)))</f>
        <v>0</v>
      </c>
      <c r="J263" s="15" t="str">
        <f aca="false">IF($A263="","",INDEX(c_EvtNames,$A263)&amp;"")</f>
        <v/>
      </c>
      <c r="K263" s="36" t="str">
        <f aca="false">IF($A263="","",INDEX(c_Invested,$A263)&amp;"")</f>
        <v>No</v>
      </c>
      <c r="L263" s="16" t="str">
        <f aca="false">IF($A263="","",IF(INDEX(c_AUM,$A263)="","",INDEX(c_AUM,$A263)))</f>
        <v/>
      </c>
      <c r="M263" s="15" t="str">
        <f aca="false">IF($A263="","",INDEX(c_Source,$A263)&amp;"")</f>
        <v>Mass Email PIAS</v>
      </c>
      <c r="N263" s="15" t="str">
        <f aca="false">IF($A263="","",INDEX(c_Notes,$A263)&amp;"")</f>
        <v/>
      </c>
    </row>
    <row r="264" customFormat="false" ht="15" hidden="false" customHeight="false" outlineLevel="0" collapsed="false">
      <c r="A264" s="32" t="n">
        <f aca="false">IFERROR(MATCH(ROW()-5,c_Seq,0),"")</f>
        <v>259</v>
      </c>
      <c r="B264" s="11" t="str">
        <f aca="false">IF($A264="","",INDEX(c_Name,$A264)&amp;"")</f>
        <v>Kwongchee Chun</v>
      </c>
      <c r="C264" s="11" t="str">
        <f aca="false">IF($A264="","",INDEX(c_Firm,$A264)&amp;"")</f>
        <v>PIAS</v>
      </c>
      <c r="D264" s="11" t="str">
        <f aca="false">IF($A264="","",INDEX(c_Type,$A264)&amp;"")</f>
        <v>Adviser</v>
      </c>
      <c r="E264" s="11" t="str">
        <f aca="false">IF($A264="","",INDEX(c_Email,$A264)&amp;"")</f>
        <v>kwongchee.chun@proinvest.com.sg</v>
      </c>
      <c r="F264" s="34" t="str">
        <f aca="false">IF($A264="","",INDEX(c_Met,$A264)&amp;"")</f>
        <v>No</v>
      </c>
      <c r="G264" s="25" t="str">
        <f aca="false">IF($A264="","",IF(INDEX(c_Date,$A264)="","",INDEX(c_Date,$A264)))</f>
        <v/>
      </c>
      <c r="H264" s="33" t="str">
        <f aca="false">IF($A264="","",IF(INDEX(c_Days,$A264)="","",INDEX(c_Days,$A264)))</f>
        <v/>
      </c>
      <c r="I264" s="40" t="n">
        <f aca="false">IF($A264="","",IF(INDEX(c_Mtgs,$A264)="","",INDEX(c_Mtgs,$A264)))</f>
        <v>0</v>
      </c>
      <c r="J264" s="11" t="str">
        <f aca="false">IF($A264="","",INDEX(c_EvtNames,$A264)&amp;"")</f>
        <v/>
      </c>
      <c r="K264" s="34" t="str">
        <f aca="false">IF($A264="","",INDEX(c_Invested,$A264)&amp;"")</f>
        <v>No</v>
      </c>
      <c r="L264" s="12" t="str">
        <f aca="false">IF($A264="","",IF(INDEX(c_AUM,$A264)="","",INDEX(c_AUM,$A264)))</f>
        <v/>
      </c>
      <c r="M264" s="11" t="str">
        <f aca="false">IF($A264="","",INDEX(c_Source,$A264)&amp;"")</f>
        <v>Mass Email PIAS</v>
      </c>
      <c r="N264" s="11" t="str">
        <f aca="false">IF($A264="","",INDEX(c_Notes,$A264)&amp;"")</f>
        <v/>
      </c>
    </row>
    <row r="265" customFormat="false" ht="15" hidden="false" customHeight="false" outlineLevel="0" collapsed="false">
      <c r="A265" s="32" t="n">
        <f aca="false">IFERROR(MATCH(ROW()-5,c_Seq,0),"")</f>
        <v>260</v>
      </c>
      <c r="B265" s="15" t="str">
        <f aca="false">IF($A265="","",INDEX(c_Name,$A265)&amp;"")</f>
        <v>Lai Feai Lim</v>
      </c>
      <c r="C265" s="15" t="str">
        <f aca="false">IF($A265="","",INDEX(c_Firm,$A265)&amp;"")</f>
        <v>PIAS</v>
      </c>
      <c r="D265" s="15" t="str">
        <f aca="false">IF($A265="","",INDEX(c_Type,$A265)&amp;"")</f>
        <v>Branch Director</v>
      </c>
      <c r="E265" s="15" t="str">
        <f aca="false">IF($A265="","",INDEX(c_Email,$A265)&amp;"")</f>
        <v/>
      </c>
      <c r="F265" s="36" t="str">
        <f aca="false">IF($A265="","",INDEX(c_Met,$A265)&amp;"")</f>
        <v>No</v>
      </c>
      <c r="G265" s="26" t="str">
        <f aca="false">IF($A265="","",IF(INDEX(c_Date,$A265)="","",INDEX(c_Date,$A265)))</f>
        <v/>
      </c>
      <c r="H265" s="35" t="str">
        <f aca="false">IF($A265="","",IF(INDEX(c_Days,$A265)="","",INDEX(c_Days,$A265)))</f>
        <v/>
      </c>
      <c r="I265" s="41" t="n">
        <f aca="false">IF($A265="","",IF(INDEX(c_Mtgs,$A265)="","",INDEX(c_Mtgs,$A265)))</f>
        <v>0</v>
      </c>
      <c r="J265" s="15" t="str">
        <f aca="false">IF($A265="","",INDEX(c_EvtNames,$A265)&amp;"")</f>
        <v/>
      </c>
      <c r="K265" s="36" t="str">
        <f aca="false">IF($A265="","",INDEX(c_Invested,$A265)&amp;"")</f>
        <v>No</v>
      </c>
      <c r="L265" s="16" t="str">
        <f aca="false">IF($A265="","",IF(INDEX(c_AUM,$A265)="","",INDEX(c_AUM,$A265)))</f>
        <v/>
      </c>
      <c r="M265" s="15" t="str">
        <f aca="false">IF($A265="","",INDEX(c_Source,$A265)&amp;"")</f>
        <v>Branch Directors</v>
      </c>
      <c r="N265" s="15" t="str">
        <f aca="false">IF($A265="","",INDEX(c_Notes,$A265)&amp;"")</f>
        <v>Branch: APEX Consultancy</v>
      </c>
    </row>
    <row r="266" customFormat="false" ht="15" hidden="false" customHeight="false" outlineLevel="0" collapsed="false">
      <c r="A266" s="32" t="n">
        <f aca="false">IFERROR(MATCH(ROW()-5,c_Seq,0),"")</f>
        <v>261</v>
      </c>
      <c r="B266" s="11" t="str">
        <f aca="false">IF($A266="","",INDEX(c_Name,$A266)&amp;"")</f>
        <v>Lavaneiya Prabaharan</v>
      </c>
      <c r="C266" s="11" t="str">
        <f aca="false">IF($A266="","",INDEX(c_Firm,$A266)&amp;"")</f>
        <v>PIAS</v>
      </c>
      <c r="D266" s="11" t="str">
        <f aca="false">IF($A266="","",INDEX(c_Type,$A266)&amp;"")</f>
        <v>Adviser</v>
      </c>
      <c r="E266" s="11" t="str">
        <f aca="false">IF($A266="","",INDEX(c_Email,$A266)&amp;"")</f>
        <v>lavaneiya.prabaharan@proinvest.com.sg</v>
      </c>
      <c r="F266" s="34" t="str">
        <f aca="false">IF($A266="","",INDEX(c_Met,$A266)&amp;"")</f>
        <v>No</v>
      </c>
      <c r="G266" s="25" t="str">
        <f aca="false">IF($A266="","",IF(INDEX(c_Date,$A266)="","",INDEX(c_Date,$A266)))</f>
        <v/>
      </c>
      <c r="H266" s="33" t="str">
        <f aca="false">IF($A266="","",IF(INDEX(c_Days,$A266)="","",INDEX(c_Days,$A266)))</f>
        <v/>
      </c>
      <c r="I266" s="40" t="n">
        <f aca="false">IF($A266="","",IF(INDEX(c_Mtgs,$A266)="","",INDEX(c_Mtgs,$A266)))</f>
        <v>0</v>
      </c>
      <c r="J266" s="11" t="str">
        <f aca="false">IF($A266="","",INDEX(c_EvtNames,$A266)&amp;"")</f>
        <v/>
      </c>
      <c r="K266" s="34" t="str">
        <f aca="false">IF($A266="","",INDEX(c_Invested,$A266)&amp;"")</f>
        <v>No</v>
      </c>
      <c r="L266" s="12" t="str">
        <f aca="false">IF($A266="","",IF(INDEX(c_AUM,$A266)="","",INDEX(c_AUM,$A266)))</f>
        <v/>
      </c>
      <c r="M266" s="11" t="str">
        <f aca="false">IF($A266="","",INDEX(c_Source,$A266)&amp;"")</f>
        <v>Mass Email PIAS</v>
      </c>
      <c r="N266" s="11" t="str">
        <f aca="false">IF($A266="","",INDEX(c_Notes,$A266)&amp;"")</f>
        <v/>
      </c>
    </row>
    <row r="267" customFormat="false" ht="15" hidden="false" customHeight="false" outlineLevel="0" collapsed="false">
      <c r="A267" s="32" t="n">
        <f aca="false">IFERROR(MATCH(ROW()-5,c_Seq,0),"")</f>
        <v>262</v>
      </c>
      <c r="B267" s="15" t="str">
        <f aca="false">IF($A267="","",INDEX(c_Name,$A267)&amp;"")</f>
        <v>Lea Liu</v>
      </c>
      <c r="C267" s="15" t="str">
        <f aca="false">IF($A267="","",INDEX(c_Firm,$A267)&amp;"")</f>
        <v>PIAS</v>
      </c>
      <c r="D267" s="15" t="str">
        <f aca="false">IF($A267="","",INDEX(c_Type,$A267)&amp;"")</f>
        <v>Adviser</v>
      </c>
      <c r="E267" s="15" t="str">
        <f aca="false">IF($A267="","",INDEX(c_Email,$A267)&amp;"")</f>
        <v>leah.liu@proinvest.com.sg</v>
      </c>
      <c r="F267" s="36" t="str">
        <f aca="false">IF($A267="","",INDEX(c_Met,$A267)&amp;"")</f>
        <v>Yes</v>
      </c>
      <c r="G267" s="26" t="n">
        <f aca="false">IF($A267="","",IF(INDEX(c_Date,$A267)="","",INDEX(c_Date,$A267)))</f>
        <v>46090</v>
      </c>
      <c r="H267" s="35" t="n">
        <f aca="false">IF($A267="","",IF(INDEX(c_Days,$A267)="","",INDEX(c_Days,$A267)))</f>
        <v>151</v>
      </c>
      <c r="I267" s="41" t="n">
        <f aca="false">IF($A267="","",IF(INDEX(c_Mtgs,$A267)="","",INDEX(c_Mtgs,$A267)))</f>
        <v>1</v>
      </c>
      <c r="J267" s="15" t="str">
        <f aca="false">IF($A267="","",INDEX(c_EvtNames,$A267)&amp;"")</f>
        <v/>
      </c>
      <c r="K267" s="36" t="str">
        <f aca="false">IF($A267="","",INDEX(c_Invested,$A267)&amp;"")</f>
        <v>No</v>
      </c>
      <c r="L267" s="16" t="n">
        <f aca="false">IF($A267="","",IF(INDEX(c_AUM,$A267)="","",INDEX(c_AUM,$A267)))</f>
        <v>6000000</v>
      </c>
      <c r="M267" s="15" t="str">
        <f aca="false">IF($A267="","",INDEX(c_Source,$A267)&amp;"")</f>
        <v>Meeting List + ILP Data</v>
      </c>
      <c r="N267" s="15" t="str">
        <f aca="false">IF($A267="","",INDEX(c_Notes,$A267)&amp;"")</f>
        <v>May-26: not available</v>
      </c>
    </row>
    <row r="268" customFormat="false" ht="15" hidden="false" customHeight="false" outlineLevel="0" collapsed="false">
      <c r="A268" s="32" t="n">
        <f aca="false">IFERROR(MATCH(ROW()-5,c_Seq,0),"")</f>
        <v>263</v>
      </c>
      <c r="B268" s="11" t="str">
        <f aca="false">IF($A268="","",INDEX(c_Name,$A268)&amp;"")</f>
        <v>Leah Liu</v>
      </c>
      <c r="C268" s="11" t="str">
        <f aca="false">IF($A268="","",INDEX(c_Firm,$A268)&amp;"")</f>
        <v>PIAS</v>
      </c>
      <c r="D268" s="11" t="str">
        <f aca="false">IF($A268="","",INDEX(c_Type,$A268)&amp;"")</f>
        <v>Adviser</v>
      </c>
      <c r="E268" s="11" t="str">
        <f aca="false">IF($A268="","",INDEX(c_Email,$A268)&amp;"")</f>
        <v>leah.liu@proinvest.com.sg</v>
      </c>
      <c r="F268" s="34" t="str">
        <f aca="false">IF($A268="","",INDEX(c_Met,$A268)&amp;"")</f>
        <v>Yes</v>
      </c>
      <c r="G268" s="25" t="n">
        <f aca="false">IF($A268="","",IF(INDEX(c_Date,$A268)="","",INDEX(c_Date,$A268)))</f>
        <v>46083</v>
      </c>
      <c r="H268" s="33" t="n">
        <f aca="false">IF($A268="","",IF(INDEX(c_Days,$A268)="","",INDEX(c_Days,$A268)))</f>
        <v>158</v>
      </c>
      <c r="I268" s="40" t="n">
        <f aca="false">IF($A268="","",IF(INDEX(c_Mtgs,$A268)="","",INDEX(c_Mtgs,$A268)))</f>
        <v>1</v>
      </c>
      <c r="J268" s="11" t="str">
        <f aca="false">IF($A268="","",INDEX(c_EvtNames,$A268)&amp;"")</f>
        <v/>
      </c>
      <c r="K268" s="34" t="str">
        <f aca="false">IF($A268="","",INDEX(c_Invested,$A268)&amp;"")</f>
        <v>No</v>
      </c>
      <c r="L268" s="12" t="str">
        <f aca="false">IF($A268="","",IF(INDEX(c_AUM,$A268)="","",INDEX(c_AUM,$A268)))</f>
        <v/>
      </c>
      <c r="M268" s="11" t="str">
        <f aca="false">IF($A268="","",INDEX(c_Source,$A268)&amp;"")</f>
        <v>Mass Email PIAS</v>
      </c>
      <c r="N268" s="11" t="str">
        <f aca="false">IF($A268="","",INDEX(c_Notes,$A268)&amp;"")</f>
        <v>Replied to mass email</v>
      </c>
    </row>
    <row r="269" customFormat="false" ht="15" hidden="false" customHeight="false" outlineLevel="0" collapsed="false">
      <c r="A269" s="32" t="n">
        <f aca="false">IFERROR(MATCH(ROW()-5,c_Seq,0),"")</f>
        <v>264</v>
      </c>
      <c r="B269" s="15" t="str">
        <f aca="false">IF($A269="","",INDEX(c_Name,$A269)&amp;"")</f>
        <v>Linda Lee</v>
      </c>
      <c r="C269" s="15" t="str">
        <f aca="false">IF($A269="","",INDEX(c_Firm,$A269)&amp;"")</f>
        <v>PIAS</v>
      </c>
      <c r="D269" s="15" t="str">
        <f aca="false">IF($A269="","",INDEX(c_Type,$A269)&amp;"")</f>
        <v>Adviser</v>
      </c>
      <c r="E269" s="15" t="str">
        <f aca="false">IF($A269="","",INDEX(c_Email,$A269)&amp;"")</f>
        <v>linda.lee@proinvest.com.sg</v>
      </c>
      <c r="F269" s="36" t="str">
        <f aca="false">IF($A269="","",INDEX(c_Met,$A269)&amp;"")</f>
        <v>No</v>
      </c>
      <c r="G269" s="26" t="str">
        <f aca="false">IF($A269="","",IF(INDEX(c_Date,$A269)="","",INDEX(c_Date,$A269)))</f>
        <v/>
      </c>
      <c r="H269" s="35" t="str">
        <f aca="false">IF($A269="","",IF(INDEX(c_Days,$A269)="","",INDEX(c_Days,$A269)))</f>
        <v/>
      </c>
      <c r="I269" s="41" t="n">
        <f aca="false">IF($A269="","",IF(INDEX(c_Mtgs,$A269)="","",INDEX(c_Mtgs,$A269)))</f>
        <v>0</v>
      </c>
      <c r="J269" s="15" t="str">
        <f aca="false">IF($A269="","",INDEX(c_EvtNames,$A269)&amp;"")</f>
        <v/>
      </c>
      <c r="K269" s="36" t="str">
        <f aca="false">IF($A269="","",INDEX(c_Invested,$A269)&amp;"")</f>
        <v>No</v>
      </c>
      <c r="L269" s="16" t="str">
        <f aca="false">IF($A269="","",IF(INDEX(c_AUM,$A269)="","",INDEX(c_AUM,$A269)))</f>
        <v/>
      </c>
      <c r="M269" s="15" t="str">
        <f aca="false">IF($A269="","",INDEX(c_Source,$A269)&amp;"")</f>
        <v>Mass Email PIAS</v>
      </c>
      <c r="N269" s="15" t="str">
        <f aca="false">IF($A269="","",INDEX(c_Notes,$A269)&amp;"")</f>
        <v/>
      </c>
    </row>
    <row r="270" customFormat="false" ht="15" hidden="false" customHeight="false" outlineLevel="0" collapsed="false">
      <c r="A270" s="32" t="n">
        <f aca="false">IFERROR(MATCH(ROW()-5,c_Seq,0),"")</f>
        <v>265</v>
      </c>
      <c r="B270" s="11" t="str">
        <f aca="false">IF($A270="","",INDEX(c_Name,$A270)&amp;"")</f>
        <v>Martin Chin</v>
      </c>
      <c r="C270" s="11" t="str">
        <f aca="false">IF($A270="","",INDEX(c_Firm,$A270)&amp;"")</f>
        <v>PIAS</v>
      </c>
      <c r="D270" s="11" t="str">
        <f aca="false">IF($A270="","",INDEX(c_Type,$A270)&amp;"")</f>
        <v>Adviser</v>
      </c>
      <c r="E270" s="11" t="str">
        <f aca="false">IF($A270="","",INDEX(c_Email,$A270)&amp;"")</f>
        <v>martin.chin@proinvest.com.sg</v>
      </c>
      <c r="F270" s="34" t="str">
        <f aca="false">IF($A270="","",INDEX(c_Met,$A270)&amp;"")</f>
        <v>No</v>
      </c>
      <c r="G270" s="25" t="str">
        <f aca="false">IF($A270="","",IF(INDEX(c_Date,$A270)="","",INDEX(c_Date,$A270)))</f>
        <v/>
      </c>
      <c r="H270" s="33" t="str">
        <f aca="false">IF($A270="","",IF(INDEX(c_Days,$A270)="","",INDEX(c_Days,$A270)))</f>
        <v/>
      </c>
      <c r="I270" s="40" t="n">
        <f aca="false">IF($A270="","",IF(INDEX(c_Mtgs,$A270)="","",INDEX(c_Mtgs,$A270)))</f>
        <v>0</v>
      </c>
      <c r="J270" s="11" t="str">
        <f aca="false">IF($A270="","",INDEX(c_EvtNames,$A270)&amp;"")</f>
        <v/>
      </c>
      <c r="K270" s="34" t="str">
        <f aca="false">IF($A270="","",INDEX(c_Invested,$A270)&amp;"")</f>
        <v>No</v>
      </c>
      <c r="L270" s="12" t="str">
        <f aca="false">IF($A270="","",IF(INDEX(c_AUM,$A270)="","",INDEX(c_AUM,$A270)))</f>
        <v/>
      </c>
      <c r="M270" s="11" t="str">
        <f aca="false">IF($A270="","",INDEX(c_Source,$A270)&amp;"")</f>
        <v>Mass Email PIAS</v>
      </c>
      <c r="N270" s="11" t="str">
        <f aca="false">IF($A270="","",INDEX(c_Notes,$A270)&amp;"")</f>
        <v/>
      </c>
    </row>
    <row r="271" customFormat="false" ht="15" hidden="false" customHeight="false" outlineLevel="0" collapsed="false">
      <c r="A271" s="32" t="n">
        <f aca="false">IFERROR(MATCH(ROW()-5,c_Seq,0),"")</f>
        <v>266</v>
      </c>
      <c r="B271" s="15" t="str">
        <f aca="false">IF($A271="","",INDEX(c_Name,$A271)&amp;"")</f>
        <v>Martin Lau</v>
      </c>
      <c r="C271" s="15" t="str">
        <f aca="false">IF($A271="","",INDEX(c_Firm,$A271)&amp;"")</f>
        <v>PIAS</v>
      </c>
      <c r="D271" s="15" t="str">
        <f aca="false">IF($A271="","",INDEX(c_Type,$A271)&amp;"")</f>
        <v>Adviser</v>
      </c>
      <c r="E271" s="15" t="str">
        <f aca="false">IF($A271="","",INDEX(c_Email,$A271)&amp;"")</f>
        <v>martin.lau@proinvest.com.sg</v>
      </c>
      <c r="F271" s="36" t="str">
        <f aca="false">IF($A271="","",INDEX(c_Met,$A271)&amp;"")</f>
        <v>Yes</v>
      </c>
      <c r="G271" s="26" t="n">
        <f aca="false">IF($A271="","",IF(INDEX(c_Date,$A271)="","",INDEX(c_Date,$A271)))</f>
        <v>45933</v>
      </c>
      <c r="H271" s="35" t="n">
        <f aca="false">IF($A271="","",IF(INDEX(c_Days,$A271)="","",INDEX(c_Days,$A271)))</f>
        <v>308</v>
      </c>
      <c r="I271" s="41" t="n">
        <f aca="false">IF($A271="","",IF(INDEX(c_Mtgs,$A271)="","",INDEX(c_Mtgs,$A271)))</f>
        <v>1</v>
      </c>
      <c r="J271" s="15" t="str">
        <f aca="false">IF($A271="","",INDEX(c_EvtNames,$A271)&amp;"")</f>
        <v>Oct-25 Symposium, May-26 Symposium</v>
      </c>
      <c r="K271" s="36" t="str">
        <f aca="false">IF($A271="","",INDEX(c_Invested,$A271)&amp;"")</f>
        <v>No</v>
      </c>
      <c r="L271" s="16" t="n">
        <f aca="false">IF($A271="","",IF(INDEX(c_AUM,$A271)="","",INDEX(c_AUM,$A271)))</f>
        <v>40000000</v>
      </c>
      <c r="M271" s="15" t="str">
        <f aca="false">IF($A271="","",INDEX(c_Source,$A271)&amp;"")</f>
        <v>Meeting List + ILP Data + Branch Directors</v>
      </c>
      <c r="N271" s="15" t="str">
        <f aca="false">IF($A271="","",INDEX(c_Notes,$A271)&amp;"")</f>
        <v>Branch: Polaris Acorn Advisory</v>
      </c>
    </row>
    <row r="272" customFormat="false" ht="15" hidden="false" customHeight="false" outlineLevel="0" collapsed="false">
      <c r="A272" s="32" t="n">
        <f aca="false">IFERROR(MATCH(ROW()-5,c_Seq,0),"")</f>
        <v>267</v>
      </c>
      <c r="B272" s="11" t="str">
        <f aca="false">IF($A272="","",INDEX(c_Name,$A272)&amp;"")</f>
        <v>Mary Chin</v>
      </c>
      <c r="C272" s="11" t="str">
        <f aca="false">IF($A272="","",INDEX(c_Firm,$A272)&amp;"")</f>
        <v>PIAS</v>
      </c>
      <c r="D272" s="11" t="str">
        <f aca="false">IF($A272="","",INDEX(c_Type,$A272)&amp;"")</f>
        <v>Adviser</v>
      </c>
      <c r="E272" s="11" t="str">
        <f aca="false">IF($A272="","",INDEX(c_Email,$A272)&amp;"")</f>
        <v>mary.chin@proinvest.com.sg</v>
      </c>
      <c r="F272" s="34" t="str">
        <f aca="false">IF($A272="","",INDEX(c_Met,$A272)&amp;"")</f>
        <v>No</v>
      </c>
      <c r="G272" s="25" t="str">
        <f aca="false">IF($A272="","",IF(INDEX(c_Date,$A272)="","",INDEX(c_Date,$A272)))</f>
        <v/>
      </c>
      <c r="H272" s="33" t="str">
        <f aca="false">IF($A272="","",IF(INDEX(c_Days,$A272)="","",INDEX(c_Days,$A272)))</f>
        <v/>
      </c>
      <c r="I272" s="40" t="n">
        <f aca="false">IF($A272="","",IF(INDEX(c_Mtgs,$A272)="","",INDEX(c_Mtgs,$A272)))</f>
        <v>0</v>
      </c>
      <c r="J272" s="11" t="str">
        <f aca="false">IF($A272="","",INDEX(c_EvtNames,$A272)&amp;"")</f>
        <v/>
      </c>
      <c r="K272" s="34" t="str">
        <f aca="false">IF($A272="","",INDEX(c_Invested,$A272)&amp;"")</f>
        <v>No</v>
      </c>
      <c r="L272" s="12" t="str">
        <f aca="false">IF($A272="","",IF(INDEX(c_AUM,$A272)="","",INDEX(c_AUM,$A272)))</f>
        <v/>
      </c>
      <c r="M272" s="11" t="str">
        <f aca="false">IF($A272="","",INDEX(c_Source,$A272)&amp;"")</f>
        <v>Mass Email PIAS</v>
      </c>
      <c r="N272" s="11" t="str">
        <f aca="false">IF($A272="","",INDEX(c_Notes,$A272)&amp;"")</f>
        <v/>
      </c>
    </row>
    <row r="273" customFormat="false" ht="15" hidden="false" customHeight="false" outlineLevel="0" collapsed="false">
      <c r="A273" s="32" t="n">
        <f aca="false">IFERROR(MATCH(ROW()-5,c_Seq,0),"")</f>
        <v>268</v>
      </c>
      <c r="B273" s="15" t="str">
        <f aca="false">IF($A273="","",INDEX(c_Name,$A273)&amp;"")</f>
        <v>Mavis Tan</v>
      </c>
      <c r="C273" s="15" t="str">
        <f aca="false">IF($A273="","",INDEX(c_Firm,$A273)&amp;"")</f>
        <v>PIAS</v>
      </c>
      <c r="D273" s="15" t="str">
        <f aca="false">IF($A273="","",INDEX(c_Type,$A273)&amp;"")</f>
        <v>Adviser</v>
      </c>
      <c r="E273" s="15" t="str">
        <f aca="false">IF($A273="","",INDEX(c_Email,$A273)&amp;"")</f>
        <v/>
      </c>
      <c r="F273" s="36" t="str">
        <f aca="false">IF($A273="","",INDEX(c_Met,$A273)&amp;"")</f>
        <v>No</v>
      </c>
      <c r="G273" s="26" t="str">
        <f aca="false">IF($A273="","",IF(INDEX(c_Date,$A273)="","",INDEX(c_Date,$A273)))</f>
        <v/>
      </c>
      <c r="H273" s="35" t="str">
        <f aca="false">IF($A273="","",IF(INDEX(c_Days,$A273)="","",INDEX(c_Days,$A273)))</f>
        <v/>
      </c>
      <c r="I273" s="41" t="n">
        <f aca="false">IF($A273="","",IF(INDEX(c_Mtgs,$A273)="","",INDEX(c_Mtgs,$A273)))</f>
        <v>0</v>
      </c>
      <c r="J273" s="15" t="str">
        <f aca="false">IF($A273="","",INDEX(c_EvtNames,$A273)&amp;"")</f>
        <v/>
      </c>
      <c r="K273" s="36" t="str">
        <f aca="false">IF($A273="","",INDEX(c_Invested,$A273)&amp;"")</f>
        <v>No</v>
      </c>
      <c r="L273" s="16" t="str">
        <f aca="false">IF($A273="","",IF(INDEX(c_AUM,$A273)="","",INDEX(c_AUM,$A273)))</f>
        <v/>
      </c>
      <c r="M273" s="15" t="str">
        <f aca="false">IF($A273="","",INDEX(c_Source,$A273)&amp;"")</f>
        <v>ILP Data</v>
      </c>
      <c r="N273" s="15" t="str">
        <f aca="false">IF($A273="","",INDEX(c_Notes,$A273)&amp;"")</f>
        <v>ILP: Product</v>
      </c>
    </row>
    <row r="274" customFormat="false" ht="15" hidden="false" customHeight="false" outlineLevel="0" collapsed="false">
      <c r="A274" s="32" t="n">
        <f aca="false">IFERROR(MATCH(ROW()-5,c_Seq,0),"")</f>
        <v>269</v>
      </c>
      <c r="B274" s="11" t="str">
        <f aca="false">IF($A274="","",INDEX(c_Name,$A274)&amp;"")</f>
        <v>Meimei Liang</v>
      </c>
      <c r="C274" s="11" t="str">
        <f aca="false">IF($A274="","",INDEX(c_Firm,$A274)&amp;"")</f>
        <v>PIAS</v>
      </c>
      <c r="D274" s="11" t="str">
        <f aca="false">IF($A274="","",INDEX(c_Type,$A274)&amp;"")</f>
        <v>Adviser</v>
      </c>
      <c r="E274" s="11" t="str">
        <f aca="false">IF($A274="","",INDEX(c_Email,$A274)&amp;"")</f>
        <v>meimei.liang@proinvest.com.sg</v>
      </c>
      <c r="F274" s="34" t="str">
        <f aca="false">IF($A274="","",INDEX(c_Met,$A274)&amp;"")</f>
        <v>No</v>
      </c>
      <c r="G274" s="25" t="str">
        <f aca="false">IF($A274="","",IF(INDEX(c_Date,$A274)="","",INDEX(c_Date,$A274)))</f>
        <v/>
      </c>
      <c r="H274" s="33" t="str">
        <f aca="false">IF($A274="","",IF(INDEX(c_Days,$A274)="","",INDEX(c_Days,$A274)))</f>
        <v/>
      </c>
      <c r="I274" s="40" t="n">
        <f aca="false">IF($A274="","",IF(INDEX(c_Mtgs,$A274)="","",INDEX(c_Mtgs,$A274)))</f>
        <v>0</v>
      </c>
      <c r="J274" s="11" t="str">
        <f aca="false">IF($A274="","",INDEX(c_EvtNames,$A274)&amp;"")</f>
        <v/>
      </c>
      <c r="K274" s="34" t="str">
        <f aca="false">IF($A274="","",INDEX(c_Invested,$A274)&amp;"")</f>
        <v>No</v>
      </c>
      <c r="L274" s="12" t="str">
        <f aca="false">IF($A274="","",IF(INDEX(c_AUM,$A274)="","",INDEX(c_AUM,$A274)))</f>
        <v/>
      </c>
      <c r="M274" s="11" t="str">
        <f aca="false">IF($A274="","",INDEX(c_Source,$A274)&amp;"")</f>
        <v>Mass Email PIAS</v>
      </c>
      <c r="N274" s="11" t="str">
        <f aca="false">IF($A274="","",INDEX(c_Notes,$A274)&amp;"")</f>
        <v/>
      </c>
    </row>
    <row r="275" customFormat="false" ht="15" hidden="false" customHeight="false" outlineLevel="0" collapsed="false">
      <c r="A275" s="32" t="n">
        <f aca="false">IFERROR(MATCH(ROW()-5,c_Seq,0),"")</f>
        <v>270</v>
      </c>
      <c r="B275" s="15" t="str">
        <f aca="false">IF($A275="","",INDEX(c_Name,$A275)&amp;"")</f>
        <v>Meiping Lee</v>
      </c>
      <c r="C275" s="15" t="str">
        <f aca="false">IF($A275="","",INDEX(c_Firm,$A275)&amp;"")</f>
        <v>PIAS</v>
      </c>
      <c r="D275" s="15" t="str">
        <f aca="false">IF($A275="","",INDEX(c_Type,$A275)&amp;"")</f>
        <v>Adviser</v>
      </c>
      <c r="E275" s="15" t="str">
        <f aca="false">IF($A275="","",INDEX(c_Email,$A275)&amp;"")</f>
        <v>meiping.lee@proinvest.com.sg</v>
      </c>
      <c r="F275" s="36" t="str">
        <f aca="false">IF($A275="","",INDEX(c_Met,$A275)&amp;"")</f>
        <v>No</v>
      </c>
      <c r="G275" s="26" t="str">
        <f aca="false">IF($A275="","",IF(INDEX(c_Date,$A275)="","",INDEX(c_Date,$A275)))</f>
        <v/>
      </c>
      <c r="H275" s="35" t="str">
        <f aca="false">IF($A275="","",IF(INDEX(c_Days,$A275)="","",INDEX(c_Days,$A275)))</f>
        <v/>
      </c>
      <c r="I275" s="41" t="n">
        <f aca="false">IF($A275="","",IF(INDEX(c_Mtgs,$A275)="","",INDEX(c_Mtgs,$A275)))</f>
        <v>0</v>
      </c>
      <c r="J275" s="15" t="str">
        <f aca="false">IF($A275="","",INDEX(c_EvtNames,$A275)&amp;"")</f>
        <v/>
      </c>
      <c r="K275" s="36" t="str">
        <f aca="false">IF($A275="","",INDEX(c_Invested,$A275)&amp;"")</f>
        <v>No</v>
      </c>
      <c r="L275" s="16" t="str">
        <f aca="false">IF($A275="","",IF(INDEX(c_AUM,$A275)="","",INDEX(c_AUM,$A275)))</f>
        <v/>
      </c>
      <c r="M275" s="15" t="str">
        <f aca="false">IF($A275="","",INDEX(c_Source,$A275)&amp;"")</f>
        <v>Mass Email PIAS</v>
      </c>
      <c r="N275" s="15" t="str">
        <f aca="false">IF($A275="","",INDEX(c_Notes,$A275)&amp;"")</f>
        <v/>
      </c>
    </row>
    <row r="276" customFormat="false" ht="15" hidden="false" customHeight="false" outlineLevel="0" collapsed="false">
      <c r="A276" s="32" t="n">
        <f aca="false">IFERROR(MATCH(ROW()-5,c_Seq,0),"")</f>
        <v>271</v>
      </c>
      <c r="B276" s="11" t="str">
        <f aca="false">IF($A276="","",INDEX(c_Name,$A276)&amp;"")</f>
        <v>Melvin Kuah</v>
      </c>
      <c r="C276" s="11" t="str">
        <f aca="false">IF($A276="","",INDEX(c_Firm,$A276)&amp;"")</f>
        <v>PIAS</v>
      </c>
      <c r="D276" s="11" t="str">
        <f aca="false">IF($A276="","",INDEX(c_Type,$A276)&amp;"")</f>
        <v>Adviser</v>
      </c>
      <c r="E276" s="11" t="str">
        <f aca="false">IF($A276="","",INDEX(c_Email,$A276)&amp;"")</f>
        <v>melvin.kuah@proinvest.com.sg</v>
      </c>
      <c r="F276" s="34" t="str">
        <f aca="false">IF($A276="","",INDEX(c_Met,$A276)&amp;"")</f>
        <v>No</v>
      </c>
      <c r="G276" s="25" t="str">
        <f aca="false">IF($A276="","",IF(INDEX(c_Date,$A276)="","",INDEX(c_Date,$A276)))</f>
        <v/>
      </c>
      <c r="H276" s="33" t="str">
        <f aca="false">IF($A276="","",IF(INDEX(c_Days,$A276)="","",INDEX(c_Days,$A276)))</f>
        <v/>
      </c>
      <c r="I276" s="40" t="n">
        <f aca="false">IF($A276="","",IF(INDEX(c_Mtgs,$A276)="","",INDEX(c_Mtgs,$A276)))</f>
        <v>0</v>
      </c>
      <c r="J276" s="11" t="str">
        <f aca="false">IF($A276="","",INDEX(c_EvtNames,$A276)&amp;"")</f>
        <v/>
      </c>
      <c r="K276" s="34" t="str">
        <f aca="false">IF($A276="","",INDEX(c_Invested,$A276)&amp;"")</f>
        <v>No</v>
      </c>
      <c r="L276" s="12" t="str">
        <f aca="false">IF($A276="","",IF(INDEX(c_AUM,$A276)="","",INDEX(c_AUM,$A276)))</f>
        <v/>
      </c>
      <c r="M276" s="11" t="str">
        <f aca="false">IF($A276="","",INDEX(c_Source,$A276)&amp;"")</f>
        <v>Mass Email PIAS</v>
      </c>
      <c r="N276" s="11" t="str">
        <f aca="false">IF($A276="","",INDEX(c_Notes,$A276)&amp;"")</f>
        <v/>
      </c>
    </row>
    <row r="277" customFormat="false" ht="15" hidden="false" customHeight="false" outlineLevel="0" collapsed="false">
      <c r="A277" s="32" t="n">
        <f aca="false">IFERROR(MATCH(ROW()-5,c_Seq,0),"")</f>
        <v>272</v>
      </c>
      <c r="B277" s="15" t="str">
        <f aca="false">IF($A277="","",INDEX(c_Name,$A277)&amp;"")</f>
        <v>Moses Lim</v>
      </c>
      <c r="C277" s="15" t="str">
        <f aca="false">IF($A277="","",INDEX(c_Firm,$A277)&amp;"")</f>
        <v>PIAS</v>
      </c>
      <c r="D277" s="15" t="str">
        <f aca="false">IF($A277="","",INDEX(c_Type,$A277)&amp;"")</f>
        <v>Adviser</v>
      </c>
      <c r="E277" s="15" t="str">
        <f aca="false">IF($A277="","",INDEX(c_Email,$A277)&amp;"")</f>
        <v>moses.lim@promiseland.com.sg</v>
      </c>
      <c r="F277" s="36" t="str">
        <f aca="false">IF($A277="","",INDEX(c_Met,$A277)&amp;"")</f>
        <v>Yes</v>
      </c>
      <c r="G277" s="26" t="n">
        <f aca="false">IF($A277="","",IF(INDEX(c_Date,$A277)="","",INDEX(c_Date,$A277)))</f>
        <v>45838</v>
      </c>
      <c r="H277" s="35" t="n">
        <f aca="false">IF($A277="","",IF(INDEX(c_Days,$A277)="","",INDEX(c_Days,$A277)))</f>
        <v>403</v>
      </c>
      <c r="I277" s="41" t="n">
        <f aca="false">IF($A277="","",IF(INDEX(c_Mtgs,$A277)="","",INDEX(c_Mtgs,$A277)))</f>
        <v>1</v>
      </c>
      <c r="J277" s="15" t="str">
        <f aca="false">IF($A277="","",INDEX(c_EvtNames,$A277)&amp;"")</f>
        <v/>
      </c>
      <c r="K277" s="36" t="str">
        <f aca="false">IF($A277="","",INDEX(c_Invested,$A277)&amp;"")</f>
        <v>No</v>
      </c>
      <c r="L277" s="16" t="n">
        <f aca="false">IF($A277="","",IF(INDEX(c_AUM,$A277)="","",INDEX(c_AUM,$A277)))</f>
        <v>40000000</v>
      </c>
      <c r="M277" s="15" t="str">
        <f aca="false">IF($A277="","",INDEX(c_Source,$A277)&amp;"")</f>
        <v>Meeting List + ILP Data</v>
      </c>
      <c r="N277" s="15" t="str">
        <f aca="false">IF($A277="","",INDEX(c_Notes,$A277)&amp;"")</f>
        <v/>
      </c>
    </row>
    <row r="278" customFormat="false" ht="15" hidden="false" customHeight="false" outlineLevel="0" collapsed="false">
      <c r="A278" s="32" t="n">
        <f aca="false">IFERROR(MATCH(ROW()-5,c_Seq,0),"")</f>
        <v>273</v>
      </c>
      <c r="B278" s="11" t="str">
        <f aca="false">IF($A278="","",INDEX(c_Name,$A278)&amp;"")</f>
        <v>Nicholas Lee</v>
      </c>
      <c r="C278" s="11" t="str">
        <f aca="false">IF($A278="","",INDEX(c_Firm,$A278)&amp;"")</f>
        <v>PIAS</v>
      </c>
      <c r="D278" s="11" t="str">
        <f aca="false">IF($A278="","",INDEX(c_Type,$A278)&amp;"")</f>
        <v>Branch Director</v>
      </c>
      <c r="E278" s="11" t="str">
        <f aca="false">IF($A278="","",INDEX(c_Email,$A278)&amp;"")</f>
        <v/>
      </c>
      <c r="F278" s="34" t="str">
        <f aca="false">IF($A278="","",INDEX(c_Met,$A278)&amp;"")</f>
        <v>No</v>
      </c>
      <c r="G278" s="25" t="str">
        <f aca="false">IF($A278="","",IF(INDEX(c_Date,$A278)="","",INDEX(c_Date,$A278)))</f>
        <v/>
      </c>
      <c r="H278" s="33" t="str">
        <f aca="false">IF($A278="","",IF(INDEX(c_Days,$A278)="","",INDEX(c_Days,$A278)))</f>
        <v/>
      </c>
      <c r="I278" s="40" t="n">
        <f aca="false">IF($A278="","",IF(INDEX(c_Mtgs,$A278)="","",INDEX(c_Mtgs,$A278)))</f>
        <v>0</v>
      </c>
      <c r="J278" s="11" t="str">
        <f aca="false">IF($A278="","",INDEX(c_EvtNames,$A278)&amp;"")</f>
        <v/>
      </c>
      <c r="K278" s="34" t="str">
        <f aca="false">IF($A278="","",INDEX(c_Invested,$A278)&amp;"")</f>
        <v>No</v>
      </c>
      <c r="L278" s="12" t="str">
        <f aca="false">IF($A278="","",IF(INDEX(c_AUM,$A278)="","",INDEX(c_AUM,$A278)))</f>
        <v/>
      </c>
      <c r="M278" s="11" t="str">
        <f aca="false">IF($A278="","",INDEX(c_Source,$A278)&amp;"")</f>
        <v>Branch Directors</v>
      </c>
      <c r="N278" s="11" t="str">
        <f aca="false">IF($A278="","",INDEX(c_Notes,$A278)&amp;"")</f>
        <v>Branch: Affinity Odyssey Guild | https://www.linkedin.com/in/nicholas-lee-9842ab112/</v>
      </c>
    </row>
    <row r="279" customFormat="false" ht="15" hidden="false" customHeight="false" outlineLevel="0" collapsed="false">
      <c r="A279" s="32" t="n">
        <f aca="false">IFERROR(MATCH(ROW()-5,c_Seq,0),"")</f>
        <v>274</v>
      </c>
      <c r="B279" s="15" t="str">
        <f aca="false">IF($A279="","",INDEX(c_Name,$A279)&amp;"")</f>
        <v>Ong Yue Hoon</v>
      </c>
      <c r="C279" s="15" t="str">
        <f aca="false">IF($A279="","",INDEX(c_Firm,$A279)&amp;"")</f>
        <v>PIAS</v>
      </c>
      <c r="D279" s="15" t="str">
        <f aca="false">IF($A279="","",INDEX(c_Type,$A279)&amp;"")</f>
        <v>Branch Director</v>
      </c>
      <c r="E279" s="15" t="str">
        <f aca="false">IF($A279="","",INDEX(c_Email,$A279)&amp;"")</f>
        <v/>
      </c>
      <c r="F279" s="36" t="str">
        <f aca="false">IF($A279="","",INDEX(c_Met,$A279)&amp;"")</f>
        <v>No</v>
      </c>
      <c r="G279" s="26" t="str">
        <f aca="false">IF($A279="","",IF(INDEX(c_Date,$A279)="","",INDEX(c_Date,$A279)))</f>
        <v/>
      </c>
      <c r="H279" s="35" t="str">
        <f aca="false">IF($A279="","",IF(INDEX(c_Days,$A279)="","",INDEX(c_Days,$A279)))</f>
        <v/>
      </c>
      <c r="I279" s="41" t="n">
        <f aca="false">IF($A279="","",IF(INDEX(c_Mtgs,$A279)="","",INDEX(c_Mtgs,$A279)))</f>
        <v>0</v>
      </c>
      <c r="J279" s="15" t="str">
        <f aca="false">IF($A279="","",INDEX(c_EvtNames,$A279)&amp;"")</f>
        <v/>
      </c>
      <c r="K279" s="36" t="str">
        <f aca="false">IF($A279="","",INDEX(c_Invested,$A279)&amp;"")</f>
        <v>No</v>
      </c>
      <c r="L279" s="16" t="str">
        <f aca="false">IF($A279="","",IF(INDEX(c_AUM,$A279)="","",INDEX(c_AUM,$A279)))</f>
        <v/>
      </c>
      <c r="M279" s="15" t="str">
        <f aca="false">IF($A279="","",INDEX(c_Source,$A279)&amp;"")</f>
        <v>Branch Directors</v>
      </c>
      <c r="N279" s="15" t="str">
        <f aca="false">IF($A279="","",INDEX(c_Notes,$A279)&amp;"")</f>
        <v>Branch: Vertex Wealth Advisory | https://www.linkedin.com/in/cindy-ong-5851273/</v>
      </c>
    </row>
    <row r="280" customFormat="false" ht="15" hidden="false" customHeight="false" outlineLevel="0" collapsed="false">
      <c r="A280" s="32" t="n">
        <f aca="false">IFERROR(MATCH(ROW()-5,c_Seq,0),"")</f>
        <v>275</v>
      </c>
      <c r="B280" s="11" t="str">
        <f aca="false">IF($A280="","",INDEX(c_Name,$A280)&amp;"")</f>
        <v>Paul See</v>
      </c>
      <c r="C280" s="11" t="str">
        <f aca="false">IF($A280="","",INDEX(c_Firm,$A280)&amp;"")</f>
        <v>PIAS</v>
      </c>
      <c r="D280" s="11" t="str">
        <f aca="false">IF($A280="","",INDEX(c_Type,$A280)&amp;"")</f>
        <v>Adviser</v>
      </c>
      <c r="E280" s="11" t="str">
        <f aca="false">IF($A280="","",INDEX(c_Email,$A280)&amp;"")</f>
        <v>paul.see@proinvest.com.sg</v>
      </c>
      <c r="F280" s="34" t="str">
        <f aca="false">IF($A280="","",INDEX(c_Met,$A280)&amp;"")</f>
        <v>No</v>
      </c>
      <c r="G280" s="25" t="str">
        <f aca="false">IF($A280="","",IF(INDEX(c_Date,$A280)="","",INDEX(c_Date,$A280)))</f>
        <v/>
      </c>
      <c r="H280" s="33" t="str">
        <f aca="false">IF($A280="","",IF(INDEX(c_Days,$A280)="","",INDEX(c_Days,$A280)))</f>
        <v/>
      </c>
      <c r="I280" s="40" t="n">
        <f aca="false">IF($A280="","",IF(INDEX(c_Mtgs,$A280)="","",INDEX(c_Mtgs,$A280)))</f>
        <v>0</v>
      </c>
      <c r="J280" s="11" t="str">
        <f aca="false">IF($A280="","",INDEX(c_EvtNames,$A280)&amp;"")</f>
        <v/>
      </c>
      <c r="K280" s="34" t="str">
        <f aca="false">IF($A280="","",INDEX(c_Invested,$A280)&amp;"")</f>
        <v>No</v>
      </c>
      <c r="L280" s="12" t="str">
        <f aca="false">IF($A280="","",IF(INDEX(c_AUM,$A280)="","",INDEX(c_AUM,$A280)))</f>
        <v/>
      </c>
      <c r="M280" s="11" t="str">
        <f aca="false">IF($A280="","",INDEX(c_Source,$A280)&amp;"")</f>
        <v>Mass Email PIAS</v>
      </c>
      <c r="N280" s="11" t="str">
        <f aca="false">IF($A280="","",INDEX(c_Notes,$A280)&amp;"")</f>
        <v/>
      </c>
    </row>
    <row r="281" customFormat="false" ht="15" hidden="false" customHeight="false" outlineLevel="0" collapsed="false">
      <c r="A281" s="32" t="n">
        <f aca="false">IFERROR(MATCH(ROW()-5,c_Seq,0),"")</f>
        <v>276</v>
      </c>
      <c r="B281" s="15" t="str">
        <f aca="false">IF($A281="","",INDEX(c_Name,$A281)&amp;"")</f>
        <v>Paul See Hock Soon</v>
      </c>
      <c r="C281" s="15" t="str">
        <f aca="false">IF($A281="","",INDEX(c_Firm,$A281)&amp;"")</f>
        <v>PIAS</v>
      </c>
      <c r="D281" s="15" t="str">
        <f aca="false">IF($A281="","",INDEX(c_Type,$A281)&amp;"")</f>
        <v>Adviser</v>
      </c>
      <c r="E281" s="15" t="str">
        <f aca="false">IF($A281="","",INDEX(c_Email,$A281)&amp;"")</f>
        <v>paul.see@proinvest.com.sg</v>
      </c>
      <c r="F281" s="36" t="str">
        <f aca="false">IF($A281="","",INDEX(c_Met,$A281)&amp;"")</f>
        <v>No</v>
      </c>
      <c r="G281" s="26" t="str">
        <f aca="false">IF($A281="","",IF(INDEX(c_Date,$A281)="","",INDEX(c_Date,$A281)))</f>
        <v/>
      </c>
      <c r="H281" s="35" t="str">
        <f aca="false">IF($A281="","",IF(INDEX(c_Days,$A281)="","",INDEX(c_Days,$A281)))</f>
        <v/>
      </c>
      <c r="I281" s="41" t="n">
        <f aca="false">IF($A281="","",IF(INDEX(c_Mtgs,$A281)="","",INDEX(c_Mtgs,$A281)))</f>
        <v>0</v>
      </c>
      <c r="J281" s="15" t="str">
        <f aca="false">IF($A281="","",INDEX(c_EvtNames,$A281)&amp;"")</f>
        <v>May-26 Symposium</v>
      </c>
      <c r="K281" s="36" t="str">
        <f aca="false">IF($A281="","",INDEX(c_Invested,$A281)&amp;"")</f>
        <v>No</v>
      </c>
      <c r="L281" s="16" t="str">
        <f aca="false">IF($A281="","",IF(INDEX(c_AUM,$A281)="","",INDEX(c_AUM,$A281)))</f>
        <v/>
      </c>
      <c r="M281" s="15" t="str">
        <f aca="false">IF($A281="","",INDEX(c_Source,$A281)&amp;"")</f>
        <v>Meeting List</v>
      </c>
      <c r="N281" s="15" t="str">
        <f aca="false">IF($A281="","",INDEX(c_Notes,$A281)&amp;"")</f>
        <v/>
      </c>
    </row>
    <row r="282" customFormat="false" ht="15" hidden="false" customHeight="false" outlineLevel="0" collapsed="false">
      <c r="A282" s="32" t="n">
        <f aca="false">IFERROR(MATCH(ROW()-5,c_Seq,0),"")</f>
        <v>277</v>
      </c>
      <c r="B282" s="11" t="str">
        <f aca="false">IF($A282="","",INDEX(c_Name,$A282)&amp;"")</f>
        <v>Pauline Tan</v>
      </c>
      <c r="C282" s="11" t="str">
        <f aca="false">IF($A282="","",INDEX(c_Firm,$A282)&amp;"")</f>
        <v>PIAS</v>
      </c>
      <c r="D282" s="11" t="str">
        <f aca="false">IF($A282="","",INDEX(c_Type,$A282)&amp;"")</f>
        <v>Adviser</v>
      </c>
      <c r="E282" s="11" t="str">
        <f aca="false">IF($A282="","",INDEX(c_Email,$A282)&amp;"")</f>
        <v>pauline.tan@proinvest.com.sg</v>
      </c>
      <c r="F282" s="34" t="str">
        <f aca="false">IF($A282="","",INDEX(c_Met,$A282)&amp;"")</f>
        <v>No</v>
      </c>
      <c r="G282" s="25" t="str">
        <f aca="false">IF($A282="","",IF(INDEX(c_Date,$A282)="","",INDEX(c_Date,$A282)))</f>
        <v/>
      </c>
      <c r="H282" s="33" t="str">
        <f aca="false">IF($A282="","",IF(INDEX(c_Days,$A282)="","",INDEX(c_Days,$A282)))</f>
        <v/>
      </c>
      <c r="I282" s="40" t="n">
        <f aca="false">IF($A282="","",IF(INDEX(c_Mtgs,$A282)="","",INDEX(c_Mtgs,$A282)))</f>
        <v>0</v>
      </c>
      <c r="J282" s="11" t="str">
        <f aca="false">IF($A282="","",INDEX(c_EvtNames,$A282)&amp;"")</f>
        <v/>
      </c>
      <c r="K282" s="34" t="str">
        <f aca="false">IF($A282="","",INDEX(c_Invested,$A282)&amp;"")</f>
        <v>No</v>
      </c>
      <c r="L282" s="12" t="str">
        <f aca="false">IF($A282="","",IF(INDEX(c_AUM,$A282)="","",INDEX(c_AUM,$A282)))</f>
        <v/>
      </c>
      <c r="M282" s="11" t="str">
        <f aca="false">IF($A282="","",INDEX(c_Source,$A282)&amp;"")</f>
        <v>Mass Email PIAS</v>
      </c>
      <c r="N282" s="11" t="str">
        <f aca="false">IF($A282="","",INDEX(c_Notes,$A282)&amp;"")</f>
        <v/>
      </c>
    </row>
    <row r="283" customFormat="false" ht="15" hidden="false" customHeight="false" outlineLevel="0" collapsed="false">
      <c r="A283" s="32" t="n">
        <f aca="false">IFERROR(MATCH(ROW()-5,c_Seq,0),"")</f>
        <v>278</v>
      </c>
      <c r="B283" s="15" t="str">
        <f aca="false">IF($A283="","",INDEX(c_Name,$A283)&amp;"")</f>
        <v>Priscilla Lim</v>
      </c>
      <c r="C283" s="15" t="str">
        <f aca="false">IF($A283="","",INDEX(c_Firm,$A283)&amp;"")</f>
        <v>PIAS</v>
      </c>
      <c r="D283" s="15" t="str">
        <f aca="false">IF($A283="","",INDEX(c_Type,$A283)&amp;"")</f>
        <v>Adviser</v>
      </c>
      <c r="E283" s="15" t="str">
        <f aca="false">IF($A283="","",INDEX(c_Email,$A283)&amp;"")</f>
        <v>priscilla.lim@proinvest.com.sg</v>
      </c>
      <c r="F283" s="36" t="str">
        <f aca="false">IF($A283="","",INDEX(c_Met,$A283)&amp;"")</f>
        <v>No</v>
      </c>
      <c r="G283" s="26" t="str">
        <f aca="false">IF($A283="","",IF(INDEX(c_Date,$A283)="","",INDEX(c_Date,$A283)))</f>
        <v/>
      </c>
      <c r="H283" s="35" t="str">
        <f aca="false">IF($A283="","",IF(INDEX(c_Days,$A283)="","",INDEX(c_Days,$A283)))</f>
        <v/>
      </c>
      <c r="I283" s="41" t="n">
        <f aca="false">IF($A283="","",IF(INDEX(c_Mtgs,$A283)="","",INDEX(c_Mtgs,$A283)))</f>
        <v>0</v>
      </c>
      <c r="J283" s="15" t="str">
        <f aca="false">IF($A283="","",INDEX(c_EvtNames,$A283)&amp;"")</f>
        <v/>
      </c>
      <c r="K283" s="36" t="str">
        <f aca="false">IF($A283="","",INDEX(c_Invested,$A283)&amp;"")</f>
        <v>No</v>
      </c>
      <c r="L283" s="16" t="str">
        <f aca="false">IF($A283="","",IF(INDEX(c_AUM,$A283)="","",INDEX(c_AUM,$A283)))</f>
        <v/>
      </c>
      <c r="M283" s="15" t="str">
        <f aca="false">IF($A283="","",INDEX(c_Source,$A283)&amp;"")</f>
        <v>Mass Email PIAS</v>
      </c>
      <c r="N283" s="15" t="str">
        <f aca="false">IF($A283="","",INDEX(c_Notes,$A283)&amp;"")</f>
        <v/>
      </c>
    </row>
    <row r="284" customFormat="false" ht="15" hidden="false" customHeight="false" outlineLevel="0" collapsed="false">
      <c r="A284" s="32" t="n">
        <f aca="false">IFERROR(MATCH(ROW()-5,c_Seq,0),"")</f>
        <v>279</v>
      </c>
      <c r="B284" s="11" t="str">
        <f aca="false">IF($A284="","",INDEX(c_Name,$A284)&amp;"")</f>
        <v>Puishan Chan</v>
      </c>
      <c r="C284" s="11" t="str">
        <f aca="false">IF($A284="","",INDEX(c_Firm,$A284)&amp;"")</f>
        <v>PIAS</v>
      </c>
      <c r="D284" s="11" t="str">
        <f aca="false">IF($A284="","",INDEX(c_Type,$A284)&amp;"")</f>
        <v>Adviser</v>
      </c>
      <c r="E284" s="11" t="str">
        <f aca="false">IF($A284="","",INDEX(c_Email,$A284)&amp;"")</f>
        <v>puishan.chan@proinvest.com.sg</v>
      </c>
      <c r="F284" s="34" t="str">
        <f aca="false">IF($A284="","",INDEX(c_Met,$A284)&amp;"")</f>
        <v>No</v>
      </c>
      <c r="G284" s="25" t="str">
        <f aca="false">IF($A284="","",IF(INDEX(c_Date,$A284)="","",INDEX(c_Date,$A284)))</f>
        <v/>
      </c>
      <c r="H284" s="33" t="str">
        <f aca="false">IF($A284="","",IF(INDEX(c_Days,$A284)="","",INDEX(c_Days,$A284)))</f>
        <v/>
      </c>
      <c r="I284" s="40" t="n">
        <f aca="false">IF($A284="","",IF(INDEX(c_Mtgs,$A284)="","",INDEX(c_Mtgs,$A284)))</f>
        <v>0</v>
      </c>
      <c r="J284" s="11" t="str">
        <f aca="false">IF($A284="","",INDEX(c_EvtNames,$A284)&amp;"")</f>
        <v/>
      </c>
      <c r="K284" s="34" t="str">
        <f aca="false">IF($A284="","",INDEX(c_Invested,$A284)&amp;"")</f>
        <v>No</v>
      </c>
      <c r="L284" s="12" t="str">
        <f aca="false">IF($A284="","",IF(INDEX(c_AUM,$A284)="","",INDEX(c_AUM,$A284)))</f>
        <v/>
      </c>
      <c r="M284" s="11" t="str">
        <f aca="false">IF($A284="","",INDEX(c_Source,$A284)&amp;"")</f>
        <v>Mass Email PIAS</v>
      </c>
      <c r="N284" s="11" t="str">
        <f aca="false">IF($A284="","",INDEX(c_Notes,$A284)&amp;"")</f>
        <v/>
      </c>
    </row>
    <row r="285" customFormat="false" ht="15" hidden="false" customHeight="false" outlineLevel="0" collapsed="false">
      <c r="A285" s="32" t="n">
        <f aca="false">IFERROR(MATCH(ROW()-5,c_Seq,0),"")</f>
        <v>280</v>
      </c>
      <c r="B285" s="15" t="str">
        <f aca="false">IF($A285="","",INDEX(c_Name,$A285)&amp;"")</f>
        <v>Queelie Tan</v>
      </c>
      <c r="C285" s="15" t="str">
        <f aca="false">IF($A285="","",INDEX(c_Firm,$A285)&amp;"")</f>
        <v>PIAS</v>
      </c>
      <c r="D285" s="15" t="str">
        <f aca="false">IF($A285="","",INDEX(c_Type,$A285)&amp;"")</f>
        <v>Adviser</v>
      </c>
      <c r="E285" s="15" t="str">
        <f aca="false">IF($A285="","",INDEX(c_Email,$A285)&amp;"")</f>
        <v>queelie.tan@proinvest.com.sg</v>
      </c>
      <c r="F285" s="36" t="str">
        <f aca="false">IF($A285="","",INDEX(c_Met,$A285)&amp;"")</f>
        <v>No</v>
      </c>
      <c r="G285" s="26" t="str">
        <f aca="false">IF($A285="","",IF(INDEX(c_Date,$A285)="","",INDEX(c_Date,$A285)))</f>
        <v/>
      </c>
      <c r="H285" s="35" t="str">
        <f aca="false">IF($A285="","",IF(INDEX(c_Days,$A285)="","",INDEX(c_Days,$A285)))</f>
        <v/>
      </c>
      <c r="I285" s="41" t="n">
        <f aca="false">IF($A285="","",IF(INDEX(c_Mtgs,$A285)="","",INDEX(c_Mtgs,$A285)))</f>
        <v>0</v>
      </c>
      <c r="J285" s="15" t="str">
        <f aca="false">IF($A285="","",INDEX(c_EvtNames,$A285)&amp;"")</f>
        <v/>
      </c>
      <c r="K285" s="36" t="str">
        <f aca="false">IF($A285="","",INDEX(c_Invested,$A285)&amp;"")</f>
        <v>No</v>
      </c>
      <c r="L285" s="16" t="str">
        <f aca="false">IF($A285="","",IF(INDEX(c_AUM,$A285)="","",INDEX(c_AUM,$A285)))</f>
        <v/>
      </c>
      <c r="M285" s="15" t="str">
        <f aca="false">IF($A285="","",INDEX(c_Source,$A285)&amp;"")</f>
        <v>Mass Email PIAS</v>
      </c>
      <c r="N285" s="15" t="str">
        <f aca="false">IF($A285="","",INDEX(c_Notes,$A285)&amp;"")</f>
        <v/>
      </c>
    </row>
    <row r="286" customFormat="false" ht="15" hidden="false" customHeight="false" outlineLevel="0" collapsed="false">
      <c r="A286" s="32" t="n">
        <f aca="false">IFERROR(MATCH(ROW()-5,c_Seq,0),"")</f>
        <v>281</v>
      </c>
      <c r="B286" s="11" t="str">
        <f aca="false">IF($A286="","",INDEX(c_Name,$A286)&amp;"")</f>
        <v>Raynor Ho</v>
      </c>
      <c r="C286" s="11" t="str">
        <f aca="false">IF($A286="","",INDEX(c_Firm,$A286)&amp;"")</f>
        <v>PIAS</v>
      </c>
      <c r="D286" s="11" t="str">
        <f aca="false">IF($A286="","",INDEX(c_Type,$A286)&amp;"")</f>
        <v>Adviser</v>
      </c>
      <c r="E286" s="11" t="str">
        <f aca="false">IF($A286="","",INDEX(c_Email,$A286)&amp;"")</f>
        <v>raynor.ho@proinvest.com.sg</v>
      </c>
      <c r="F286" s="34" t="str">
        <f aca="false">IF($A286="","",INDEX(c_Met,$A286)&amp;"")</f>
        <v>No</v>
      </c>
      <c r="G286" s="25" t="str">
        <f aca="false">IF($A286="","",IF(INDEX(c_Date,$A286)="","",INDEX(c_Date,$A286)))</f>
        <v/>
      </c>
      <c r="H286" s="33" t="str">
        <f aca="false">IF($A286="","",IF(INDEX(c_Days,$A286)="","",INDEX(c_Days,$A286)))</f>
        <v/>
      </c>
      <c r="I286" s="40" t="n">
        <f aca="false">IF($A286="","",IF(INDEX(c_Mtgs,$A286)="","",INDEX(c_Mtgs,$A286)))</f>
        <v>0</v>
      </c>
      <c r="J286" s="11" t="str">
        <f aca="false">IF($A286="","",INDEX(c_EvtNames,$A286)&amp;"")</f>
        <v/>
      </c>
      <c r="K286" s="34" t="str">
        <f aca="false">IF($A286="","",INDEX(c_Invested,$A286)&amp;"")</f>
        <v>No</v>
      </c>
      <c r="L286" s="12" t="str">
        <f aca="false">IF($A286="","",IF(INDEX(c_AUM,$A286)="","",INDEX(c_AUM,$A286)))</f>
        <v/>
      </c>
      <c r="M286" s="11" t="str">
        <f aca="false">IF($A286="","",INDEX(c_Source,$A286)&amp;"")</f>
        <v>Mass Email PIAS</v>
      </c>
      <c r="N286" s="11" t="str">
        <f aca="false">IF($A286="","",INDEX(c_Notes,$A286)&amp;"")</f>
        <v/>
      </c>
    </row>
    <row r="287" customFormat="false" ht="15" hidden="false" customHeight="false" outlineLevel="0" collapsed="false">
      <c r="A287" s="32" t="n">
        <f aca="false">IFERROR(MATCH(ROW()-5,c_Seq,0),"")</f>
        <v>282</v>
      </c>
      <c r="B287" s="15" t="str">
        <f aca="false">IF($A287="","",INDEX(c_Name,$A287)&amp;"")</f>
        <v>Rick Tan Set Han</v>
      </c>
      <c r="C287" s="15" t="str">
        <f aca="false">IF($A287="","",INDEX(c_Firm,$A287)&amp;"")</f>
        <v>PIAS</v>
      </c>
      <c r="D287" s="15" t="str">
        <f aca="false">IF($A287="","",INDEX(c_Type,$A287)&amp;"")</f>
        <v>Branch Director</v>
      </c>
      <c r="E287" s="15" t="str">
        <f aca="false">IF($A287="","",INDEX(c_Email,$A287)&amp;"")</f>
        <v/>
      </c>
      <c r="F287" s="36" t="str">
        <f aca="false">IF($A287="","",INDEX(c_Met,$A287)&amp;"")</f>
        <v>No</v>
      </c>
      <c r="G287" s="26" t="str">
        <f aca="false">IF($A287="","",IF(INDEX(c_Date,$A287)="","",INDEX(c_Date,$A287)))</f>
        <v/>
      </c>
      <c r="H287" s="35" t="str">
        <f aca="false">IF($A287="","",IF(INDEX(c_Days,$A287)="","",INDEX(c_Days,$A287)))</f>
        <v/>
      </c>
      <c r="I287" s="41" t="n">
        <f aca="false">IF($A287="","",IF(INDEX(c_Mtgs,$A287)="","",INDEX(c_Mtgs,$A287)))</f>
        <v>0</v>
      </c>
      <c r="J287" s="15" t="str">
        <f aca="false">IF($A287="","",INDEX(c_EvtNames,$A287)&amp;"")</f>
        <v/>
      </c>
      <c r="K287" s="36" t="str">
        <f aca="false">IF($A287="","",INDEX(c_Invested,$A287)&amp;"")</f>
        <v>No</v>
      </c>
      <c r="L287" s="16" t="str">
        <f aca="false">IF($A287="","",IF(INDEX(c_AUM,$A287)="","",INDEX(c_AUM,$A287)))</f>
        <v/>
      </c>
      <c r="M287" s="15" t="str">
        <f aca="false">IF($A287="","",INDEX(c_Source,$A287)&amp;"")</f>
        <v>Branch Directors</v>
      </c>
      <c r="N287" s="15" t="str">
        <f aca="false">IF($A287="","",INDEX(c_Notes,$A287)&amp;"")</f>
        <v>Branch: Eagle's Wing Associates 2 | Already in CRM | https://www.linkedin.com/in/ricktansh/</v>
      </c>
    </row>
    <row r="288" customFormat="false" ht="15" hidden="false" customHeight="false" outlineLevel="0" collapsed="false">
      <c r="A288" s="32" t="n">
        <f aca="false">IFERROR(MATCH(ROW()-5,c_Seq,0),"")</f>
        <v>283</v>
      </c>
      <c r="B288" s="11" t="str">
        <f aca="false">IF($A288="","",INDEX(c_Name,$A288)&amp;"")</f>
        <v>Roger Lee</v>
      </c>
      <c r="C288" s="11" t="str">
        <f aca="false">IF($A288="","",INDEX(c_Firm,$A288)&amp;"")</f>
        <v>PIAS</v>
      </c>
      <c r="D288" s="11" t="str">
        <f aca="false">IF($A288="","",INDEX(c_Type,$A288)&amp;"")</f>
        <v>Adviser</v>
      </c>
      <c r="E288" s="11" t="str">
        <f aca="false">IF($A288="","",INDEX(c_Email,$A288)&amp;"")</f>
        <v>roger.lee@proinvest.com.sg</v>
      </c>
      <c r="F288" s="34" t="str">
        <f aca="false">IF($A288="","",INDEX(c_Met,$A288)&amp;"")</f>
        <v>No</v>
      </c>
      <c r="G288" s="25" t="str">
        <f aca="false">IF($A288="","",IF(INDEX(c_Date,$A288)="","",INDEX(c_Date,$A288)))</f>
        <v/>
      </c>
      <c r="H288" s="33" t="str">
        <f aca="false">IF($A288="","",IF(INDEX(c_Days,$A288)="","",INDEX(c_Days,$A288)))</f>
        <v/>
      </c>
      <c r="I288" s="40" t="n">
        <f aca="false">IF($A288="","",IF(INDEX(c_Mtgs,$A288)="","",INDEX(c_Mtgs,$A288)))</f>
        <v>0</v>
      </c>
      <c r="J288" s="11" t="str">
        <f aca="false">IF($A288="","",INDEX(c_EvtNames,$A288)&amp;"")</f>
        <v/>
      </c>
      <c r="K288" s="34" t="str">
        <f aca="false">IF($A288="","",INDEX(c_Invested,$A288)&amp;"")</f>
        <v>No</v>
      </c>
      <c r="L288" s="12" t="str">
        <f aca="false">IF($A288="","",IF(INDEX(c_AUM,$A288)="","",INDEX(c_AUM,$A288)))</f>
        <v/>
      </c>
      <c r="M288" s="11" t="str">
        <f aca="false">IF($A288="","",INDEX(c_Source,$A288)&amp;"")</f>
        <v>Mass Email PIAS</v>
      </c>
      <c r="N288" s="11" t="str">
        <f aca="false">IF($A288="","",INDEX(c_Notes,$A288)&amp;"")</f>
        <v/>
      </c>
    </row>
    <row r="289" customFormat="false" ht="15" hidden="false" customHeight="false" outlineLevel="0" collapsed="false">
      <c r="A289" s="32" t="n">
        <f aca="false">IFERROR(MATCH(ROW()-5,c_Seq,0),"")</f>
        <v>284</v>
      </c>
      <c r="B289" s="15" t="str">
        <f aca="false">IF($A289="","",INDEX(c_Name,$A289)&amp;"")</f>
        <v>Roy Yeo</v>
      </c>
      <c r="C289" s="15" t="str">
        <f aca="false">IF($A289="","",INDEX(c_Firm,$A289)&amp;"")</f>
        <v>PIAS</v>
      </c>
      <c r="D289" s="15" t="str">
        <f aca="false">IF($A289="","",INDEX(c_Type,$A289)&amp;"")</f>
        <v>Adviser</v>
      </c>
      <c r="E289" s="15" t="str">
        <f aca="false">IF($A289="","",INDEX(c_Email,$A289)&amp;"")</f>
        <v>roy.yeo@proinvest.com.sg</v>
      </c>
      <c r="F289" s="36" t="str">
        <f aca="false">IF($A289="","",INDEX(c_Met,$A289)&amp;"")</f>
        <v>No</v>
      </c>
      <c r="G289" s="26" t="str">
        <f aca="false">IF($A289="","",IF(INDEX(c_Date,$A289)="","",INDEX(c_Date,$A289)))</f>
        <v/>
      </c>
      <c r="H289" s="35" t="str">
        <f aca="false">IF($A289="","",IF(INDEX(c_Days,$A289)="","",INDEX(c_Days,$A289)))</f>
        <v/>
      </c>
      <c r="I289" s="41" t="n">
        <f aca="false">IF($A289="","",IF(INDEX(c_Mtgs,$A289)="","",INDEX(c_Mtgs,$A289)))</f>
        <v>0</v>
      </c>
      <c r="J289" s="15" t="str">
        <f aca="false">IF($A289="","",INDEX(c_EvtNames,$A289)&amp;"")</f>
        <v/>
      </c>
      <c r="K289" s="36" t="str">
        <f aca="false">IF($A289="","",INDEX(c_Invested,$A289)&amp;"")</f>
        <v>No</v>
      </c>
      <c r="L289" s="16" t="str">
        <f aca="false">IF($A289="","",IF(INDEX(c_AUM,$A289)="","",INDEX(c_AUM,$A289)))</f>
        <v/>
      </c>
      <c r="M289" s="15" t="str">
        <f aca="false">IF($A289="","",INDEX(c_Source,$A289)&amp;"")</f>
        <v>Mass Email PIAS</v>
      </c>
      <c r="N289" s="15" t="str">
        <f aca="false">IF($A289="","",INDEX(c_Notes,$A289)&amp;"")</f>
        <v/>
      </c>
    </row>
    <row r="290" customFormat="false" ht="15" hidden="false" customHeight="false" outlineLevel="0" collapsed="false">
      <c r="A290" s="32" t="n">
        <f aca="false">IFERROR(MATCH(ROW()-5,c_Seq,0),"")</f>
        <v>285</v>
      </c>
      <c r="B290" s="11" t="str">
        <f aca="false">IF($A290="","",INDEX(c_Name,$A290)&amp;"")</f>
        <v>Ruth Goi</v>
      </c>
      <c r="C290" s="11" t="str">
        <f aca="false">IF($A290="","",INDEX(c_Firm,$A290)&amp;"")</f>
        <v>PIAS</v>
      </c>
      <c r="D290" s="11" t="str">
        <f aca="false">IF($A290="","",INDEX(c_Type,$A290)&amp;"")</f>
        <v>Adviser</v>
      </c>
      <c r="E290" s="11" t="str">
        <f aca="false">IF($A290="","",INDEX(c_Email,$A290)&amp;"")</f>
        <v>ruth.goi@proinvest.com.sg</v>
      </c>
      <c r="F290" s="34" t="str">
        <f aca="false">IF($A290="","",INDEX(c_Met,$A290)&amp;"")</f>
        <v>No</v>
      </c>
      <c r="G290" s="25" t="str">
        <f aca="false">IF($A290="","",IF(INDEX(c_Date,$A290)="","",INDEX(c_Date,$A290)))</f>
        <v/>
      </c>
      <c r="H290" s="33" t="str">
        <f aca="false">IF($A290="","",IF(INDEX(c_Days,$A290)="","",INDEX(c_Days,$A290)))</f>
        <v/>
      </c>
      <c r="I290" s="40" t="n">
        <f aca="false">IF($A290="","",IF(INDEX(c_Mtgs,$A290)="","",INDEX(c_Mtgs,$A290)))</f>
        <v>0</v>
      </c>
      <c r="J290" s="11" t="str">
        <f aca="false">IF($A290="","",INDEX(c_EvtNames,$A290)&amp;"")</f>
        <v/>
      </c>
      <c r="K290" s="34" t="str">
        <f aca="false">IF($A290="","",INDEX(c_Invested,$A290)&amp;"")</f>
        <v>No</v>
      </c>
      <c r="L290" s="12" t="str">
        <f aca="false">IF($A290="","",IF(INDEX(c_AUM,$A290)="","",INDEX(c_AUM,$A290)))</f>
        <v/>
      </c>
      <c r="M290" s="11" t="str">
        <f aca="false">IF($A290="","",INDEX(c_Source,$A290)&amp;"")</f>
        <v>Mass Email PIAS</v>
      </c>
      <c r="N290" s="11" t="str">
        <f aca="false">IF($A290="","",INDEX(c_Notes,$A290)&amp;"")</f>
        <v/>
      </c>
    </row>
    <row r="291" customFormat="false" ht="15" hidden="false" customHeight="false" outlineLevel="0" collapsed="false">
      <c r="A291" s="32" t="n">
        <f aca="false">IFERROR(MATCH(ROW()-5,c_Seq,0),"")</f>
        <v>286</v>
      </c>
      <c r="B291" s="15" t="str">
        <f aca="false">IF($A291="","",INDEX(c_Name,$A291)&amp;"")</f>
        <v>Saykok Long</v>
      </c>
      <c r="C291" s="15" t="str">
        <f aca="false">IF($A291="","",INDEX(c_Firm,$A291)&amp;"")</f>
        <v>PIAS</v>
      </c>
      <c r="D291" s="15" t="str">
        <f aca="false">IF($A291="","",INDEX(c_Type,$A291)&amp;"")</f>
        <v>Adviser</v>
      </c>
      <c r="E291" s="15" t="str">
        <f aca="false">IF($A291="","",INDEX(c_Email,$A291)&amp;"")</f>
        <v>saykok.long@proinvest.com.sg</v>
      </c>
      <c r="F291" s="36" t="str">
        <f aca="false">IF($A291="","",INDEX(c_Met,$A291)&amp;"")</f>
        <v>No</v>
      </c>
      <c r="G291" s="26" t="str">
        <f aca="false">IF($A291="","",IF(INDEX(c_Date,$A291)="","",INDEX(c_Date,$A291)))</f>
        <v/>
      </c>
      <c r="H291" s="35" t="str">
        <f aca="false">IF($A291="","",IF(INDEX(c_Days,$A291)="","",INDEX(c_Days,$A291)))</f>
        <v/>
      </c>
      <c r="I291" s="41" t="n">
        <f aca="false">IF($A291="","",IF(INDEX(c_Mtgs,$A291)="","",INDEX(c_Mtgs,$A291)))</f>
        <v>0</v>
      </c>
      <c r="J291" s="15" t="str">
        <f aca="false">IF($A291="","",INDEX(c_EvtNames,$A291)&amp;"")</f>
        <v/>
      </c>
      <c r="K291" s="36" t="str">
        <f aca="false">IF($A291="","",INDEX(c_Invested,$A291)&amp;"")</f>
        <v>No</v>
      </c>
      <c r="L291" s="16" t="str">
        <f aca="false">IF($A291="","",IF(INDEX(c_AUM,$A291)="","",INDEX(c_AUM,$A291)))</f>
        <v/>
      </c>
      <c r="M291" s="15" t="str">
        <f aca="false">IF($A291="","",INDEX(c_Source,$A291)&amp;"")</f>
        <v>Mass Email PIAS</v>
      </c>
      <c r="N291" s="15" t="str">
        <f aca="false">IF($A291="","",INDEX(c_Notes,$A291)&amp;"")</f>
        <v/>
      </c>
    </row>
    <row r="292" customFormat="false" ht="15" hidden="false" customHeight="false" outlineLevel="0" collapsed="false">
      <c r="A292" s="32" t="n">
        <f aca="false">IFERROR(MATCH(ROW()-5,c_Seq,0),"")</f>
        <v>287</v>
      </c>
      <c r="B292" s="11" t="str">
        <f aca="false">IF($A292="","",INDEX(c_Name,$A292)&amp;"")</f>
        <v>Sean Lim</v>
      </c>
      <c r="C292" s="11" t="str">
        <f aca="false">IF($A292="","",INDEX(c_Firm,$A292)&amp;"")</f>
        <v>PIAS</v>
      </c>
      <c r="D292" s="11" t="str">
        <f aca="false">IF($A292="","",INDEX(c_Type,$A292)&amp;"")</f>
        <v>Adviser</v>
      </c>
      <c r="E292" s="11" t="str">
        <f aca="false">IF($A292="","",INDEX(c_Email,$A292)&amp;"")</f>
        <v>sean.lim@proinvest.com.sg</v>
      </c>
      <c r="F292" s="34" t="str">
        <f aca="false">IF($A292="","",INDEX(c_Met,$A292)&amp;"")</f>
        <v>No</v>
      </c>
      <c r="G292" s="25" t="str">
        <f aca="false">IF($A292="","",IF(INDEX(c_Date,$A292)="","",INDEX(c_Date,$A292)))</f>
        <v/>
      </c>
      <c r="H292" s="33" t="str">
        <f aca="false">IF($A292="","",IF(INDEX(c_Days,$A292)="","",INDEX(c_Days,$A292)))</f>
        <v/>
      </c>
      <c r="I292" s="40" t="n">
        <f aca="false">IF($A292="","",IF(INDEX(c_Mtgs,$A292)="","",INDEX(c_Mtgs,$A292)))</f>
        <v>0</v>
      </c>
      <c r="J292" s="11" t="str">
        <f aca="false">IF($A292="","",INDEX(c_EvtNames,$A292)&amp;"")</f>
        <v/>
      </c>
      <c r="K292" s="34" t="str">
        <f aca="false">IF($A292="","",INDEX(c_Invested,$A292)&amp;"")</f>
        <v>No</v>
      </c>
      <c r="L292" s="12" t="str">
        <f aca="false">IF($A292="","",IF(INDEX(c_AUM,$A292)="","",INDEX(c_AUM,$A292)))</f>
        <v/>
      </c>
      <c r="M292" s="11" t="str">
        <f aca="false">IF($A292="","",INDEX(c_Source,$A292)&amp;"")</f>
        <v>Mass Email PIAS</v>
      </c>
      <c r="N292" s="11" t="str">
        <f aca="false">IF($A292="","",INDEX(c_Notes,$A292)&amp;"")</f>
        <v/>
      </c>
    </row>
    <row r="293" customFormat="false" ht="15" hidden="false" customHeight="false" outlineLevel="0" collapsed="false">
      <c r="A293" s="32" t="n">
        <f aca="false">IFERROR(MATCH(ROW()-5,c_Seq,0),"")</f>
        <v>288</v>
      </c>
      <c r="B293" s="15" t="str">
        <f aca="false">IF($A293="","",INDEX(c_Name,$A293)&amp;"")</f>
        <v>Serene Ong</v>
      </c>
      <c r="C293" s="15" t="str">
        <f aca="false">IF($A293="","",INDEX(c_Firm,$A293)&amp;"")</f>
        <v>PIAS</v>
      </c>
      <c r="D293" s="15" t="str">
        <f aca="false">IF($A293="","",INDEX(c_Type,$A293)&amp;"")</f>
        <v>Adviser</v>
      </c>
      <c r="E293" s="15" t="str">
        <f aca="false">IF($A293="","",INDEX(c_Email,$A293)&amp;"")</f>
        <v>serene.ong@proinvest.com.sg</v>
      </c>
      <c r="F293" s="36" t="str">
        <f aca="false">IF($A293="","",INDEX(c_Met,$A293)&amp;"")</f>
        <v>No</v>
      </c>
      <c r="G293" s="26" t="str">
        <f aca="false">IF($A293="","",IF(INDEX(c_Date,$A293)="","",INDEX(c_Date,$A293)))</f>
        <v/>
      </c>
      <c r="H293" s="35" t="str">
        <f aca="false">IF($A293="","",IF(INDEX(c_Days,$A293)="","",INDEX(c_Days,$A293)))</f>
        <v/>
      </c>
      <c r="I293" s="41" t="n">
        <f aca="false">IF($A293="","",IF(INDEX(c_Mtgs,$A293)="","",INDEX(c_Mtgs,$A293)))</f>
        <v>0</v>
      </c>
      <c r="J293" s="15" t="str">
        <f aca="false">IF($A293="","",INDEX(c_EvtNames,$A293)&amp;"")</f>
        <v/>
      </c>
      <c r="K293" s="36" t="str">
        <f aca="false">IF($A293="","",INDEX(c_Invested,$A293)&amp;"")</f>
        <v>No</v>
      </c>
      <c r="L293" s="16" t="str">
        <f aca="false">IF($A293="","",IF(INDEX(c_AUM,$A293)="","",INDEX(c_AUM,$A293)))</f>
        <v/>
      </c>
      <c r="M293" s="15" t="str">
        <f aca="false">IF($A293="","",INDEX(c_Source,$A293)&amp;"")</f>
        <v>Mass Email PIAS</v>
      </c>
      <c r="N293" s="15" t="str">
        <f aca="false">IF($A293="","",INDEX(c_Notes,$A293)&amp;"")</f>
        <v/>
      </c>
    </row>
    <row r="294" customFormat="false" ht="15" hidden="false" customHeight="false" outlineLevel="0" collapsed="false">
      <c r="A294" s="32" t="n">
        <f aca="false">IFERROR(MATCH(ROW()-5,c_Seq,0),"")</f>
        <v>289</v>
      </c>
      <c r="B294" s="11" t="str">
        <f aca="false">IF($A294="","",INDEX(c_Name,$A294)&amp;"")</f>
        <v>Serene Soh</v>
      </c>
      <c r="C294" s="11" t="str">
        <f aca="false">IF($A294="","",INDEX(c_Firm,$A294)&amp;"")</f>
        <v>PIAS</v>
      </c>
      <c r="D294" s="11" t="str">
        <f aca="false">IF($A294="","",INDEX(c_Type,$A294)&amp;"")</f>
        <v>Adviser</v>
      </c>
      <c r="E294" s="11" t="str">
        <f aca="false">IF($A294="","",INDEX(c_Email,$A294)&amp;"")</f>
        <v>serene.soh@proinvest.com.sg</v>
      </c>
      <c r="F294" s="34" t="str">
        <f aca="false">IF($A294="","",INDEX(c_Met,$A294)&amp;"")</f>
        <v>No</v>
      </c>
      <c r="G294" s="25" t="str">
        <f aca="false">IF($A294="","",IF(INDEX(c_Date,$A294)="","",INDEX(c_Date,$A294)))</f>
        <v/>
      </c>
      <c r="H294" s="33" t="str">
        <f aca="false">IF($A294="","",IF(INDEX(c_Days,$A294)="","",INDEX(c_Days,$A294)))</f>
        <v/>
      </c>
      <c r="I294" s="40" t="n">
        <f aca="false">IF($A294="","",IF(INDEX(c_Mtgs,$A294)="","",INDEX(c_Mtgs,$A294)))</f>
        <v>0</v>
      </c>
      <c r="J294" s="11" t="str">
        <f aca="false">IF($A294="","",INDEX(c_EvtNames,$A294)&amp;"")</f>
        <v/>
      </c>
      <c r="K294" s="34" t="str">
        <f aca="false">IF($A294="","",INDEX(c_Invested,$A294)&amp;"")</f>
        <v>No</v>
      </c>
      <c r="L294" s="12" t="str">
        <f aca="false">IF($A294="","",IF(INDEX(c_AUM,$A294)="","",INDEX(c_AUM,$A294)))</f>
        <v/>
      </c>
      <c r="M294" s="11" t="str">
        <f aca="false">IF($A294="","",INDEX(c_Source,$A294)&amp;"")</f>
        <v>Mass Email PIAS</v>
      </c>
      <c r="N294" s="11" t="str">
        <f aca="false">IF($A294="","",INDEX(c_Notes,$A294)&amp;"")</f>
        <v/>
      </c>
    </row>
    <row r="295" customFormat="false" ht="15" hidden="false" customHeight="false" outlineLevel="0" collapsed="false">
      <c r="A295" s="32" t="n">
        <f aca="false">IFERROR(MATCH(ROW()-5,c_Seq,0),"")</f>
        <v>290</v>
      </c>
      <c r="B295" s="15" t="str">
        <f aca="false">IF($A295="","",INDEX(c_Name,$A295)&amp;"")</f>
        <v>Sharon Tay</v>
      </c>
      <c r="C295" s="15" t="str">
        <f aca="false">IF($A295="","",INDEX(c_Firm,$A295)&amp;"")</f>
        <v>PIAS</v>
      </c>
      <c r="D295" s="15" t="str">
        <f aca="false">IF($A295="","",INDEX(c_Type,$A295)&amp;"")</f>
        <v>Adviser</v>
      </c>
      <c r="E295" s="15" t="str">
        <f aca="false">IF($A295="","",INDEX(c_Email,$A295)&amp;"")</f>
        <v>sharon.tay@proinvest.com.sg</v>
      </c>
      <c r="F295" s="36" t="str">
        <f aca="false">IF($A295="","",INDEX(c_Met,$A295)&amp;"")</f>
        <v>No</v>
      </c>
      <c r="G295" s="26" t="str">
        <f aca="false">IF($A295="","",IF(INDEX(c_Date,$A295)="","",INDEX(c_Date,$A295)))</f>
        <v/>
      </c>
      <c r="H295" s="35" t="str">
        <f aca="false">IF($A295="","",IF(INDEX(c_Days,$A295)="","",INDEX(c_Days,$A295)))</f>
        <v/>
      </c>
      <c r="I295" s="41" t="n">
        <f aca="false">IF($A295="","",IF(INDEX(c_Mtgs,$A295)="","",INDEX(c_Mtgs,$A295)))</f>
        <v>0</v>
      </c>
      <c r="J295" s="15" t="str">
        <f aca="false">IF($A295="","",INDEX(c_EvtNames,$A295)&amp;"")</f>
        <v/>
      </c>
      <c r="K295" s="36" t="str">
        <f aca="false">IF($A295="","",INDEX(c_Invested,$A295)&amp;"")</f>
        <v>No</v>
      </c>
      <c r="L295" s="16" t="str">
        <f aca="false">IF($A295="","",IF(INDEX(c_AUM,$A295)="","",INDEX(c_AUM,$A295)))</f>
        <v/>
      </c>
      <c r="M295" s="15" t="str">
        <f aca="false">IF($A295="","",INDEX(c_Source,$A295)&amp;"")</f>
        <v>Mass Email PIAS</v>
      </c>
      <c r="N295" s="15" t="str">
        <f aca="false">IF($A295="","",INDEX(c_Notes,$A295)&amp;"")</f>
        <v/>
      </c>
    </row>
    <row r="296" customFormat="false" ht="15" hidden="false" customHeight="false" outlineLevel="0" collapsed="false">
      <c r="A296" s="32" t="n">
        <f aca="false">IFERROR(MATCH(ROW()-5,c_Seq,0),"")</f>
        <v>291</v>
      </c>
      <c r="B296" s="11" t="str">
        <f aca="false">IF($A296="","",INDEX(c_Name,$A296)&amp;"")</f>
        <v>Shermaine Soh</v>
      </c>
      <c r="C296" s="11" t="str">
        <f aca="false">IF($A296="","",INDEX(c_Firm,$A296)&amp;"")</f>
        <v>PIAS</v>
      </c>
      <c r="D296" s="11" t="str">
        <f aca="false">IF($A296="","",INDEX(c_Type,$A296)&amp;"")</f>
        <v>Adviser</v>
      </c>
      <c r="E296" s="11" t="str">
        <f aca="false">IF($A296="","",INDEX(c_Email,$A296)&amp;"")</f>
        <v>shermaine.soh@proinvest.com.sg</v>
      </c>
      <c r="F296" s="34" t="str">
        <f aca="false">IF($A296="","",INDEX(c_Met,$A296)&amp;"")</f>
        <v>No</v>
      </c>
      <c r="G296" s="25" t="str">
        <f aca="false">IF($A296="","",IF(INDEX(c_Date,$A296)="","",INDEX(c_Date,$A296)))</f>
        <v/>
      </c>
      <c r="H296" s="33" t="str">
        <f aca="false">IF($A296="","",IF(INDEX(c_Days,$A296)="","",INDEX(c_Days,$A296)))</f>
        <v/>
      </c>
      <c r="I296" s="40" t="n">
        <f aca="false">IF($A296="","",IF(INDEX(c_Mtgs,$A296)="","",INDEX(c_Mtgs,$A296)))</f>
        <v>0</v>
      </c>
      <c r="J296" s="11" t="str">
        <f aca="false">IF($A296="","",INDEX(c_EvtNames,$A296)&amp;"")</f>
        <v/>
      </c>
      <c r="K296" s="34" t="str">
        <f aca="false">IF($A296="","",INDEX(c_Invested,$A296)&amp;"")</f>
        <v>No</v>
      </c>
      <c r="L296" s="12" t="str">
        <f aca="false">IF($A296="","",IF(INDEX(c_AUM,$A296)="","",INDEX(c_AUM,$A296)))</f>
        <v/>
      </c>
      <c r="M296" s="11" t="str">
        <f aca="false">IF($A296="","",INDEX(c_Source,$A296)&amp;"")</f>
        <v>Mass Email PIAS</v>
      </c>
      <c r="N296" s="11" t="str">
        <f aca="false">IF($A296="","",INDEX(c_Notes,$A296)&amp;"")</f>
        <v/>
      </c>
    </row>
    <row r="297" customFormat="false" ht="15" hidden="false" customHeight="false" outlineLevel="0" collapsed="false">
      <c r="A297" s="32" t="n">
        <f aca="false">IFERROR(MATCH(ROW()-5,c_Seq,0),"")</f>
        <v>292</v>
      </c>
      <c r="B297" s="15" t="str">
        <f aca="false">IF($A297="","",INDEX(c_Name,$A297)&amp;"")</f>
        <v>Siewkim Lwa</v>
      </c>
      <c r="C297" s="15" t="str">
        <f aca="false">IF($A297="","",INDEX(c_Firm,$A297)&amp;"")</f>
        <v>PIAS</v>
      </c>
      <c r="D297" s="15" t="str">
        <f aca="false">IF($A297="","",INDEX(c_Type,$A297)&amp;"")</f>
        <v>Adviser</v>
      </c>
      <c r="E297" s="15" t="str">
        <f aca="false">IF($A297="","",INDEX(c_Email,$A297)&amp;"")</f>
        <v>siewkim.lwa@proinvest.com.sg</v>
      </c>
      <c r="F297" s="36" t="str">
        <f aca="false">IF($A297="","",INDEX(c_Met,$A297)&amp;"")</f>
        <v>No</v>
      </c>
      <c r="G297" s="26" t="str">
        <f aca="false">IF($A297="","",IF(INDEX(c_Date,$A297)="","",INDEX(c_Date,$A297)))</f>
        <v/>
      </c>
      <c r="H297" s="35" t="str">
        <f aca="false">IF($A297="","",IF(INDEX(c_Days,$A297)="","",INDEX(c_Days,$A297)))</f>
        <v/>
      </c>
      <c r="I297" s="41" t="n">
        <f aca="false">IF($A297="","",IF(INDEX(c_Mtgs,$A297)="","",INDEX(c_Mtgs,$A297)))</f>
        <v>0</v>
      </c>
      <c r="J297" s="15" t="str">
        <f aca="false">IF($A297="","",INDEX(c_EvtNames,$A297)&amp;"")</f>
        <v/>
      </c>
      <c r="K297" s="36" t="str">
        <f aca="false">IF($A297="","",INDEX(c_Invested,$A297)&amp;"")</f>
        <v>No</v>
      </c>
      <c r="L297" s="16" t="str">
        <f aca="false">IF($A297="","",IF(INDEX(c_AUM,$A297)="","",INDEX(c_AUM,$A297)))</f>
        <v/>
      </c>
      <c r="M297" s="15" t="str">
        <f aca="false">IF($A297="","",INDEX(c_Source,$A297)&amp;"")</f>
        <v>Mass Email PIAS</v>
      </c>
      <c r="N297" s="15" t="str">
        <f aca="false">IF($A297="","",INDEX(c_Notes,$A297)&amp;"")</f>
        <v/>
      </c>
    </row>
    <row r="298" customFormat="false" ht="15" hidden="false" customHeight="false" outlineLevel="0" collapsed="false">
      <c r="A298" s="32" t="n">
        <f aca="false">IFERROR(MATCH(ROW()-5,c_Seq,0),"")</f>
        <v>293</v>
      </c>
      <c r="B298" s="11" t="str">
        <f aca="false">IF($A298="","",INDEX(c_Name,$A298)&amp;"")</f>
        <v>Song Tat Seang Joey</v>
      </c>
      <c r="C298" s="11" t="str">
        <f aca="false">IF($A298="","",INDEX(c_Firm,$A298)&amp;"")</f>
        <v>PIAS</v>
      </c>
      <c r="D298" s="11" t="str">
        <f aca="false">IF($A298="","",INDEX(c_Type,$A298)&amp;"")</f>
        <v>Branch Director</v>
      </c>
      <c r="E298" s="11" t="str">
        <f aca="false">IF($A298="","",INDEX(c_Email,$A298)&amp;"")</f>
        <v/>
      </c>
      <c r="F298" s="34" t="str">
        <f aca="false">IF($A298="","",INDEX(c_Met,$A298)&amp;"")</f>
        <v>No</v>
      </c>
      <c r="G298" s="25" t="str">
        <f aca="false">IF($A298="","",IF(INDEX(c_Date,$A298)="","",INDEX(c_Date,$A298)))</f>
        <v/>
      </c>
      <c r="H298" s="33" t="str">
        <f aca="false">IF($A298="","",IF(INDEX(c_Days,$A298)="","",INDEX(c_Days,$A298)))</f>
        <v/>
      </c>
      <c r="I298" s="40" t="n">
        <f aca="false">IF($A298="","",IF(INDEX(c_Mtgs,$A298)="","",INDEX(c_Mtgs,$A298)))</f>
        <v>0</v>
      </c>
      <c r="J298" s="11" t="str">
        <f aca="false">IF($A298="","",INDEX(c_EvtNames,$A298)&amp;"")</f>
        <v/>
      </c>
      <c r="K298" s="34" t="str">
        <f aca="false">IF($A298="","",INDEX(c_Invested,$A298)&amp;"")</f>
        <v>No</v>
      </c>
      <c r="L298" s="12" t="str">
        <f aca="false">IF($A298="","",IF(INDEX(c_AUM,$A298)="","",INDEX(c_AUM,$A298)))</f>
        <v/>
      </c>
      <c r="M298" s="11" t="str">
        <f aca="false">IF($A298="","",INDEX(c_Source,$A298)&amp;"")</f>
        <v>Branch Directors</v>
      </c>
      <c r="N298" s="11" t="str">
        <f aca="false">IF($A298="","",INDEX(c_Notes,$A298)&amp;"")</f>
        <v>Branch: Joey Song &amp; Associates | Already in CRM | https://www.linkedin.com/in/joey-song-879129103/</v>
      </c>
    </row>
    <row r="299" customFormat="false" ht="15" hidden="false" customHeight="false" outlineLevel="0" collapsed="false">
      <c r="A299" s="32" t="n">
        <f aca="false">IFERROR(MATCH(ROW()-5,c_Seq,0),"")</f>
        <v>294</v>
      </c>
      <c r="B299" s="15" t="str">
        <f aca="false">IF($A299="","",INDEX(c_Name,$A299)&amp;"")</f>
        <v>Soong Chng Hau Alvin</v>
      </c>
      <c r="C299" s="15" t="str">
        <f aca="false">IF($A299="","",INDEX(c_Firm,$A299)&amp;"")</f>
        <v>PIAS</v>
      </c>
      <c r="D299" s="15" t="str">
        <f aca="false">IF($A299="","",INDEX(c_Type,$A299)&amp;"")</f>
        <v>Branch Director</v>
      </c>
      <c r="E299" s="15" t="str">
        <f aca="false">IF($A299="","",INDEX(c_Email,$A299)&amp;"")</f>
        <v/>
      </c>
      <c r="F299" s="36" t="str">
        <f aca="false">IF($A299="","",INDEX(c_Met,$A299)&amp;"")</f>
        <v>No</v>
      </c>
      <c r="G299" s="26" t="str">
        <f aca="false">IF($A299="","",IF(INDEX(c_Date,$A299)="","",INDEX(c_Date,$A299)))</f>
        <v/>
      </c>
      <c r="H299" s="35" t="str">
        <f aca="false">IF($A299="","",IF(INDEX(c_Days,$A299)="","",INDEX(c_Days,$A299)))</f>
        <v/>
      </c>
      <c r="I299" s="41" t="n">
        <f aca="false">IF($A299="","",IF(INDEX(c_Mtgs,$A299)="","",INDEX(c_Mtgs,$A299)))</f>
        <v>0</v>
      </c>
      <c r="J299" s="15" t="str">
        <f aca="false">IF($A299="","",INDEX(c_EvtNames,$A299)&amp;"")</f>
        <v/>
      </c>
      <c r="K299" s="36" t="str">
        <f aca="false">IF($A299="","",INDEX(c_Invested,$A299)&amp;"")</f>
        <v>No</v>
      </c>
      <c r="L299" s="16" t="str">
        <f aca="false">IF($A299="","",IF(INDEX(c_AUM,$A299)="","",INDEX(c_AUM,$A299)))</f>
        <v/>
      </c>
      <c r="M299" s="15" t="str">
        <f aca="false">IF($A299="","",INDEX(c_Source,$A299)&amp;"")</f>
        <v>Branch Directors</v>
      </c>
      <c r="N299" s="15" t="str">
        <f aca="false">IF($A299="","",INDEX(c_Notes,$A299)&amp;"")</f>
        <v>Branch: Polaris Zenieth Advisory | Already in CRM | https://www.linkedin.com/in/alvinsoong/</v>
      </c>
    </row>
    <row r="300" customFormat="false" ht="15" hidden="false" customHeight="false" outlineLevel="0" collapsed="false">
      <c r="A300" s="32" t="n">
        <f aca="false">IFERROR(MATCH(ROW()-5,c_Seq,0),"")</f>
        <v>295</v>
      </c>
      <c r="B300" s="11" t="str">
        <f aca="false">IF($A300="","",INDEX(c_Name,$A300)&amp;"")</f>
        <v>Stella Sophia Goh</v>
      </c>
      <c r="C300" s="11" t="str">
        <f aca="false">IF($A300="","",INDEX(c_Firm,$A300)&amp;"")</f>
        <v>PIAS</v>
      </c>
      <c r="D300" s="11" t="str">
        <f aca="false">IF($A300="","",INDEX(c_Type,$A300)&amp;"")</f>
        <v>Adviser</v>
      </c>
      <c r="E300" s="11" t="str">
        <f aca="false">IF($A300="","",INDEX(c_Email,$A300)&amp;"")</f>
        <v>stellasophia.goh@proinvest.com.sg</v>
      </c>
      <c r="F300" s="34" t="str">
        <f aca="false">IF($A300="","",INDEX(c_Met,$A300)&amp;"")</f>
        <v>No</v>
      </c>
      <c r="G300" s="25" t="str">
        <f aca="false">IF($A300="","",IF(INDEX(c_Date,$A300)="","",INDEX(c_Date,$A300)))</f>
        <v/>
      </c>
      <c r="H300" s="33" t="str">
        <f aca="false">IF($A300="","",IF(INDEX(c_Days,$A300)="","",INDEX(c_Days,$A300)))</f>
        <v/>
      </c>
      <c r="I300" s="40" t="n">
        <f aca="false">IF($A300="","",IF(INDEX(c_Mtgs,$A300)="","",INDEX(c_Mtgs,$A300)))</f>
        <v>0</v>
      </c>
      <c r="J300" s="11" t="str">
        <f aca="false">IF($A300="","",INDEX(c_EvtNames,$A300)&amp;"")</f>
        <v/>
      </c>
      <c r="K300" s="34" t="str">
        <f aca="false">IF($A300="","",INDEX(c_Invested,$A300)&amp;"")</f>
        <v>No</v>
      </c>
      <c r="L300" s="12" t="str">
        <f aca="false">IF($A300="","",IF(INDEX(c_AUM,$A300)="","",INDEX(c_AUM,$A300)))</f>
        <v/>
      </c>
      <c r="M300" s="11" t="str">
        <f aca="false">IF($A300="","",INDEX(c_Source,$A300)&amp;"")</f>
        <v>Mass Email PIAS</v>
      </c>
      <c r="N300" s="11" t="str">
        <f aca="false">IF($A300="","",INDEX(c_Notes,$A300)&amp;"")</f>
        <v/>
      </c>
    </row>
    <row r="301" customFormat="false" ht="15" hidden="false" customHeight="false" outlineLevel="0" collapsed="false">
      <c r="A301" s="32" t="n">
        <f aca="false">IFERROR(MATCH(ROW()-5,c_Seq,0),"")</f>
        <v>296</v>
      </c>
      <c r="B301" s="15" t="str">
        <f aca="false">IF($A301="","",INDEX(c_Name,$A301)&amp;"")</f>
        <v>Stephanie Zhu</v>
      </c>
      <c r="C301" s="15" t="str">
        <f aca="false">IF($A301="","",INDEX(c_Firm,$A301)&amp;"")</f>
        <v>PIAS</v>
      </c>
      <c r="D301" s="15" t="str">
        <f aca="false">IF($A301="","",INDEX(c_Type,$A301)&amp;"")</f>
        <v>Adviser</v>
      </c>
      <c r="E301" s="15" t="str">
        <f aca="false">IF($A301="","",INDEX(c_Email,$A301)&amp;"")</f>
        <v>stephanie.zhu@proinvest.com.sg</v>
      </c>
      <c r="F301" s="36" t="str">
        <f aca="false">IF($A301="","",INDEX(c_Met,$A301)&amp;"")</f>
        <v>No</v>
      </c>
      <c r="G301" s="26" t="str">
        <f aca="false">IF($A301="","",IF(INDEX(c_Date,$A301)="","",INDEX(c_Date,$A301)))</f>
        <v/>
      </c>
      <c r="H301" s="35" t="str">
        <f aca="false">IF($A301="","",IF(INDEX(c_Days,$A301)="","",INDEX(c_Days,$A301)))</f>
        <v/>
      </c>
      <c r="I301" s="41" t="n">
        <f aca="false">IF($A301="","",IF(INDEX(c_Mtgs,$A301)="","",INDEX(c_Mtgs,$A301)))</f>
        <v>0</v>
      </c>
      <c r="J301" s="15" t="str">
        <f aca="false">IF($A301="","",INDEX(c_EvtNames,$A301)&amp;"")</f>
        <v/>
      </c>
      <c r="K301" s="36" t="str">
        <f aca="false">IF($A301="","",INDEX(c_Invested,$A301)&amp;"")</f>
        <v>No</v>
      </c>
      <c r="L301" s="16" t="str">
        <f aca="false">IF($A301="","",IF(INDEX(c_AUM,$A301)="","",INDEX(c_AUM,$A301)))</f>
        <v/>
      </c>
      <c r="M301" s="15" t="str">
        <f aca="false">IF($A301="","",INDEX(c_Source,$A301)&amp;"")</f>
        <v>Mass Email PIAS</v>
      </c>
      <c r="N301" s="15" t="str">
        <f aca="false">IF($A301="","",INDEX(c_Notes,$A301)&amp;"")</f>
        <v/>
      </c>
    </row>
    <row r="302" customFormat="false" ht="15" hidden="false" customHeight="false" outlineLevel="0" collapsed="false">
      <c r="A302" s="32" t="n">
        <f aca="false">IFERROR(MATCH(ROW()-5,c_Seq,0),"")</f>
        <v>297</v>
      </c>
      <c r="B302" s="11" t="str">
        <f aca="false">IF($A302="","",INDEX(c_Name,$A302)&amp;"")</f>
        <v>Stephanie Zhu Ying</v>
      </c>
      <c r="C302" s="11" t="str">
        <f aca="false">IF($A302="","",INDEX(c_Firm,$A302)&amp;"")</f>
        <v>PIAS</v>
      </c>
      <c r="D302" s="11" t="str">
        <f aca="false">IF($A302="","",INDEX(c_Type,$A302)&amp;"")</f>
        <v>Branch Director</v>
      </c>
      <c r="E302" s="11" t="str">
        <f aca="false">IF($A302="","",INDEX(c_Email,$A302)&amp;"")</f>
        <v/>
      </c>
      <c r="F302" s="34" t="str">
        <f aca="false">IF($A302="","",INDEX(c_Met,$A302)&amp;"")</f>
        <v>No</v>
      </c>
      <c r="G302" s="25" t="str">
        <f aca="false">IF($A302="","",IF(INDEX(c_Date,$A302)="","",INDEX(c_Date,$A302)))</f>
        <v/>
      </c>
      <c r="H302" s="33" t="str">
        <f aca="false">IF($A302="","",IF(INDEX(c_Days,$A302)="","",INDEX(c_Days,$A302)))</f>
        <v/>
      </c>
      <c r="I302" s="40" t="n">
        <f aca="false">IF($A302="","",IF(INDEX(c_Mtgs,$A302)="","",INDEX(c_Mtgs,$A302)))</f>
        <v>0</v>
      </c>
      <c r="J302" s="11" t="str">
        <f aca="false">IF($A302="","",INDEX(c_EvtNames,$A302)&amp;"")</f>
        <v/>
      </c>
      <c r="K302" s="34" t="str">
        <f aca="false">IF($A302="","",INDEX(c_Invested,$A302)&amp;"")</f>
        <v>No</v>
      </c>
      <c r="L302" s="12" t="str">
        <f aca="false">IF($A302="","",IF(INDEX(c_AUM,$A302)="","",INDEX(c_AUM,$A302)))</f>
        <v/>
      </c>
      <c r="M302" s="11" t="str">
        <f aca="false">IF($A302="","",INDEX(c_Source,$A302)&amp;"")</f>
        <v>Branch Directors</v>
      </c>
      <c r="N302" s="11" t="str">
        <f aca="false">IF($A302="","",INDEX(c_Notes,$A302)&amp;"")</f>
        <v>Branch: INS Wealth Advisory | Already in CRM | https://www.linkedin.com/in/zy86144941/</v>
      </c>
    </row>
    <row r="303" customFormat="false" ht="15" hidden="false" customHeight="false" outlineLevel="0" collapsed="false">
      <c r="A303" s="32" t="n">
        <f aca="false">IFERROR(MATCH(ROW()-5,c_Seq,0),"")</f>
        <v>298</v>
      </c>
      <c r="B303" s="15" t="str">
        <f aca="false">IF($A303="","",INDEX(c_Name,$A303)&amp;"")</f>
        <v>Stephen Yeo</v>
      </c>
      <c r="C303" s="15" t="str">
        <f aca="false">IF($A303="","",INDEX(c_Firm,$A303)&amp;"")</f>
        <v>PIAS</v>
      </c>
      <c r="D303" s="15" t="str">
        <f aca="false">IF($A303="","",INDEX(c_Type,$A303)&amp;"")</f>
        <v>Adviser</v>
      </c>
      <c r="E303" s="15" t="str">
        <f aca="false">IF($A303="","",INDEX(c_Email,$A303)&amp;"")</f>
        <v>stephen.yeo@proinvest.com.sg</v>
      </c>
      <c r="F303" s="36" t="str">
        <f aca="false">IF($A303="","",INDEX(c_Met,$A303)&amp;"")</f>
        <v>No</v>
      </c>
      <c r="G303" s="26" t="str">
        <f aca="false">IF($A303="","",IF(INDEX(c_Date,$A303)="","",INDEX(c_Date,$A303)))</f>
        <v/>
      </c>
      <c r="H303" s="35" t="str">
        <f aca="false">IF($A303="","",IF(INDEX(c_Days,$A303)="","",INDEX(c_Days,$A303)))</f>
        <v/>
      </c>
      <c r="I303" s="41" t="n">
        <f aca="false">IF($A303="","",IF(INDEX(c_Mtgs,$A303)="","",INDEX(c_Mtgs,$A303)))</f>
        <v>0</v>
      </c>
      <c r="J303" s="15" t="str">
        <f aca="false">IF($A303="","",INDEX(c_EvtNames,$A303)&amp;"")</f>
        <v/>
      </c>
      <c r="K303" s="36" t="str">
        <f aca="false">IF($A303="","",INDEX(c_Invested,$A303)&amp;"")</f>
        <v>No</v>
      </c>
      <c r="L303" s="16" t="str">
        <f aca="false">IF($A303="","",IF(INDEX(c_AUM,$A303)="","",INDEX(c_AUM,$A303)))</f>
        <v/>
      </c>
      <c r="M303" s="15" t="str">
        <f aca="false">IF($A303="","",INDEX(c_Source,$A303)&amp;"")</f>
        <v>Mass Email PIAS</v>
      </c>
      <c r="N303" s="15" t="str">
        <f aca="false">IF($A303="","",INDEX(c_Notes,$A303)&amp;"")</f>
        <v/>
      </c>
    </row>
    <row r="304" customFormat="false" ht="15" hidden="false" customHeight="false" outlineLevel="0" collapsed="false">
      <c r="A304" s="32" t="n">
        <f aca="false">IFERROR(MATCH(ROW()-5,c_Seq,0),"")</f>
        <v>299</v>
      </c>
      <c r="B304" s="11" t="str">
        <f aca="false">IF($A304="","",INDEX(c_Name,$A304)&amp;"")</f>
        <v>Tang Tuck Soon, Alan</v>
      </c>
      <c r="C304" s="11" t="str">
        <f aca="false">IF($A304="","",INDEX(c_Firm,$A304)&amp;"")</f>
        <v>PIAS</v>
      </c>
      <c r="D304" s="11" t="str">
        <f aca="false">IF($A304="","",INDEX(c_Type,$A304)&amp;"")</f>
        <v>Branch Director</v>
      </c>
      <c r="E304" s="11" t="str">
        <f aca="false">IF($A304="","",INDEX(c_Email,$A304)&amp;"")</f>
        <v/>
      </c>
      <c r="F304" s="34" t="str">
        <f aca="false">IF($A304="","",INDEX(c_Met,$A304)&amp;"")</f>
        <v>No</v>
      </c>
      <c r="G304" s="25" t="str">
        <f aca="false">IF($A304="","",IF(INDEX(c_Date,$A304)="","",INDEX(c_Date,$A304)))</f>
        <v/>
      </c>
      <c r="H304" s="33" t="str">
        <f aca="false">IF($A304="","",IF(INDEX(c_Days,$A304)="","",INDEX(c_Days,$A304)))</f>
        <v/>
      </c>
      <c r="I304" s="40" t="n">
        <f aca="false">IF($A304="","",IF(INDEX(c_Mtgs,$A304)="","",INDEX(c_Mtgs,$A304)))</f>
        <v>0</v>
      </c>
      <c r="J304" s="11" t="str">
        <f aca="false">IF($A304="","",INDEX(c_EvtNames,$A304)&amp;"")</f>
        <v/>
      </c>
      <c r="K304" s="34" t="str">
        <f aca="false">IF($A304="","",INDEX(c_Invested,$A304)&amp;"")</f>
        <v>No</v>
      </c>
      <c r="L304" s="12" t="str">
        <f aca="false">IF($A304="","",IF(INDEX(c_AUM,$A304)="","",INDEX(c_AUM,$A304)))</f>
        <v/>
      </c>
      <c r="M304" s="11" t="str">
        <f aca="false">IF($A304="","",INDEX(c_Source,$A304)&amp;"")</f>
        <v>Branch Directors</v>
      </c>
      <c r="N304" s="11" t="str">
        <f aca="false">IF($A304="","",INDEX(c_Notes,$A304)&amp;"")</f>
        <v>Branch: Apex Wealth management | https://www.linkedin.com/in/alantangts/</v>
      </c>
    </row>
    <row r="305" customFormat="false" ht="15" hidden="false" customHeight="false" outlineLevel="0" collapsed="false">
      <c r="A305" s="32" t="n">
        <f aca="false">IFERROR(MATCH(ROW()-5,c_Seq,0),"")</f>
        <v>300</v>
      </c>
      <c r="B305" s="15" t="str">
        <f aca="false">IF($A305="","",INDEX(c_Name,$A305)&amp;"")</f>
        <v>Terence Yang Xi</v>
      </c>
      <c r="C305" s="15" t="str">
        <f aca="false">IF($A305="","",INDEX(c_Firm,$A305)&amp;"")</f>
        <v>PIAS</v>
      </c>
      <c r="D305" s="15" t="str">
        <f aca="false">IF($A305="","",INDEX(c_Type,$A305)&amp;"")</f>
        <v>Branch Director</v>
      </c>
      <c r="E305" s="15" t="str">
        <f aca="false">IF($A305="","",INDEX(c_Email,$A305)&amp;"")</f>
        <v/>
      </c>
      <c r="F305" s="36" t="str">
        <f aca="false">IF($A305="","",INDEX(c_Met,$A305)&amp;"")</f>
        <v>No</v>
      </c>
      <c r="G305" s="26" t="str">
        <f aca="false">IF($A305="","",IF(INDEX(c_Date,$A305)="","",INDEX(c_Date,$A305)))</f>
        <v/>
      </c>
      <c r="H305" s="35" t="str">
        <f aca="false">IF($A305="","",IF(INDEX(c_Days,$A305)="","",INDEX(c_Days,$A305)))</f>
        <v/>
      </c>
      <c r="I305" s="41" t="n">
        <f aca="false">IF($A305="","",IF(INDEX(c_Mtgs,$A305)="","",INDEX(c_Mtgs,$A305)))</f>
        <v>0</v>
      </c>
      <c r="J305" s="15" t="str">
        <f aca="false">IF($A305="","",INDEX(c_EvtNames,$A305)&amp;"")</f>
        <v/>
      </c>
      <c r="K305" s="36" t="str">
        <f aca="false">IF($A305="","",INDEX(c_Invested,$A305)&amp;"")</f>
        <v>No</v>
      </c>
      <c r="L305" s="16" t="str">
        <f aca="false">IF($A305="","",IF(INDEX(c_AUM,$A305)="","",INDEX(c_AUM,$A305)))</f>
        <v/>
      </c>
      <c r="M305" s="15" t="str">
        <f aca="false">IF($A305="","",INDEX(c_Source,$A305)&amp;"")</f>
        <v>Branch Directors</v>
      </c>
      <c r="N305" s="15" t="str">
        <f aca="false">IF($A305="","",INDEX(c_Notes,$A305)&amp;"")</f>
        <v>Branch: APEX Affinity Planners | https://www.linkedin.com/in/terence-yang-xi/</v>
      </c>
    </row>
    <row r="306" customFormat="false" ht="15" hidden="false" customHeight="false" outlineLevel="0" collapsed="false">
      <c r="A306" s="32" t="n">
        <f aca="false">IFERROR(MATCH(ROW()-5,c_Seq,0),"")</f>
        <v>301</v>
      </c>
      <c r="B306" s="11" t="str">
        <f aca="false">IF($A306="","",INDEX(c_Name,$A306)&amp;"")</f>
        <v>Thilaga Chitharasu</v>
      </c>
      <c r="C306" s="11" t="str">
        <f aca="false">IF($A306="","",INDEX(c_Firm,$A306)&amp;"")</f>
        <v>PIAS</v>
      </c>
      <c r="D306" s="11" t="str">
        <f aca="false">IF($A306="","",INDEX(c_Type,$A306)&amp;"")</f>
        <v>Adviser</v>
      </c>
      <c r="E306" s="11" t="str">
        <f aca="false">IF($A306="","",INDEX(c_Email,$A306)&amp;"")</f>
        <v>thilaga.chitharasu@proinvest.com.sg</v>
      </c>
      <c r="F306" s="34" t="str">
        <f aca="false">IF($A306="","",INDEX(c_Met,$A306)&amp;"")</f>
        <v>No</v>
      </c>
      <c r="G306" s="25" t="str">
        <f aca="false">IF($A306="","",IF(INDEX(c_Date,$A306)="","",INDEX(c_Date,$A306)))</f>
        <v/>
      </c>
      <c r="H306" s="33" t="str">
        <f aca="false">IF($A306="","",IF(INDEX(c_Days,$A306)="","",INDEX(c_Days,$A306)))</f>
        <v/>
      </c>
      <c r="I306" s="40" t="n">
        <f aca="false">IF($A306="","",IF(INDEX(c_Mtgs,$A306)="","",INDEX(c_Mtgs,$A306)))</f>
        <v>0</v>
      </c>
      <c r="J306" s="11" t="str">
        <f aca="false">IF($A306="","",INDEX(c_EvtNames,$A306)&amp;"")</f>
        <v/>
      </c>
      <c r="K306" s="34" t="str">
        <f aca="false">IF($A306="","",INDEX(c_Invested,$A306)&amp;"")</f>
        <v>No</v>
      </c>
      <c r="L306" s="12" t="str">
        <f aca="false">IF($A306="","",IF(INDEX(c_AUM,$A306)="","",INDEX(c_AUM,$A306)))</f>
        <v/>
      </c>
      <c r="M306" s="11" t="str">
        <f aca="false">IF($A306="","",INDEX(c_Source,$A306)&amp;"")</f>
        <v>Mass Email PIAS</v>
      </c>
      <c r="N306" s="11" t="str">
        <f aca="false">IF($A306="","",INDEX(c_Notes,$A306)&amp;"")</f>
        <v/>
      </c>
    </row>
    <row r="307" customFormat="false" ht="15" hidden="false" customHeight="false" outlineLevel="0" collapsed="false">
      <c r="A307" s="32" t="n">
        <f aca="false">IFERROR(MATCH(ROW()-5,c_Seq,0),"")</f>
        <v>302</v>
      </c>
      <c r="B307" s="15" t="str">
        <f aca="false">IF($A307="","",INDEX(c_Name,$A307)&amp;"")</f>
        <v>Thiviyah Raman</v>
      </c>
      <c r="C307" s="15" t="str">
        <f aca="false">IF($A307="","",INDEX(c_Firm,$A307)&amp;"")</f>
        <v>PIAS</v>
      </c>
      <c r="D307" s="15" t="str">
        <f aca="false">IF($A307="","",INDEX(c_Type,$A307)&amp;"")</f>
        <v>Adviser</v>
      </c>
      <c r="E307" s="15" t="str">
        <f aca="false">IF($A307="","",INDEX(c_Email,$A307)&amp;"")</f>
        <v>thiviyah.raman@proinvest.com.sg</v>
      </c>
      <c r="F307" s="36" t="str">
        <f aca="false">IF($A307="","",INDEX(c_Met,$A307)&amp;"")</f>
        <v>No</v>
      </c>
      <c r="G307" s="26" t="str">
        <f aca="false">IF($A307="","",IF(INDEX(c_Date,$A307)="","",INDEX(c_Date,$A307)))</f>
        <v/>
      </c>
      <c r="H307" s="35" t="str">
        <f aca="false">IF($A307="","",IF(INDEX(c_Days,$A307)="","",INDEX(c_Days,$A307)))</f>
        <v/>
      </c>
      <c r="I307" s="41" t="n">
        <f aca="false">IF($A307="","",IF(INDEX(c_Mtgs,$A307)="","",INDEX(c_Mtgs,$A307)))</f>
        <v>0</v>
      </c>
      <c r="J307" s="15" t="str">
        <f aca="false">IF($A307="","",INDEX(c_EvtNames,$A307)&amp;"")</f>
        <v/>
      </c>
      <c r="K307" s="36" t="str">
        <f aca="false">IF($A307="","",INDEX(c_Invested,$A307)&amp;"")</f>
        <v>No</v>
      </c>
      <c r="L307" s="16" t="str">
        <f aca="false">IF($A307="","",IF(INDEX(c_AUM,$A307)="","",INDEX(c_AUM,$A307)))</f>
        <v/>
      </c>
      <c r="M307" s="15" t="str">
        <f aca="false">IF($A307="","",INDEX(c_Source,$A307)&amp;"")</f>
        <v>Mass Email PIAS</v>
      </c>
      <c r="N307" s="15" t="str">
        <f aca="false">IF($A307="","",INDEX(c_Notes,$A307)&amp;"")</f>
        <v/>
      </c>
    </row>
    <row r="308" customFormat="false" ht="15" hidden="false" customHeight="false" outlineLevel="0" collapsed="false">
      <c r="A308" s="32" t="n">
        <f aca="false">IFERROR(MATCH(ROW()-5,c_Seq,0),"")</f>
        <v>303</v>
      </c>
      <c r="B308" s="11" t="str">
        <f aca="false">IF($A308="","",INDEX(c_Name,$A308)&amp;"")</f>
        <v>Thomas Krellstein</v>
      </c>
      <c r="C308" s="11" t="str">
        <f aca="false">IF($A308="","",INDEX(c_Firm,$A308)&amp;"")</f>
        <v>PIAS</v>
      </c>
      <c r="D308" s="11" t="str">
        <f aca="false">IF($A308="","",INDEX(c_Type,$A308)&amp;"")</f>
        <v>Adviser</v>
      </c>
      <c r="E308" s="11" t="str">
        <f aca="false">IF($A308="","",INDEX(c_Email,$A308)&amp;"")</f>
        <v>thomas.krellstein@proinvest.com.sg</v>
      </c>
      <c r="F308" s="34" t="str">
        <f aca="false">IF($A308="","",INDEX(c_Met,$A308)&amp;"")</f>
        <v>No</v>
      </c>
      <c r="G308" s="25" t="str">
        <f aca="false">IF($A308="","",IF(INDEX(c_Date,$A308)="","",INDEX(c_Date,$A308)))</f>
        <v/>
      </c>
      <c r="H308" s="33" t="str">
        <f aca="false">IF($A308="","",IF(INDEX(c_Days,$A308)="","",INDEX(c_Days,$A308)))</f>
        <v/>
      </c>
      <c r="I308" s="40" t="n">
        <f aca="false">IF($A308="","",IF(INDEX(c_Mtgs,$A308)="","",INDEX(c_Mtgs,$A308)))</f>
        <v>0</v>
      </c>
      <c r="J308" s="11" t="str">
        <f aca="false">IF($A308="","",INDEX(c_EvtNames,$A308)&amp;"")</f>
        <v/>
      </c>
      <c r="K308" s="34" t="str">
        <f aca="false">IF($A308="","",INDEX(c_Invested,$A308)&amp;"")</f>
        <v>No</v>
      </c>
      <c r="L308" s="12" t="str">
        <f aca="false">IF($A308="","",IF(INDEX(c_AUM,$A308)="","",INDEX(c_AUM,$A308)))</f>
        <v/>
      </c>
      <c r="M308" s="11" t="str">
        <f aca="false">IF($A308="","",INDEX(c_Source,$A308)&amp;"")</f>
        <v>Mass Email PIAS</v>
      </c>
      <c r="N308" s="11" t="str">
        <f aca="false">IF($A308="","",INDEX(c_Notes,$A308)&amp;"")</f>
        <v/>
      </c>
    </row>
    <row r="309" customFormat="false" ht="15" hidden="false" customHeight="false" outlineLevel="0" collapsed="false">
      <c r="A309" s="32" t="n">
        <f aca="false">IFERROR(MATCH(ROW()-5,c_Seq,0),"")</f>
        <v>304</v>
      </c>
      <c r="B309" s="15" t="str">
        <f aca="false">IF($A309="","",INDEX(c_Name,$A309)&amp;"")</f>
        <v>Thomas Ongeh</v>
      </c>
      <c r="C309" s="15" t="str">
        <f aca="false">IF($A309="","",INDEX(c_Firm,$A309)&amp;"")</f>
        <v>PIAS</v>
      </c>
      <c r="D309" s="15" t="str">
        <f aca="false">IF($A309="","",INDEX(c_Type,$A309)&amp;"")</f>
        <v>Adviser</v>
      </c>
      <c r="E309" s="15" t="str">
        <f aca="false">IF($A309="","",INDEX(c_Email,$A309)&amp;"")</f>
        <v>thomas.ongeh@proinvest.com.sg</v>
      </c>
      <c r="F309" s="36" t="str">
        <f aca="false">IF($A309="","",INDEX(c_Met,$A309)&amp;"")</f>
        <v>No</v>
      </c>
      <c r="G309" s="26" t="str">
        <f aca="false">IF($A309="","",IF(INDEX(c_Date,$A309)="","",INDEX(c_Date,$A309)))</f>
        <v/>
      </c>
      <c r="H309" s="35" t="str">
        <f aca="false">IF($A309="","",IF(INDEX(c_Days,$A309)="","",INDEX(c_Days,$A309)))</f>
        <v/>
      </c>
      <c r="I309" s="41" t="n">
        <f aca="false">IF($A309="","",IF(INDEX(c_Mtgs,$A309)="","",INDEX(c_Mtgs,$A309)))</f>
        <v>0</v>
      </c>
      <c r="J309" s="15" t="str">
        <f aca="false">IF($A309="","",INDEX(c_EvtNames,$A309)&amp;"")</f>
        <v/>
      </c>
      <c r="K309" s="36" t="str">
        <f aca="false">IF($A309="","",INDEX(c_Invested,$A309)&amp;"")</f>
        <v>No</v>
      </c>
      <c r="L309" s="16" t="str">
        <f aca="false">IF($A309="","",IF(INDEX(c_AUM,$A309)="","",INDEX(c_AUM,$A309)))</f>
        <v/>
      </c>
      <c r="M309" s="15" t="str">
        <f aca="false">IF($A309="","",INDEX(c_Source,$A309)&amp;"")</f>
        <v>Mass Email PIAS</v>
      </c>
      <c r="N309" s="15" t="str">
        <f aca="false">IF($A309="","",INDEX(c_Notes,$A309)&amp;"")</f>
        <v/>
      </c>
    </row>
    <row r="310" customFormat="false" ht="15" hidden="false" customHeight="false" outlineLevel="0" collapsed="false">
      <c r="A310" s="32" t="n">
        <f aca="false">IFERROR(MATCH(ROW()-5,c_Seq,0),"")</f>
        <v>305</v>
      </c>
      <c r="B310" s="11" t="str">
        <f aca="false">IF($A310="","",INDEX(c_Name,$A310)&amp;"")</f>
        <v>Tony Ng</v>
      </c>
      <c r="C310" s="11" t="str">
        <f aca="false">IF($A310="","",INDEX(c_Firm,$A310)&amp;"")</f>
        <v>PIAS</v>
      </c>
      <c r="D310" s="11" t="str">
        <f aca="false">IF($A310="","",INDEX(c_Type,$A310)&amp;"")</f>
        <v>Adviser</v>
      </c>
      <c r="E310" s="11" t="str">
        <f aca="false">IF($A310="","",INDEX(c_Email,$A310)&amp;"")</f>
        <v>tony.ng@proinvest.com.sg</v>
      </c>
      <c r="F310" s="34" t="str">
        <f aca="false">IF($A310="","",INDEX(c_Met,$A310)&amp;"")</f>
        <v>No</v>
      </c>
      <c r="G310" s="25" t="str">
        <f aca="false">IF($A310="","",IF(INDEX(c_Date,$A310)="","",INDEX(c_Date,$A310)))</f>
        <v/>
      </c>
      <c r="H310" s="33" t="str">
        <f aca="false">IF($A310="","",IF(INDEX(c_Days,$A310)="","",INDEX(c_Days,$A310)))</f>
        <v/>
      </c>
      <c r="I310" s="40" t="n">
        <f aca="false">IF($A310="","",IF(INDEX(c_Mtgs,$A310)="","",INDEX(c_Mtgs,$A310)))</f>
        <v>0</v>
      </c>
      <c r="J310" s="11" t="str">
        <f aca="false">IF($A310="","",INDEX(c_EvtNames,$A310)&amp;"")</f>
        <v/>
      </c>
      <c r="K310" s="34" t="str">
        <f aca="false">IF($A310="","",INDEX(c_Invested,$A310)&amp;"")</f>
        <v>No</v>
      </c>
      <c r="L310" s="12" t="str">
        <f aca="false">IF($A310="","",IF(INDEX(c_AUM,$A310)="","",INDEX(c_AUM,$A310)))</f>
        <v/>
      </c>
      <c r="M310" s="11" t="str">
        <f aca="false">IF($A310="","",INDEX(c_Source,$A310)&amp;"")</f>
        <v>Mass Email PIAS</v>
      </c>
      <c r="N310" s="11" t="str">
        <f aca="false">IF($A310="","",INDEX(c_Notes,$A310)&amp;"")</f>
        <v/>
      </c>
    </row>
    <row r="311" customFormat="false" ht="15" hidden="false" customHeight="false" outlineLevel="0" collapsed="false">
      <c r="A311" s="32" t="n">
        <f aca="false">IFERROR(MATCH(ROW()-5,c_Seq,0),"")</f>
        <v>306</v>
      </c>
      <c r="B311" s="15" t="str">
        <f aca="false">IF($A311="","",INDEX(c_Name,$A311)&amp;"")</f>
        <v>Tuar Hong Ye, Victor</v>
      </c>
      <c r="C311" s="15" t="str">
        <f aca="false">IF($A311="","",INDEX(c_Firm,$A311)&amp;"")</f>
        <v>PIAS</v>
      </c>
      <c r="D311" s="15" t="str">
        <f aca="false">IF($A311="","",INDEX(c_Type,$A311)&amp;"")</f>
        <v>Branch Director</v>
      </c>
      <c r="E311" s="15" t="str">
        <f aca="false">IF($A311="","",INDEX(c_Email,$A311)&amp;"")</f>
        <v/>
      </c>
      <c r="F311" s="36" t="str">
        <f aca="false">IF($A311="","",INDEX(c_Met,$A311)&amp;"")</f>
        <v>No</v>
      </c>
      <c r="G311" s="26" t="str">
        <f aca="false">IF($A311="","",IF(INDEX(c_Date,$A311)="","",INDEX(c_Date,$A311)))</f>
        <v/>
      </c>
      <c r="H311" s="35" t="str">
        <f aca="false">IF($A311="","",IF(INDEX(c_Days,$A311)="","",INDEX(c_Days,$A311)))</f>
        <v/>
      </c>
      <c r="I311" s="41" t="n">
        <f aca="false">IF($A311="","",IF(INDEX(c_Mtgs,$A311)="","",INDEX(c_Mtgs,$A311)))</f>
        <v>0</v>
      </c>
      <c r="J311" s="15" t="str">
        <f aca="false">IF($A311="","",INDEX(c_EvtNames,$A311)&amp;"")</f>
        <v/>
      </c>
      <c r="K311" s="36" t="str">
        <f aca="false">IF($A311="","",INDEX(c_Invested,$A311)&amp;"")</f>
        <v>No</v>
      </c>
      <c r="L311" s="16" t="str">
        <f aca="false">IF($A311="","",IF(INDEX(c_AUM,$A311)="","",INDEX(c_AUM,$A311)))</f>
        <v/>
      </c>
      <c r="M311" s="15" t="str">
        <f aca="false">IF($A311="","",INDEX(c_Source,$A311)&amp;"")</f>
        <v>Branch Directors</v>
      </c>
      <c r="N311" s="15" t="str">
        <f aca="false">IF($A311="","",INDEX(c_Notes,$A311)&amp;"")</f>
        <v>Branch: APEX Vantage Advisory Partners | https://www.linkedin.com/in/victortuar/</v>
      </c>
    </row>
    <row r="312" customFormat="false" ht="15" hidden="false" customHeight="false" outlineLevel="0" collapsed="false">
      <c r="A312" s="32" t="n">
        <f aca="false">IFERROR(MATCH(ROW()-5,c_Seq,0),"")</f>
        <v>307</v>
      </c>
      <c r="B312" s="11" t="str">
        <f aca="false">IF($A312="","",INDEX(c_Name,$A312)&amp;"")</f>
        <v>Valerie Khoo</v>
      </c>
      <c r="C312" s="11" t="str">
        <f aca="false">IF($A312="","",INDEX(c_Firm,$A312)&amp;"")</f>
        <v>PIAS</v>
      </c>
      <c r="D312" s="11" t="str">
        <f aca="false">IF($A312="","",INDEX(c_Type,$A312)&amp;"")</f>
        <v>Adviser</v>
      </c>
      <c r="E312" s="11" t="str">
        <f aca="false">IF($A312="","",INDEX(c_Email,$A312)&amp;"")</f>
        <v>valerie.khoo@proinvest.com.sg</v>
      </c>
      <c r="F312" s="34" t="str">
        <f aca="false">IF($A312="","",INDEX(c_Met,$A312)&amp;"")</f>
        <v>No</v>
      </c>
      <c r="G312" s="25" t="str">
        <f aca="false">IF($A312="","",IF(INDEX(c_Date,$A312)="","",INDEX(c_Date,$A312)))</f>
        <v/>
      </c>
      <c r="H312" s="33" t="str">
        <f aca="false">IF($A312="","",IF(INDEX(c_Days,$A312)="","",INDEX(c_Days,$A312)))</f>
        <v/>
      </c>
      <c r="I312" s="40" t="n">
        <f aca="false">IF($A312="","",IF(INDEX(c_Mtgs,$A312)="","",INDEX(c_Mtgs,$A312)))</f>
        <v>0</v>
      </c>
      <c r="J312" s="11" t="str">
        <f aca="false">IF($A312="","",INDEX(c_EvtNames,$A312)&amp;"")</f>
        <v/>
      </c>
      <c r="K312" s="34" t="str">
        <f aca="false">IF($A312="","",INDEX(c_Invested,$A312)&amp;"")</f>
        <v>No</v>
      </c>
      <c r="L312" s="12" t="str">
        <f aca="false">IF($A312="","",IF(INDEX(c_AUM,$A312)="","",INDEX(c_AUM,$A312)))</f>
        <v/>
      </c>
      <c r="M312" s="11" t="str">
        <f aca="false">IF($A312="","",INDEX(c_Source,$A312)&amp;"")</f>
        <v>Mass Email PIAS</v>
      </c>
      <c r="N312" s="11" t="str">
        <f aca="false">IF($A312="","",INDEX(c_Notes,$A312)&amp;"")</f>
        <v/>
      </c>
    </row>
    <row r="313" customFormat="false" ht="15" hidden="false" customHeight="false" outlineLevel="0" collapsed="false">
      <c r="A313" s="32" t="n">
        <f aca="false">IFERROR(MATCH(ROW()-5,c_Seq,0),"")</f>
        <v>308</v>
      </c>
      <c r="B313" s="15" t="str">
        <f aca="false">IF($A313="","",INDEX(c_Name,$A313)&amp;"")</f>
        <v>Vincent Kangcj</v>
      </c>
      <c r="C313" s="15" t="str">
        <f aca="false">IF($A313="","",INDEX(c_Firm,$A313)&amp;"")</f>
        <v>PIAS</v>
      </c>
      <c r="D313" s="15" t="str">
        <f aca="false">IF($A313="","",INDEX(c_Type,$A313)&amp;"")</f>
        <v>Adviser</v>
      </c>
      <c r="E313" s="15" t="str">
        <f aca="false">IF($A313="","",INDEX(c_Email,$A313)&amp;"")</f>
        <v>vincent.kangcj@proinvest.com.sg</v>
      </c>
      <c r="F313" s="36" t="str">
        <f aca="false">IF($A313="","",INDEX(c_Met,$A313)&amp;"")</f>
        <v>No</v>
      </c>
      <c r="G313" s="26" t="str">
        <f aca="false">IF($A313="","",IF(INDEX(c_Date,$A313)="","",INDEX(c_Date,$A313)))</f>
        <v/>
      </c>
      <c r="H313" s="35" t="str">
        <f aca="false">IF($A313="","",IF(INDEX(c_Days,$A313)="","",INDEX(c_Days,$A313)))</f>
        <v/>
      </c>
      <c r="I313" s="41" t="n">
        <f aca="false">IF($A313="","",IF(INDEX(c_Mtgs,$A313)="","",INDEX(c_Mtgs,$A313)))</f>
        <v>0</v>
      </c>
      <c r="J313" s="15" t="str">
        <f aca="false">IF($A313="","",INDEX(c_EvtNames,$A313)&amp;"")</f>
        <v/>
      </c>
      <c r="K313" s="36" t="str">
        <f aca="false">IF($A313="","",INDEX(c_Invested,$A313)&amp;"")</f>
        <v>No</v>
      </c>
      <c r="L313" s="16" t="str">
        <f aca="false">IF($A313="","",IF(INDEX(c_AUM,$A313)="","",INDEX(c_AUM,$A313)))</f>
        <v/>
      </c>
      <c r="M313" s="15" t="str">
        <f aca="false">IF($A313="","",INDEX(c_Source,$A313)&amp;"")</f>
        <v>Mass Email PIAS</v>
      </c>
      <c r="N313" s="15" t="str">
        <f aca="false">IF($A313="","",INDEX(c_Notes,$A313)&amp;"")</f>
        <v/>
      </c>
    </row>
    <row r="314" customFormat="false" ht="15" hidden="false" customHeight="false" outlineLevel="0" collapsed="false">
      <c r="A314" s="32" t="n">
        <f aca="false">IFERROR(MATCH(ROW()-5,c_Seq,0),"")</f>
        <v>309</v>
      </c>
      <c r="B314" s="11" t="str">
        <f aca="false">IF($A314="","",INDEX(c_Name,$A314)&amp;"")</f>
        <v>Wanhua Goh</v>
      </c>
      <c r="C314" s="11" t="str">
        <f aca="false">IF($A314="","",INDEX(c_Firm,$A314)&amp;"")</f>
        <v>PIAS</v>
      </c>
      <c r="D314" s="11" t="str">
        <f aca="false">IF($A314="","",INDEX(c_Type,$A314)&amp;"")</f>
        <v>Adviser</v>
      </c>
      <c r="E314" s="11" t="str">
        <f aca="false">IF($A314="","",INDEX(c_Email,$A314)&amp;"")</f>
        <v>wanhua.goh@proinvest.com.sg</v>
      </c>
      <c r="F314" s="34" t="str">
        <f aca="false">IF($A314="","",INDEX(c_Met,$A314)&amp;"")</f>
        <v>No</v>
      </c>
      <c r="G314" s="25" t="str">
        <f aca="false">IF($A314="","",IF(INDEX(c_Date,$A314)="","",INDEX(c_Date,$A314)))</f>
        <v/>
      </c>
      <c r="H314" s="33" t="str">
        <f aca="false">IF($A314="","",IF(INDEX(c_Days,$A314)="","",INDEX(c_Days,$A314)))</f>
        <v/>
      </c>
      <c r="I314" s="40" t="n">
        <f aca="false">IF($A314="","",IF(INDEX(c_Mtgs,$A314)="","",INDEX(c_Mtgs,$A314)))</f>
        <v>0</v>
      </c>
      <c r="J314" s="11" t="str">
        <f aca="false">IF($A314="","",INDEX(c_EvtNames,$A314)&amp;"")</f>
        <v/>
      </c>
      <c r="K314" s="34" t="str">
        <f aca="false">IF($A314="","",INDEX(c_Invested,$A314)&amp;"")</f>
        <v>No</v>
      </c>
      <c r="L314" s="12" t="str">
        <f aca="false">IF($A314="","",IF(INDEX(c_AUM,$A314)="","",INDEX(c_AUM,$A314)))</f>
        <v/>
      </c>
      <c r="M314" s="11" t="str">
        <f aca="false">IF($A314="","",INDEX(c_Source,$A314)&amp;"")</f>
        <v>Mass Email PIAS</v>
      </c>
      <c r="N314" s="11" t="str">
        <f aca="false">IF($A314="","",INDEX(c_Notes,$A314)&amp;"")</f>
        <v/>
      </c>
    </row>
    <row r="315" customFormat="false" ht="15" hidden="false" customHeight="false" outlineLevel="0" collapsed="false">
      <c r="A315" s="32" t="n">
        <f aca="false">IFERROR(MATCH(ROW()-5,c_Seq,0),"")</f>
        <v>310</v>
      </c>
      <c r="B315" s="15" t="str">
        <f aca="false">IF($A315="","",INDEX(c_Name,$A315)&amp;"")</f>
        <v>Wendy Teo</v>
      </c>
      <c r="C315" s="15" t="str">
        <f aca="false">IF($A315="","",INDEX(c_Firm,$A315)&amp;"")</f>
        <v>PIAS</v>
      </c>
      <c r="D315" s="15" t="str">
        <f aca="false">IF($A315="","",INDEX(c_Type,$A315)&amp;"")</f>
        <v>Adviser</v>
      </c>
      <c r="E315" s="15" t="str">
        <f aca="false">IF($A315="","",INDEX(c_Email,$A315)&amp;"")</f>
        <v>wendy.teo@proinvest.com.sg</v>
      </c>
      <c r="F315" s="36" t="str">
        <f aca="false">IF($A315="","",INDEX(c_Met,$A315)&amp;"")</f>
        <v>No</v>
      </c>
      <c r="G315" s="26" t="str">
        <f aca="false">IF($A315="","",IF(INDEX(c_Date,$A315)="","",INDEX(c_Date,$A315)))</f>
        <v/>
      </c>
      <c r="H315" s="35" t="str">
        <f aca="false">IF($A315="","",IF(INDEX(c_Days,$A315)="","",INDEX(c_Days,$A315)))</f>
        <v/>
      </c>
      <c r="I315" s="41" t="n">
        <f aca="false">IF($A315="","",IF(INDEX(c_Mtgs,$A315)="","",INDEX(c_Mtgs,$A315)))</f>
        <v>0</v>
      </c>
      <c r="J315" s="15" t="str">
        <f aca="false">IF($A315="","",INDEX(c_EvtNames,$A315)&amp;"")</f>
        <v/>
      </c>
      <c r="K315" s="36" t="str">
        <f aca="false">IF($A315="","",INDEX(c_Invested,$A315)&amp;"")</f>
        <v>No</v>
      </c>
      <c r="L315" s="16" t="str">
        <f aca="false">IF($A315="","",IF(INDEX(c_AUM,$A315)="","",INDEX(c_AUM,$A315)))</f>
        <v/>
      </c>
      <c r="M315" s="15" t="str">
        <f aca="false">IF($A315="","",INDEX(c_Source,$A315)&amp;"")</f>
        <v>Mass Email PIAS</v>
      </c>
      <c r="N315" s="15" t="str">
        <f aca="false">IF($A315="","",INDEX(c_Notes,$A315)&amp;"")</f>
        <v/>
      </c>
    </row>
    <row r="316" customFormat="false" ht="15" hidden="false" customHeight="false" outlineLevel="0" collapsed="false">
      <c r="A316" s="32" t="n">
        <f aca="false">IFERROR(MATCH(ROW()-5,c_Seq,0),"")</f>
        <v>311</v>
      </c>
      <c r="B316" s="11" t="str">
        <f aca="false">IF($A316="","",INDEX(c_Name,$A316)&amp;"")</f>
        <v>William Wee</v>
      </c>
      <c r="C316" s="11" t="str">
        <f aca="false">IF($A316="","",INDEX(c_Firm,$A316)&amp;"")</f>
        <v>PIAS</v>
      </c>
      <c r="D316" s="11" t="str">
        <f aca="false">IF($A316="","",INDEX(c_Type,$A316)&amp;"")</f>
        <v>Adviser</v>
      </c>
      <c r="E316" s="11" t="str">
        <f aca="false">IF($A316="","",INDEX(c_Email,$A316)&amp;"")</f>
        <v>william.wee@proinvest.com.sg</v>
      </c>
      <c r="F316" s="34" t="str">
        <f aca="false">IF($A316="","",INDEX(c_Met,$A316)&amp;"")</f>
        <v>No</v>
      </c>
      <c r="G316" s="25" t="str">
        <f aca="false">IF($A316="","",IF(INDEX(c_Date,$A316)="","",INDEX(c_Date,$A316)))</f>
        <v/>
      </c>
      <c r="H316" s="33" t="str">
        <f aca="false">IF($A316="","",IF(INDEX(c_Days,$A316)="","",INDEX(c_Days,$A316)))</f>
        <v/>
      </c>
      <c r="I316" s="40" t="n">
        <f aca="false">IF($A316="","",IF(INDEX(c_Mtgs,$A316)="","",INDEX(c_Mtgs,$A316)))</f>
        <v>0</v>
      </c>
      <c r="J316" s="11" t="str">
        <f aca="false">IF($A316="","",INDEX(c_EvtNames,$A316)&amp;"")</f>
        <v/>
      </c>
      <c r="K316" s="34" t="str">
        <f aca="false">IF($A316="","",INDEX(c_Invested,$A316)&amp;"")</f>
        <v>No</v>
      </c>
      <c r="L316" s="12" t="str">
        <f aca="false">IF($A316="","",IF(INDEX(c_AUM,$A316)="","",INDEX(c_AUM,$A316)))</f>
        <v/>
      </c>
      <c r="M316" s="11" t="str">
        <f aca="false">IF($A316="","",INDEX(c_Source,$A316)&amp;"")</f>
        <v>Mass Email PIAS</v>
      </c>
      <c r="N316" s="11" t="str">
        <f aca="false">IF($A316="","",INDEX(c_Notes,$A316)&amp;"")</f>
        <v/>
      </c>
    </row>
    <row r="317" customFormat="false" ht="15" hidden="false" customHeight="false" outlineLevel="0" collapsed="false">
      <c r="A317" s="32" t="n">
        <f aca="false">IFERROR(MATCH(ROW()-5,c_Seq,0),"")</f>
        <v>312</v>
      </c>
      <c r="B317" s="15" t="str">
        <f aca="false">IF($A317="","",INDEX(c_Name,$A317)&amp;"")</f>
        <v>Yiting Zhao</v>
      </c>
      <c r="C317" s="15" t="str">
        <f aca="false">IF($A317="","",INDEX(c_Firm,$A317)&amp;"")</f>
        <v>PIAS</v>
      </c>
      <c r="D317" s="15" t="str">
        <f aca="false">IF($A317="","",INDEX(c_Type,$A317)&amp;"")</f>
        <v>Adviser</v>
      </c>
      <c r="E317" s="15" t="str">
        <f aca="false">IF($A317="","",INDEX(c_Email,$A317)&amp;"")</f>
        <v>yiting.zhao@proinvest.com.sg</v>
      </c>
      <c r="F317" s="36" t="str">
        <f aca="false">IF($A317="","",INDEX(c_Met,$A317)&amp;"")</f>
        <v>No</v>
      </c>
      <c r="G317" s="26" t="str">
        <f aca="false">IF($A317="","",IF(INDEX(c_Date,$A317)="","",INDEX(c_Date,$A317)))</f>
        <v/>
      </c>
      <c r="H317" s="35" t="str">
        <f aca="false">IF($A317="","",IF(INDEX(c_Days,$A317)="","",INDEX(c_Days,$A317)))</f>
        <v/>
      </c>
      <c r="I317" s="41" t="n">
        <f aca="false">IF($A317="","",IF(INDEX(c_Mtgs,$A317)="","",INDEX(c_Mtgs,$A317)))</f>
        <v>0</v>
      </c>
      <c r="J317" s="15" t="str">
        <f aca="false">IF($A317="","",INDEX(c_EvtNames,$A317)&amp;"")</f>
        <v/>
      </c>
      <c r="K317" s="36" t="str">
        <f aca="false">IF($A317="","",INDEX(c_Invested,$A317)&amp;"")</f>
        <v>No</v>
      </c>
      <c r="L317" s="16" t="str">
        <f aca="false">IF($A317="","",IF(INDEX(c_AUM,$A317)="","",INDEX(c_AUM,$A317)))</f>
        <v/>
      </c>
      <c r="M317" s="15" t="str">
        <f aca="false">IF($A317="","",INDEX(c_Source,$A317)&amp;"")</f>
        <v>Mass Email PIAS</v>
      </c>
      <c r="N317" s="15" t="str">
        <f aca="false">IF($A317="","",INDEX(c_Notes,$A317)&amp;"")</f>
        <v/>
      </c>
    </row>
    <row r="318" customFormat="false" ht="15" hidden="false" customHeight="false" outlineLevel="0" collapsed="false">
      <c r="A318" s="32" t="n">
        <f aca="false">IFERROR(MATCH(ROW()-5,c_Seq,0),"")</f>
        <v>313</v>
      </c>
      <c r="B318" s="11" t="str">
        <f aca="false">IF($A318="","",INDEX(c_Name,$A318)&amp;"")</f>
        <v>Zenn Choo</v>
      </c>
      <c r="C318" s="11" t="str">
        <f aca="false">IF($A318="","",INDEX(c_Firm,$A318)&amp;"")</f>
        <v>PIAS</v>
      </c>
      <c r="D318" s="11" t="str">
        <f aca="false">IF($A318="","",INDEX(c_Type,$A318)&amp;"")</f>
        <v>Adviser</v>
      </c>
      <c r="E318" s="11" t="str">
        <f aca="false">IF($A318="","",INDEX(c_Email,$A318)&amp;"")</f>
        <v>zenn.choo@proinvest.com.sg</v>
      </c>
      <c r="F318" s="34" t="str">
        <f aca="false">IF($A318="","",INDEX(c_Met,$A318)&amp;"")</f>
        <v>No</v>
      </c>
      <c r="G318" s="25" t="str">
        <f aca="false">IF($A318="","",IF(INDEX(c_Date,$A318)="","",INDEX(c_Date,$A318)))</f>
        <v/>
      </c>
      <c r="H318" s="33" t="str">
        <f aca="false">IF($A318="","",IF(INDEX(c_Days,$A318)="","",INDEX(c_Days,$A318)))</f>
        <v/>
      </c>
      <c r="I318" s="40" t="n">
        <f aca="false">IF($A318="","",IF(INDEX(c_Mtgs,$A318)="","",INDEX(c_Mtgs,$A318)))</f>
        <v>0</v>
      </c>
      <c r="J318" s="11" t="str">
        <f aca="false">IF($A318="","",INDEX(c_EvtNames,$A318)&amp;"")</f>
        <v/>
      </c>
      <c r="K318" s="34" t="str">
        <f aca="false">IF($A318="","",INDEX(c_Invested,$A318)&amp;"")</f>
        <v>No</v>
      </c>
      <c r="L318" s="12" t="str">
        <f aca="false">IF($A318="","",IF(INDEX(c_AUM,$A318)="","",INDEX(c_AUM,$A318)))</f>
        <v/>
      </c>
      <c r="M318" s="11" t="str">
        <f aca="false">IF($A318="","",INDEX(c_Source,$A318)&amp;"")</f>
        <v>Mass Email PIAS</v>
      </c>
      <c r="N318" s="11" t="str">
        <f aca="false">IF($A318="","",INDEX(c_Notes,$A318)&amp;"")</f>
        <v/>
      </c>
    </row>
    <row r="319" customFormat="false" ht="15" hidden="false" customHeight="false" outlineLevel="0" collapsed="false">
      <c r="A319" s="32" t="n">
        <f aca="false">IFERROR(MATCH(ROW()-5,c_Seq,0),"")</f>
        <v>314</v>
      </c>
      <c r="B319" s="15" t="str">
        <f aca="false">IF($A319="","",INDEX(c_Name,$A319)&amp;"")</f>
        <v>Zhi Han Kng</v>
      </c>
      <c r="C319" s="15" t="str">
        <f aca="false">IF($A319="","",INDEX(c_Firm,$A319)&amp;"")</f>
        <v>PIAS</v>
      </c>
      <c r="D319" s="15" t="str">
        <f aca="false">IF($A319="","",INDEX(c_Type,$A319)&amp;"")</f>
        <v>Adviser</v>
      </c>
      <c r="E319" s="15" t="str">
        <f aca="false">IF($A319="","",INDEX(c_Email,$A319)&amp;"")</f>
        <v>zhihan.kng@proinvest.com.sg</v>
      </c>
      <c r="F319" s="36" t="str">
        <f aca="false">IF($A319="","",INDEX(c_Met,$A319)&amp;"")</f>
        <v>Yes</v>
      </c>
      <c r="G319" s="26" t="n">
        <f aca="false">IF($A319="","",IF(INDEX(c_Date,$A319)="","",INDEX(c_Date,$A319)))</f>
        <v>45924</v>
      </c>
      <c r="H319" s="35" t="n">
        <f aca="false">IF($A319="","",IF(INDEX(c_Days,$A319)="","",INDEX(c_Days,$A319)))</f>
        <v>317</v>
      </c>
      <c r="I319" s="41" t="n">
        <f aca="false">IF($A319="","",IF(INDEX(c_Mtgs,$A319)="","",INDEX(c_Mtgs,$A319)))</f>
        <v>1</v>
      </c>
      <c r="J319" s="15" t="str">
        <f aca="false">IF($A319="","",INDEX(c_EvtNames,$A319)&amp;"")</f>
        <v>Oct-25 Symposium</v>
      </c>
      <c r="K319" s="36" t="str">
        <f aca="false">IF($A319="","",INDEX(c_Invested,$A319)&amp;"")</f>
        <v>No</v>
      </c>
      <c r="L319" s="16" t="n">
        <f aca="false">IF($A319="","",IF(INDEX(c_AUM,$A319)="","",INDEX(c_AUM,$A319)))</f>
        <v>6000000</v>
      </c>
      <c r="M319" s="15" t="str">
        <f aca="false">IF($A319="","",INDEX(c_Source,$A319)&amp;"")</f>
        <v>Meeting List + ILP Data</v>
      </c>
      <c r="N319" s="15" t="str">
        <f aca="false">IF($A319="","",INDEX(c_Notes,$A319)&amp;"")</f>
        <v/>
      </c>
    </row>
    <row r="320" customFormat="false" ht="15" hidden="false" customHeight="false" outlineLevel="0" collapsed="false">
      <c r="A320" s="32" t="n">
        <f aca="false">IFERROR(MATCH(ROW()-5,c_Seq,0),"")</f>
        <v>315</v>
      </c>
      <c r="B320" s="11" t="str">
        <f aca="false">IF($A320="","",INDEX(c_Name,$A320)&amp;"")</f>
        <v>Graham Choo</v>
      </c>
      <c r="C320" s="11" t="str">
        <f aca="false">IF($A320="","",INDEX(c_Firm,$A320)&amp;"")</f>
        <v>PromiseLand</v>
      </c>
      <c r="D320" s="11" t="str">
        <f aca="false">IF($A320="","",INDEX(c_Type,$A320)&amp;"")</f>
        <v>Branch Director</v>
      </c>
      <c r="E320" s="11" t="str">
        <f aca="false">IF($A320="","",INDEX(c_Email,$A320)&amp;"")</f>
        <v>grahamchoo@promiseland.com.sg</v>
      </c>
      <c r="F320" s="34" t="str">
        <f aca="false">IF($A320="","",INDEX(c_Met,$A320)&amp;"")</f>
        <v>No</v>
      </c>
      <c r="G320" s="25" t="str">
        <f aca="false">IF($A320="","",IF(INDEX(c_Date,$A320)="","",INDEX(c_Date,$A320)))</f>
        <v/>
      </c>
      <c r="H320" s="33" t="str">
        <f aca="false">IF($A320="","",IF(INDEX(c_Days,$A320)="","",INDEX(c_Days,$A320)))</f>
        <v/>
      </c>
      <c r="I320" s="40" t="n">
        <f aca="false">IF($A320="","",IF(INDEX(c_Mtgs,$A320)="","",INDEX(c_Mtgs,$A320)))</f>
        <v>0</v>
      </c>
      <c r="J320" s="11" t="str">
        <f aca="false">IF($A320="","",INDEX(c_EvtNames,$A320)&amp;"")</f>
        <v/>
      </c>
      <c r="K320" s="34" t="str">
        <f aca="false">IF($A320="","",INDEX(c_Invested,$A320)&amp;"")</f>
        <v>No</v>
      </c>
      <c r="L320" s="12" t="str">
        <f aca="false">IF($A320="","",IF(INDEX(c_AUM,$A320)="","",INDEX(c_AUM,$A320)))</f>
        <v/>
      </c>
      <c r="M320" s="11" t="str">
        <f aca="false">IF($A320="","",INDEX(c_Source,$A320)&amp;"")</f>
        <v>Branch Directors</v>
      </c>
      <c r="N320" s="11" t="str">
        <f aca="false">IF($A320="","",INDEX(c_Notes,$A320)&amp;"")</f>
        <v>Branch: Pioneer</v>
      </c>
    </row>
    <row r="321" customFormat="false" ht="15" hidden="false" customHeight="false" outlineLevel="0" collapsed="false">
      <c r="A321" s="32" t="n">
        <f aca="false">IFERROR(MATCH(ROW()-5,c_Seq,0),"")</f>
        <v>316</v>
      </c>
      <c r="B321" s="15" t="str">
        <f aca="false">IF($A321="","",INDEX(c_Name,$A321)&amp;"")</f>
        <v>Koay Tatt Chong</v>
      </c>
      <c r="C321" s="15" t="str">
        <f aca="false">IF($A321="","",INDEX(c_Firm,$A321)&amp;"")</f>
        <v>PromiseLand</v>
      </c>
      <c r="D321" s="15" t="str">
        <f aca="false">IF($A321="","",INDEX(c_Type,$A321)&amp;"")</f>
        <v>Branch Director</v>
      </c>
      <c r="E321" s="15" t="str">
        <f aca="false">IF($A321="","",INDEX(c_Email,$A321)&amp;"")</f>
        <v/>
      </c>
      <c r="F321" s="36" t="str">
        <f aca="false">IF($A321="","",INDEX(c_Met,$A321)&amp;"")</f>
        <v>No</v>
      </c>
      <c r="G321" s="26" t="str">
        <f aca="false">IF($A321="","",IF(INDEX(c_Date,$A321)="","",INDEX(c_Date,$A321)))</f>
        <v/>
      </c>
      <c r="H321" s="35" t="str">
        <f aca="false">IF($A321="","",IF(INDEX(c_Days,$A321)="","",INDEX(c_Days,$A321)))</f>
        <v/>
      </c>
      <c r="I321" s="41" t="n">
        <f aca="false">IF($A321="","",IF(INDEX(c_Mtgs,$A321)="","",INDEX(c_Mtgs,$A321)))</f>
        <v>0</v>
      </c>
      <c r="J321" s="15" t="str">
        <f aca="false">IF($A321="","",INDEX(c_EvtNames,$A321)&amp;"")</f>
        <v/>
      </c>
      <c r="K321" s="36" t="str">
        <f aca="false">IF($A321="","",INDEX(c_Invested,$A321)&amp;"")</f>
        <v>No</v>
      </c>
      <c r="L321" s="16" t="str">
        <f aca="false">IF($A321="","",IF(INDEX(c_AUM,$A321)="","",INDEX(c_AUM,$A321)))</f>
        <v/>
      </c>
      <c r="M321" s="15" t="str">
        <f aca="false">IF($A321="","",INDEX(c_Source,$A321)&amp;"")</f>
        <v>Branch Directors</v>
      </c>
      <c r="N321" s="15" t="str">
        <f aca="false">IF($A321="","",INDEX(c_Notes,$A321)&amp;"")</f>
        <v>Branch: Credence Advisors</v>
      </c>
    </row>
    <row r="322" customFormat="false" ht="15" hidden="false" customHeight="false" outlineLevel="0" collapsed="false">
      <c r="A322" s="32" t="n">
        <f aca="false">IFERROR(MATCH(ROW()-5,c_Seq,0),"")</f>
        <v>317</v>
      </c>
      <c r="B322" s="11" t="str">
        <f aca="false">IF($A322="","",INDEX(c_Name,$A322)&amp;"")</f>
        <v>Lawrence Koh</v>
      </c>
      <c r="C322" s="11" t="str">
        <f aca="false">IF($A322="","",INDEX(c_Firm,$A322)&amp;"")</f>
        <v>PromiseLand</v>
      </c>
      <c r="D322" s="11" t="str">
        <f aca="false">IF($A322="","",INDEX(c_Type,$A322)&amp;"")</f>
        <v>Adviser</v>
      </c>
      <c r="E322" s="11" t="str">
        <f aca="false">IF($A322="","",INDEX(c_Email,$A322)&amp;"")</f>
        <v>lawrence.koh@promiseland.com.sg</v>
      </c>
      <c r="F322" s="34" t="str">
        <f aca="false">IF($A322="","",INDEX(c_Met,$A322)&amp;"")</f>
        <v>Yes</v>
      </c>
      <c r="G322" s="25" t="n">
        <f aca="false">IF($A322="","",IF(INDEX(c_Date,$A322)="","",INDEX(c_Date,$A322)))</f>
        <v>45693</v>
      </c>
      <c r="H322" s="33" t="n">
        <f aca="false">IF($A322="","",IF(INDEX(c_Days,$A322)="","",INDEX(c_Days,$A322)))</f>
        <v>548</v>
      </c>
      <c r="I322" s="40" t="n">
        <f aca="false">IF($A322="","",IF(INDEX(c_Mtgs,$A322)="","",INDEX(c_Mtgs,$A322)))</f>
        <v>1</v>
      </c>
      <c r="J322" s="11" t="str">
        <f aca="false">IF($A322="","",INDEX(c_EvtNames,$A322)&amp;"")</f>
        <v/>
      </c>
      <c r="K322" s="34" t="str">
        <f aca="false">IF($A322="","",INDEX(c_Invested,$A322)&amp;"")</f>
        <v>No</v>
      </c>
      <c r="L322" s="12" t="n">
        <f aca="false">IF($A322="","",IF(INDEX(c_AUM,$A322)="","",INDEX(c_AUM,$A322)))</f>
        <v>5000000</v>
      </c>
      <c r="M322" s="11" t="str">
        <f aca="false">IF($A322="","",INDEX(c_Source,$A322)&amp;"")</f>
        <v>Meeting List + ILP Data</v>
      </c>
      <c r="N322" s="11" t="str">
        <f aca="false">IF($A322="","",INDEX(c_Notes,$A322)&amp;"")</f>
        <v/>
      </c>
    </row>
    <row r="323" customFormat="false" ht="15" hidden="false" customHeight="false" outlineLevel="0" collapsed="false">
      <c r="A323" s="32" t="n">
        <f aca="false">IFERROR(MATCH(ROW()-5,c_Seq,0),"")</f>
        <v>318</v>
      </c>
      <c r="B323" s="15" t="str">
        <f aca="false">IF($A323="","",INDEX(c_Name,$A323)&amp;"")</f>
        <v>Matt Baker</v>
      </c>
      <c r="C323" s="15" t="str">
        <f aca="false">IF($A323="","",INDEX(c_Firm,$A323)&amp;"")</f>
        <v>PromiseLand</v>
      </c>
      <c r="D323" s="15" t="str">
        <f aca="false">IF($A323="","",INDEX(c_Type,$A323)&amp;"")</f>
        <v>Branch Director</v>
      </c>
      <c r="E323" s="15" t="str">
        <f aca="false">IF($A323="","",INDEX(c_Email,$A323)&amp;"")</f>
        <v>advice@singaporeexpatadvisory.com</v>
      </c>
      <c r="F323" s="36" t="str">
        <f aca="false">IF($A323="","",INDEX(c_Met,$A323)&amp;"")</f>
        <v>No</v>
      </c>
      <c r="G323" s="26" t="str">
        <f aca="false">IF($A323="","",IF(INDEX(c_Date,$A323)="","",INDEX(c_Date,$A323)))</f>
        <v/>
      </c>
      <c r="H323" s="35" t="str">
        <f aca="false">IF($A323="","",IF(INDEX(c_Days,$A323)="","",INDEX(c_Days,$A323)))</f>
        <v/>
      </c>
      <c r="I323" s="41" t="n">
        <f aca="false">IF($A323="","",IF(INDEX(c_Mtgs,$A323)="","",INDEX(c_Mtgs,$A323)))</f>
        <v>0</v>
      </c>
      <c r="J323" s="15" t="str">
        <f aca="false">IF($A323="","",INDEX(c_EvtNames,$A323)&amp;"")</f>
        <v/>
      </c>
      <c r="K323" s="36" t="str">
        <f aca="false">IF($A323="","",INDEX(c_Invested,$A323)&amp;"")</f>
        <v>No</v>
      </c>
      <c r="L323" s="16" t="str">
        <f aca="false">IF($A323="","",IF(INDEX(c_AUM,$A323)="","",INDEX(c_AUM,$A323)))</f>
        <v/>
      </c>
      <c r="M323" s="15" t="str">
        <f aca="false">IF($A323="","",INDEX(c_Source,$A323)&amp;"")</f>
        <v>Branch Directors</v>
      </c>
      <c r="N323" s="15" t="str">
        <f aca="false">IF($A323="","",INDEX(c_Notes,$A323)&amp;"")</f>
        <v>Branch: Singapore Expat Advisory</v>
      </c>
    </row>
    <row r="324" customFormat="false" ht="15" hidden="false" customHeight="false" outlineLevel="0" collapsed="false">
      <c r="A324" s="32" t="n">
        <f aca="false">IFERROR(MATCH(ROW()-5,c_Seq,0),"")</f>
        <v>319</v>
      </c>
      <c r="B324" s="11" t="str">
        <f aca="false">IF($A324="","",INDEX(c_Name,$A324)&amp;"")</f>
        <v>Michelle Tan</v>
      </c>
      <c r="C324" s="11" t="str">
        <f aca="false">IF($A324="","",INDEX(c_Firm,$A324)&amp;"")</f>
        <v>PromiseLand</v>
      </c>
      <c r="D324" s="11" t="str">
        <f aca="false">IF($A324="","",INDEX(c_Type,$A324)&amp;"")</f>
        <v>Branch Director</v>
      </c>
      <c r="E324" s="11" t="str">
        <f aca="false">IF($A324="","",INDEX(c_Email,$A324)&amp;"")</f>
        <v>michelle.tan@promiseland.com.sg</v>
      </c>
      <c r="F324" s="34" t="str">
        <f aca="false">IF($A324="","",INDEX(c_Met,$A324)&amp;"")</f>
        <v>No</v>
      </c>
      <c r="G324" s="25" t="str">
        <f aca="false">IF($A324="","",IF(INDEX(c_Date,$A324)="","",INDEX(c_Date,$A324)))</f>
        <v/>
      </c>
      <c r="H324" s="33" t="str">
        <f aca="false">IF($A324="","",IF(INDEX(c_Days,$A324)="","",INDEX(c_Days,$A324)))</f>
        <v/>
      </c>
      <c r="I324" s="40" t="n">
        <f aca="false">IF($A324="","",IF(INDEX(c_Mtgs,$A324)="","",INDEX(c_Mtgs,$A324)))</f>
        <v>0</v>
      </c>
      <c r="J324" s="11" t="str">
        <f aca="false">IF($A324="","",INDEX(c_EvtNames,$A324)&amp;"")</f>
        <v/>
      </c>
      <c r="K324" s="34" t="str">
        <f aca="false">IF($A324="","",INDEX(c_Invested,$A324)&amp;"")</f>
        <v>No</v>
      </c>
      <c r="L324" s="12" t="str">
        <f aca="false">IF($A324="","",IF(INDEX(c_AUM,$A324)="","",INDEX(c_AUM,$A324)))</f>
        <v/>
      </c>
      <c r="M324" s="11" t="str">
        <f aca="false">IF($A324="","",INDEX(c_Source,$A324)&amp;"")</f>
        <v>Branch Directors</v>
      </c>
      <c r="N324" s="11" t="str">
        <f aca="false">IF($A324="","",INDEX(c_Notes,$A324)&amp;"")</f>
        <v>Branch: Amg Alliance Wealth</v>
      </c>
    </row>
    <row r="325" customFormat="false" ht="15" hidden="false" customHeight="false" outlineLevel="0" collapsed="false">
      <c r="A325" s="32" t="n">
        <f aca="false">IFERROR(MATCH(ROW()-5,c_Seq,0),"")</f>
        <v>320</v>
      </c>
      <c r="B325" s="15" t="str">
        <f aca="false">IF($A325="","",INDEX(c_Name,$A325)&amp;"")</f>
        <v>Vincent Neo</v>
      </c>
      <c r="C325" s="15" t="str">
        <f aca="false">IF($A325="","",INDEX(c_Firm,$A325)&amp;"")</f>
        <v>SG Alliance</v>
      </c>
      <c r="D325" s="15" t="str">
        <f aca="false">IF($A325="","",INDEX(c_Type,$A325)&amp;"")</f>
        <v>Adviser</v>
      </c>
      <c r="E325" s="15" t="str">
        <f aca="false">IF($A325="","",INDEX(c_Email,$A325)&amp;"")</f>
        <v>vincent.neo@sg-alliance.com</v>
      </c>
      <c r="F325" s="36" t="str">
        <f aca="false">IF($A325="","",INDEX(c_Met,$A325)&amp;"")</f>
        <v>No</v>
      </c>
      <c r="G325" s="26" t="str">
        <f aca="false">IF($A325="","",IF(INDEX(c_Date,$A325)="","",INDEX(c_Date,$A325)))</f>
        <v/>
      </c>
      <c r="H325" s="35" t="str">
        <f aca="false">IF($A325="","",IF(INDEX(c_Days,$A325)="","",INDEX(c_Days,$A325)))</f>
        <v/>
      </c>
      <c r="I325" s="41" t="n">
        <f aca="false">IF($A325="","",IF(INDEX(c_Mtgs,$A325)="","",INDEX(c_Mtgs,$A325)))</f>
        <v>0</v>
      </c>
      <c r="J325" s="15" t="str">
        <f aca="false">IF($A325="","",INDEX(c_EvtNames,$A325)&amp;"")</f>
        <v>May-26 Symposium</v>
      </c>
      <c r="K325" s="36" t="str">
        <f aca="false">IF($A325="","",INDEX(c_Invested,$A325)&amp;"")</f>
        <v>No</v>
      </c>
      <c r="L325" s="16" t="str">
        <f aca="false">IF($A325="","",IF(INDEX(c_AUM,$A325)="","",INDEX(c_AUM,$A325)))</f>
        <v/>
      </c>
      <c r="M325" s="15" t="str">
        <f aca="false">IF($A325="","",INDEX(c_Source,$A325)&amp;"")</f>
        <v>Meeting List</v>
      </c>
      <c r="N325" s="15" t="str">
        <f aca="false">IF($A325="","",INDEX(c_Notes,$A325)&amp;"")</f>
        <v/>
      </c>
    </row>
    <row r="326" customFormat="false" ht="15" hidden="false" customHeight="false" outlineLevel="0" collapsed="false">
      <c r="A326" s="32" t="n">
        <f aca="false">IFERROR(MATCH(ROW()-5,c_Seq,0),"")</f>
        <v>321</v>
      </c>
      <c r="B326" s="11" t="str">
        <f aca="false">IF($A326="","",INDEX(c_Name,$A326)&amp;"")</f>
        <v>Benjamin Ting</v>
      </c>
      <c r="C326" s="11" t="str">
        <f aca="false">IF($A326="","",INDEX(c_Firm,$A326)&amp;"")</f>
        <v>Singlife</v>
      </c>
      <c r="D326" s="11" t="str">
        <f aca="false">IF($A326="","",INDEX(c_Type,$A326)&amp;"")</f>
        <v>Adviser</v>
      </c>
      <c r="E326" s="11" t="str">
        <f aca="false">IF($A326="","",INDEX(c_Email,$A326)&amp;"")</f>
        <v>benjamin@singlife.com</v>
      </c>
      <c r="F326" s="34" t="str">
        <f aca="false">IF($A326="","",INDEX(c_Met,$A326)&amp;"")</f>
        <v>No</v>
      </c>
      <c r="G326" s="25" t="str">
        <f aca="false">IF($A326="","",IF(INDEX(c_Date,$A326)="","",INDEX(c_Date,$A326)))</f>
        <v/>
      </c>
      <c r="H326" s="33" t="str">
        <f aca="false">IF($A326="","",IF(INDEX(c_Days,$A326)="","",INDEX(c_Days,$A326)))</f>
        <v/>
      </c>
      <c r="I326" s="40" t="n">
        <f aca="false">IF($A326="","",IF(INDEX(c_Mtgs,$A326)="","",INDEX(c_Mtgs,$A326)))</f>
        <v>0</v>
      </c>
      <c r="J326" s="11" t="str">
        <f aca="false">IF($A326="","",INDEX(c_EvtNames,$A326)&amp;"")</f>
        <v/>
      </c>
      <c r="K326" s="34" t="str">
        <f aca="false">IF($A326="","",INDEX(c_Invested,$A326)&amp;"")</f>
        <v>No</v>
      </c>
      <c r="L326" s="12" t="str">
        <f aca="false">IF($A326="","",IF(INDEX(c_AUM,$A326)="","",INDEX(c_AUM,$A326)))</f>
        <v/>
      </c>
      <c r="M326" s="11" t="str">
        <f aca="false">IF($A326="","",INDEX(c_Source,$A326)&amp;"")</f>
        <v>Meeting List</v>
      </c>
      <c r="N326" s="11" t="str">
        <f aca="false">IF($A326="","",INDEX(c_Notes,$A326)&amp;"")</f>
        <v/>
      </c>
    </row>
    <row r="327" customFormat="false" ht="15" hidden="false" customHeight="false" outlineLevel="0" collapsed="false">
      <c r="A327" s="32" t="n">
        <f aca="false">IFERROR(MATCH(ROW()-5,c_Seq,0),"")</f>
        <v>322</v>
      </c>
      <c r="B327" s="15" t="str">
        <f aca="false">IF($A327="","",INDEX(c_Name,$A327)&amp;"")</f>
        <v>Carey Ang</v>
      </c>
      <c r="C327" s="15" t="str">
        <f aca="false">IF($A327="","",INDEX(c_Firm,$A327)&amp;"")</f>
        <v>Singlife</v>
      </c>
      <c r="D327" s="15" t="str">
        <f aca="false">IF($A327="","",INDEX(c_Type,$A327)&amp;"")</f>
        <v>Branch Director</v>
      </c>
      <c r="E327" s="15" t="str">
        <f aca="false">IF($A327="","",INDEX(c_Email,$A327)&amp;"")</f>
        <v/>
      </c>
      <c r="F327" s="36" t="str">
        <f aca="false">IF($A327="","",INDEX(c_Met,$A327)&amp;"")</f>
        <v>No</v>
      </c>
      <c r="G327" s="26" t="str">
        <f aca="false">IF($A327="","",IF(INDEX(c_Date,$A327)="","",INDEX(c_Date,$A327)))</f>
        <v/>
      </c>
      <c r="H327" s="35" t="str">
        <f aca="false">IF($A327="","",IF(INDEX(c_Days,$A327)="","",INDEX(c_Days,$A327)))</f>
        <v/>
      </c>
      <c r="I327" s="41" t="n">
        <f aca="false">IF($A327="","",IF(INDEX(c_Mtgs,$A327)="","",INDEX(c_Mtgs,$A327)))</f>
        <v>0</v>
      </c>
      <c r="J327" s="15" t="str">
        <f aca="false">IF($A327="","",INDEX(c_EvtNames,$A327)&amp;"")</f>
        <v/>
      </c>
      <c r="K327" s="36" t="str">
        <f aca="false">IF($A327="","",INDEX(c_Invested,$A327)&amp;"")</f>
        <v>No</v>
      </c>
      <c r="L327" s="16" t="str">
        <f aca="false">IF($A327="","",IF(INDEX(c_AUM,$A327)="","",INDEX(c_AUM,$A327)))</f>
        <v/>
      </c>
      <c r="M327" s="15" t="str">
        <f aca="false">IF($A327="","",INDEX(c_Source,$A327)&amp;"")</f>
        <v>Branch Directors</v>
      </c>
      <c r="N327" s="15" t="str">
        <f aca="false">IF($A327="","",INDEX(c_Notes,$A327)&amp;"")</f>
        <v>Branch: One Group</v>
      </c>
    </row>
    <row r="328" customFormat="false" ht="15" hidden="false" customHeight="false" outlineLevel="0" collapsed="false">
      <c r="A328" s="32" t="n">
        <f aca="false">IFERROR(MATCH(ROW()-5,c_Seq,0),"")</f>
        <v>323</v>
      </c>
      <c r="B328" s="11" t="str">
        <f aca="false">IF($A328="","",INDEX(c_Name,$A328)&amp;"")</f>
        <v>Claire Tan</v>
      </c>
      <c r="C328" s="11" t="str">
        <f aca="false">IF($A328="","",INDEX(c_Firm,$A328)&amp;"")</f>
        <v>Singlife</v>
      </c>
      <c r="D328" s="11" t="str">
        <f aca="false">IF($A328="","",INDEX(c_Type,$A328)&amp;"")</f>
        <v>Adviser</v>
      </c>
      <c r="E328" s="11" t="str">
        <f aca="false">IF($A328="","",INDEX(c_Email,$A328)&amp;"")</f>
        <v>claire.tan@singlife.com</v>
      </c>
      <c r="F328" s="34" t="str">
        <f aca="false">IF($A328="","",INDEX(c_Met,$A328)&amp;"")</f>
        <v>Yes</v>
      </c>
      <c r="G328" s="25" t="n">
        <f aca="false">IF($A328="","",IF(INDEX(c_Date,$A328)="","",INDEX(c_Date,$A328)))</f>
        <v>45897</v>
      </c>
      <c r="H328" s="33" t="n">
        <f aca="false">IF($A328="","",IF(INDEX(c_Days,$A328)="","",INDEX(c_Days,$A328)))</f>
        <v>344</v>
      </c>
      <c r="I328" s="40" t="n">
        <f aca="false">IF($A328="","",IF(INDEX(c_Mtgs,$A328)="","",INDEX(c_Mtgs,$A328)))</f>
        <v>1</v>
      </c>
      <c r="J328" s="11" t="str">
        <f aca="false">IF($A328="","",INDEX(c_EvtNames,$A328)&amp;"")</f>
        <v>Oct-25 Symposium</v>
      </c>
      <c r="K328" s="34" t="str">
        <f aca="false">IF($A328="","",INDEX(c_Invested,$A328)&amp;"")</f>
        <v>No</v>
      </c>
      <c r="L328" s="12" t="str">
        <f aca="false">IF($A328="","",IF(INDEX(c_AUM,$A328)="","",INDEX(c_AUM,$A328)))</f>
        <v/>
      </c>
      <c r="M328" s="11" t="str">
        <f aca="false">IF($A328="","",INDEX(c_Source,$A328)&amp;"")</f>
        <v>Meeting List + ILP Data</v>
      </c>
      <c r="N328" s="11" t="str">
        <f aca="false">IF($A328="","",INDEX(c_Notes,$A328)&amp;"")</f>
        <v>ILP: Product</v>
      </c>
    </row>
    <row r="329" customFormat="false" ht="15" hidden="false" customHeight="false" outlineLevel="0" collapsed="false">
      <c r="A329" s="32" t="n">
        <f aca="false">IFERROR(MATCH(ROW()-5,c_Seq,0),"")</f>
        <v>324</v>
      </c>
      <c r="B329" s="15" t="str">
        <f aca="false">IF($A329="","",INDEX(c_Name,$A329)&amp;"")</f>
        <v>Darren Tan</v>
      </c>
      <c r="C329" s="15" t="str">
        <f aca="false">IF($A329="","",INDEX(c_Firm,$A329)&amp;"")</f>
        <v>Singlife</v>
      </c>
      <c r="D329" s="15" t="str">
        <f aca="false">IF($A329="","",INDEX(c_Type,$A329)&amp;"")</f>
        <v>Branch Director</v>
      </c>
      <c r="E329" s="15" t="str">
        <f aca="false">IF($A329="","",INDEX(c_Email,$A329)&amp;"")</f>
        <v/>
      </c>
      <c r="F329" s="36" t="str">
        <f aca="false">IF($A329="","",INDEX(c_Met,$A329)&amp;"")</f>
        <v>No</v>
      </c>
      <c r="G329" s="26" t="str">
        <f aca="false">IF($A329="","",IF(INDEX(c_Date,$A329)="","",INDEX(c_Date,$A329)))</f>
        <v/>
      </c>
      <c r="H329" s="35" t="str">
        <f aca="false">IF($A329="","",IF(INDEX(c_Days,$A329)="","",INDEX(c_Days,$A329)))</f>
        <v/>
      </c>
      <c r="I329" s="41" t="n">
        <f aca="false">IF($A329="","",IF(INDEX(c_Mtgs,$A329)="","",INDEX(c_Mtgs,$A329)))</f>
        <v>0</v>
      </c>
      <c r="J329" s="15" t="str">
        <f aca="false">IF($A329="","",INDEX(c_EvtNames,$A329)&amp;"")</f>
        <v/>
      </c>
      <c r="K329" s="36" t="str">
        <f aca="false">IF($A329="","",INDEX(c_Invested,$A329)&amp;"")</f>
        <v>No</v>
      </c>
      <c r="L329" s="16" t="str">
        <f aca="false">IF($A329="","",IF(INDEX(c_AUM,$A329)="","",INDEX(c_AUM,$A329)))</f>
        <v/>
      </c>
      <c r="M329" s="15" t="str">
        <f aca="false">IF($A329="","",INDEX(c_Source,$A329)&amp;"")</f>
        <v>Branch Directors</v>
      </c>
      <c r="N329" s="15" t="str">
        <f aca="false">IF($A329="","",INDEX(c_Notes,$A329)&amp;"")</f>
        <v>Branch: Private Clients Planner</v>
      </c>
    </row>
    <row r="330" customFormat="false" ht="15" hidden="false" customHeight="false" outlineLevel="0" collapsed="false">
      <c r="A330" s="32" t="n">
        <f aca="false">IFERROR(MATCH(ROW()-5,c_Seq,0),"")</f>
        <v>325</v>
      </c>
      <c r="B330" s="11" t="str">
        <f aca="false">IF($A330="","",INDEX(c_Name,$A330)&amp;"")</f>
        <v>Ivan Tan</v>
      </c>
      <c r="C330" s="11" t="str">
        <f aca="false">IF($A330="","",INDEX(c_Firm,$A330)&amp;"")</f>
        <v>Singlife</v>
      </c>
      <c r="D330" s="11" t="str">
        <f aca="false">IF($A330="","",INDEX(c_Type,$A330)&amp;"")</f>
        <v>Branch Director</v>
      </c>
      <c r="E330" s="11" t="str">
        <f aca="false">IF($A330="","",INDEX(c_Email,$A330)&amp;"")</f>
        <v/>
      </c>
      <c r="F330" s="34" t="str">
        <f aca="false">IF($A330="","",INDEX(c_Met,$A330)&amp;"")</f>
        <v>No</v>
      </c>
      <c r="G330" s="25" t="str">
        <f aca="false">IF($A330="","",IF(INDEX(c_Date,$A330)="","",INDEX(c_Date,$A330)))</f>
        <v/>
      </c>
      <c r="H330" s="33" t="str">
        <f aca="false">IF($A330="","",IF(INDEX(c_Days,$A330)="","",INDEX(c_Days,$A330)))</f>
        <v/>
      </c>
      <c r="I330" s="40" t="n">
        <f aca="false">IF($A330="","",IF(INDEX(c_Mtgs,$A330)="","",INDEX(c_Mtgs,$A330)))</f>
        <v>0</v>
      </c>
      <c r="J330" s="11" t="str">
        <f aca="false">IF($A330="","",INDEX(c_EvtNames,$A330)&amp;"")</f>
        <v/>
      </c>
      <c r="K330" s="34" t="str">
        <f aca="false">IF($A330="","",INDEX(c_Invested,$A330)&amp;"")</f>
        <v>No</v>
      </c>
      <c r="L330" s="12" t="str">
        <f aca="false">IF($A330="","",IF(INDEX(c_AUM,$A330)="","",INDEX(c_AUM,$A330)))</f>
        <v/>
      </c>
      <c r="M330" s="11" t="str">
        <f aca="false">IF($A330="","",INDEX(c_Source,$A330)&amp;"")</f>
        <v>Branch Directors</v>
      </c>
      <c r="N330" s="11" t="str">
        <f aca="false">IF($A330="","",INDEX(c_Notes,$A330)&amp;"")</f>
        <v>Branch: Vanguard</v>
      </c>
    </row>
    <row r="331" customFormat="false" ht="15" hidden="false" customHeight="false" outlineLevel="0" collapsed="false">
      <c r="A331" s="32" t="n">
        <f aca="false">IFERROR(MATCH(ROW()-5,c_Seq,0),"")</f>
        <v>326</v>
      </c>
      <c r="B331" s="15" t="str">
        <f aca="false">IF($A331="","",INDEX(c_Name,$A331)&amp;"")</f>
        <v>Jerry lim</v>
      </c>
      <c r="C331" s="15" t="str">
        <f aca="false">IF($A331="","",INDEX(c_Firm,$A331)&amp;"")</f>
        <v>Singlife</v>
      </c>
      <c r="D331" s="15" t="str">
        <f aca="false">IF($A331="","",INDEX(c_Type,$A331)&amp;"")</f>
        <v>Branch Director</v>
      </c>
      <c r="E331" s="15" t="str">
        <f aca="false">IF($A331="","",INDEX(c_Email,$A331)&amp;"")</f>
        <v/>
      </c>
      <c r="F331" s="36" t="str">
        <f aca="false">IF($A331="","",INDEX(c_Met,$A331)&amp;"")</f>
        <v>No</v>
      </c>
      <c r="G331" s="26" t="str">
        <f aca="false">IF($A331="","",IF(INDEX(c_Date,$A331)="","",INDEX(c_Date,$A331)))</f>
        <v/>
      </c>
      <c r="H331" s="35" t="str">
        <f aca="false">IF($A331="","",IF(INDEX(c_Days,$A331)="","",INDEX(c_Days,$A331)))</f>
        <v/>
      </c>
      <c r="I331" s="41" t="n">
        <f aca="false">IF($A331="","",IF(INDEX(c_Mtgs,$A331)="","",INDEX(c_Mtgs,$A331)))</f>
        <v>0</v>
      </c>
      <c r="J331" s="15" t="str">
        <f aca="false">IF($A331="","",INDEX(c_EvtNames,$A331)&amp;"")</f>
        <v/>
      </c>
      <c r="K331" s="36" t="str">
        <f aca="false">IF($A331="","",INDEX(c_Invested,$A331)&amp;"")</f>
        <v>No</v>
      </c>
      <c r="L331" s="16" t="str">
        <f aca="false">IF($A331="","",IF(INDEX(c_AUM,$A331)="","",INDEX(c_AUM,$A331)))</f>
        <v/>
      </c>
      <c r="M331" s="15" t="str">
        <f aca="false">IF($A331="","",INDEX(c_Source,$A331)&amp;"")</f>
        <v>Branch Directors</v>
      </c>
      <c r="N331" s="15" t="str">
        <f aca="false">IF($A331="","",INDEX(c_Notes,$A331)&amp;"")</f>
        <v>Branch: Jerry Lim Group</v>
      </c>
    </row>
    <row r="332" customFormat="false" ht="15" hidden="false" customHeight="false" outlineLevel="0" collapsed="false">
      <c r="A332" s="32" t="n">
        <f aca="false">IFERROR(MATCH(ROW()-5,c_Seq,0),"")</f>
        <v>327</v>
      </c>
      <c r="B332" s="11" t="str">
        <f aca="false">IF($A332="","",INDEX(c_Name,$A332)&amp;"")</f>
        <v>Kaira Tan</v>
      </c>
      <c r="C332" s="11" t="str">
        <f aca="false">IF($A332="","",INDEX(c_Firm,$A332)&amp;"")</f>
        <v>Singlife</v>
      </c>
      <c r="D332" s="11" t="str">
        <f aca="false">IF($A332="","",INDEX(c_Type,$A332)&amp;"")</f>
        <v>Adviser</v>
      </c>
      <c r="E332" s="11" t="str">
        <f aca="false">IF($A332="","",INDEX(c_Email,$A332)&amp;"")</f>
        <v>kaira_tan@singlife.com</v>
      </c>
      <c r="F332" s="34" t="str">
        <f aca="false">IF($A332="","",INDEX(c_Met,$A332)&amp;"")</f>
        <v>No</v>
      </c>
      <c r="G332" s="25" t="str">
        <f aca="false">IF($A332="","",IF(INDEX(c_Date,$A332)="","",INDEX(c_Date,$A332)))</f>
        <v/>
      </c>
      <c r="H332" s="33" t="str">
        <f aca="false">IF($A332="","",IF(INDEX(c_Days,$A332)="","",INDEX(c_Days,$A332)))</f>
        <v/>
      </c>
      <c r="I332" s="40" t="n">
        <f aca="false">IF($A332="","",IF(INDEX(c_Mtgs,$A332)="","",INDEX(c_Mtgs,$A332)))</f>
        <v>0</v>
      </c>
      <c r="J332" s="11" t="str">
        <f aca="false">IF($A332="","",INDEX(c_EvtNames,$A332)&amp;"")</f>
        <v>Oct-25 Symposium</v>
      </c>
      <c r="K332" s="34" t="str">
        <f aca="false">IF($A332="","",INDEX(c_Invested,$A332)&amp;"")</f>
        <v>No</v>
      </c>
      <c r="L332" s="12" t="str">
        <f aca="false">IF($A332="","",IF(INDEX(c_AUM,$A332)="","",INDEX(c_AUM,$A332)))</f>
        <v/>
      </c>
      <c r="M332" s="11" t="str">
        <f aca="false">IF($A332="","",INDEX(c_Source,$A332)&amp;"")</f>
        <v>Meeting List + ILP Data</v>
      </c>
      <c r="N332" s="11" t="str">
        <f aca="false">IF($A332="","",INDEX(c_Notes,$A332)&amp;"")</f>
        <v>ILP: Product</v>
      </c>
    </row>
    <row r="333" customFormat="false" ht="15" hidden="false" customHeight="false" outlineLevel="0" collapsed="false">
      <c r="A333" s="32" t="n">
        <f aca="false">IFERROR(MATCH(ROW()-5,c_Seq,0),"")</f>
        <v>328</v>
      </c>
      <c r="B333" s="15" t="str">
        <f aca="false">IF($A333="","",INDEX(c_Name,$A333)&amp;"")</f>
        <v>Lawrence Leu</v>
      </c>
      <c r="C333" s="15" t="str">
        <f aca="false">IF($A333="","",INDEX(c_Firm,$A333)&amp;"")</f>
        <v>Singlife</v>
      </c>
      <c r="D333" s="15" t="str">
        <f aca="false">IF($A333="","",INDEX(c_Type,$A333)&amp;"")</f>
        <v>Branch Director</v>
      </c>
      <c r="E333" s="15" t="str">
        <f aca="false">IF($A333="","",INDEX(c_Email,$A333)&amp;"")</f>
        <v/>
      </c>
      <c r="F333" s="36" t="str">
        <f aca="false">IF($A333="","",INDEX(c_Met,$A333)&amp;"")</f>
        <v>No</v>
      </c>
      <c r="G333" s="26" t="str">
        <f aca="false">IF($A333="","",IF(INDEX(c_Date,$A333)="","",INDEX(c_Date,$A333)))</f>
        <v/>
      </c>
      <c r="H333" s="35" t="str">
        <f aca="false">IF($A333="","",IF(INDEX(c_Days,$A333)="","",INDEX(c_Days,$A333)))</f>
        <v/>
      </c>
      <c r="I333" s="41" t="n">
        <f aca="false">IF($A333="","",IF(INDEX(c_Mtgs,$A333)="","",INDEX(c_Mtgs,$A333)))</f>
        <v>0</v>
      </c>
      <c r="J333" s="15" t="str">
        <f aca="false">IF($A333="","",INDEX(c_EvtNames,$A333)&amp;"")</f>
        <v/>
      </c>
      <c r="K333" s="36" t="str">
        <f aca="false">IF($A333="","",INDEX(c_Invested,$A333)&amp;"")</f>
        <v>No</v>
      </c>
      <c r="L333" s="16" t="str">
        <f aca="false">IF($A333="","",IF(INDEX(c_AUM,$A333)="","",INDEX(c_AUM,$A333)))</f>
        <v/>
      </c>
      <c r="M333" s="15" t="str">
        <f aca="false">IF($A333="","",INDEX(c_Source,$A333)&amp;"")</f>
        <v>Branch Directors</v>
      </c>
      <c r="N333" s="15" t="str">
        <f aca="false">IF($A333="","",INDEX(c_Notes,$A333)&amp;"")</f>
        <v>Branch: Wealth United Singapore</v>
      </c>
    </row>
    <row r="334" customFormat="false" ht="15" hidden="false" customHeight="false" outlineLevel="0" collapsed="false">
      <c r="A334" s="32" t="n">
        <f aca="false">IFERROR(MATCH(ROW()-5,c_Seq,0),"")</f>
        <v>329</v>
      </c>
      <c r="B334" s="11" t="str">
        <f aca="false">IF($A334="","",INDEX(c_Name,$A334)&amp;"")</f>
        <v>Magdalene Koh</v>
      </c>
      <c r="C334" s="11" t="str">
        <f aca="false">IF($A334="","",INDEX(c_Firm,$A334)&amp;"")</f>
        <v>Singlife</v>
      </c>
      <c r="D334" s="11" t="str">
        <f aca="false">IF($A334="","",INDEX(c_Type,$A334)&amp;"")</f>
        <v>Branch Director</v>
      </c>
      <c r="E334" s="11" t="str">
        <f aca="false">IF($A334="","",INDEX(c_Email,$A334)&amp;"")</f>
        <v/>
      </c>
      <c r="F334" s="34" t="str">
        <f aca="false">IF($A334="","",INDEX(c_Met,$A334)&amp;"")</f>
        <v>No</v>
      </c>
      <c r="G334" s="25" t="str">
        <f aca="false">IF($A334="","",IF(INDEX(c_Date,$A334)="","",INDEX(c_Date,$A334)))</f>
        <v/>
      </c>
      <c r="H334" s="33" t="str">
        <f aca="false">IF($A334="","",IF(INDEX(c_Days,$A334)="","",INDEX(c_Days,$A334)))</f>
        <v/>
      </c>
      <c r="I334" s="40" t="n">
        <f aca="false">IF($A334="","",IF(INDEX(c_Mtgs,$A334)="","",INDEX(c_Mtgs,$A334)))</f>
        <v>0</v>
      </c>
      <c r="J334" s="11" t="str">
        <f aca="false">IF($A334="","",INDEX(c_EvtNames,$A334)&amp;"")</f>
        <v/>
      </c>
      <c r="K334" s="34" t="str">
        <f aca="false">IF($A334="","",INDEX(c_Invested,$A334)&amp;"")</f>
        <v>No</v>
      </c>
      <c r="L334" s="12" t="str">
        <f aca="false">IF($A334="","",IF(INDEX(c_AUM,$A334)="","",INDEX(c_AUM,$A334)))</f>
        <v/>
      </c>
      <c r="M334" s="11" t="str">
        <f aca="false">IF($A334="","",INDEX(c_Source,$A334)&amp;"")</f>
        <v>Branch Directors</v>
      </c>
      <c r="N334" s="11" t="str">
        <f aca="false">IF($A334="","",INDEX(c_Notes,$A334)&amp;"")</f>
        <v>Branch: MKA</v>
      </c>
    </row>
    <row r="335" customFormat="false" ht="15" hidden="false" customHeight="false" outlineLevel="0" collapsed="false">
      <c r="A335" s="32" t="n">
        <f aca="false">IFERROR(MATCH(ROW()-5,c_Seq,0),"")</f>
        <v>330</v>
      </c>
      <c r="B335" s="15" t="str">
        <f aca="false">IF($A335="","",INDEX(c_Name,$A335)&amp;"")</f>
        <v>Mavis Tan</v>
      </c>
      <c r="C335" s="15" t="str">
        <f aca="false">IF($A335="","",INDEX(c_Firm,$A335)&amp;"")</f>
        <v>Singlife</v>
      </c>
      <c r="D335" s="15" t="str">
        <f aca="false">IF($A335="","",INDEX(c_Type,$A335)&amp;"")</f>
        <v>Adviser</v>
      </c>
      <c r="E335" s="15" t="str">
        <f aca="false">IF($A335="","",INDEX(c_Email,$A335)&amp;"")</f>
        <v>mavis.tan@singlife.com</v>
      </c>
      <c r="F335" s="36" t="str">
        <f aca="false">IF($A335="","",INDEX(c_Met,$A335)&amp;"")</f>
        <v>Yes</v>
      </c>
      <c r="G335" s="26" t="n">
        <f aca="false">IF($A335="","",IF(INDEX(c_Date,$A335)="","",INDEX(c_Date,$A335)))</f>
        <v>45812</v>
      </c>
      <c r="H335" s="35" t="n">
        <f aca="false">IF($A335="","",IF(INDEX(c_Days,$A335)="","",INDEX(c_Days,$A335)))</f>
        <v>429</v>
      </c>
      <c r="I335" s="41" t="n">
        <f aca="false">IF($A335="","",IF(INDEX(c_Mtgs,$A335)="","",INDEX(c_Mtgs,$A335)))</f>
        <v>1</v>
      </c>
      <c r="J335" s="15" t="str">
        <f aca="false">IF($A335="","",INDEX(c_EvtNames,$A335)&amp;"")</f>
        <v/>
      </c>
      <c r="K335" s="36" t="str">
        <f aca="false">IF($A335="","",INDEX(c_Invested,$A335)&amp;"")</f>
        <v>No</v>
      </c>
      <c r="L335" s="16" t="str">
        <f aca="false">IF($A335="","",IF(INDEX(c_AUM,$A335)="","",INDEX(c_AUM,$A335)))</f>
        <v/>
      </c>
      <c r="M335" s="15" t="str">
        <f aca="false">IF($A335="","",INDEX(c_Source,$A335)&amp;"")</f>
        <v>Meeting List</v>
      </c>
      <c r="N335" s="15" t="str">
        <f aca="false">IF($A335="","",INDEX(c_Notes,$A335)&amp;"")</f>
        <v>May-26: not available</v>
      </c>
    </row>
    <row r="336" customFormat="false" ht="15" hidden="false" customHeight="false" outlineLevel="0" collapsed="false">
      <c r="A336" s="32" t="n">
        <f aca="false">IFERROR(MATCH(ROW()-5,c_Seq,0),"")</f>
        <v>331</v>
      </c>
      <c r="B336" s="11" t="str">
        <f aca="false">IF($A336="","",INDEX(c_Name,$A336)&amp;"")</f>
        <v>Reuben Sim</v>
      </c>
      <c r="C336" s="11" t="str">
        <f aca="false">IF($A336="","",INDEX(c_Firm,$A336)&amp;"")</f>
        <v>Singlife</v>
      </c>
      <c r="D336" s="11" t="str">
        <f aca="false">IF($A336="","",INDEX(c_Type,$A336)&amp;"")</f>
        <v>Adviser</v>
      </c>
      <c r="E336" s="11" t="str">
        <f aca="false">IF($A336="","",INDEX(c_Email,$A336)&amp;"")</f>
        <v>reuben_sim@singlife.com</v>
      </c>
      <c r="F336" s="34" t="str">
        <f aca="false">IF($A336="","",INDEX(c_Met,$A336)&amp;"")</f>
        <v>Yes</v>
      </c>
      <c r="G336" s="25" t="n">
        <f aca="false">IF($A336="","",IF(INDEX(c_Date,$A336)="","",INDEX(c_Date,$A336)))</f>
        <v>45897</v>
      </c>
      <c r="H336" s="33" t="n">
        <f aca="false">IF($A336="","",IF(INDEX(c_Days,$A336)="","",INDEX(c_Days,$A336)))</f>
        <v>344</v>
      </c>
      <c r="I336" s="40" t="n">
        <f aca="false">IF($A336="","",IF(INDEX(c_Mtgs,$A336)="","",INDEX(c_Mtgs,$A336)))</f>
        <v>1</v>
      </c>
      <c r="J336" s="11" t="str">
        <f aca="false">IF($A336="","",INDEX(c_EvtNames,$A336)&amp;"")</f>
        <v>Oct-25 Symposium, May-26 Symposium</v>
      </c>
      <c r="K336" s="34" t="str">
        <f aca="false">IF($A336="","",INDEX(c_Invested,$A336)&amp;"")</f>
        <v>No</v>
      </c>
      <c r="L336" s="12" t="str">
        <f aca="false">IF($A336="","",IF(INDEX(c_AUM,$A336)="","",INDEX(c_AUM,$A336)))</f>
        <v/>
      </c>
      <c r="M336" s="11" t="str">
        <f aca="false">IF($A336="","",INDEX(c_Source,$A336)&amp;"")</f>
        <v>Meeting List + ILP Data</v>
      </c>
      <c r="N336" s="11" t="str">
        <f aca="false">IF($A336="","",INDEX(c_Notes,$A336)&amp;"")</f>
        <v>ILP: Product</v>
      </c>
    </row>
    <row r="337" customFormat="false" ht="15" hidden="false" customHeight="false" outlineLevel="0" collapsed="false">
      <c r="A337" s="32" t="n">
        <f aca="false">IFERROR(MATCH(ROW()-5,c_Seq,0),"")</f>
        <v>332</v>
      </c>
      <c r="B337" s="15" t="str">
        <f aca="false">IF($A337="","",INDEX(c_Name,$A337)&amp;"")</f>
        <v>Sandy Tan Zi Wei</v>
      </c>
      <c r="C337" s="15" t="str">
        <f aca="false">IF($A337="","",INDEX(c_Firm,$A337)&amp;"")</f>
        <v>Singlife</v>
      </c>
      <c r="D337" s="15" t="str">
        <f aca="false">IF($A337="","",INDEX(c_Type,$A337)&amp;"")</f>
        <v>Branch Director</v>
      </c>
      <c r="E337" s="15" t="str">
        <f aca="false">IF($A337="","",INDEX(c_Email,$A337)&amp;"")</f>
        <v/>
      </c>
      <c r="F337" s="36" t="str">
        <f aca="false">IF($A337="","",INDEX(c_Met,$A337)&amp;"")</f>
        <v>No</v>
      </c>
      <c r="G337" s="26" t="str">
        <f aca="false">IF($A337="","",IF(INDEX(c_Date,$A337)="","",INDEX(c_Date,$A337)))</f>
        <v/>
      </c>
      <c r="H337" s="35" t="str">
        <f aca="false">IF($A337="","",IF(INDEX(c_Days,$A337)="","",INDEX(c_Days,$A337)))</f>
        <v/>
      </c>
      <c r="I337" s="41" t="n">
        <f aca="false">IF($A337="","",IF(INDEX(c_Mtgs,$A337)="","",INDEX(c_Mtgs,$A337)))</f>
        <v>0</v>
      </c>
      <c r="J337" s="15" t="str">
        <f aca="false">IF($A337="","",INDEX(c_EvtNames,$A337)&amp;"")</f>
        <v/>
      </c>
      <c r="K337" s="36" t="str">
        <f aca="false">IF($A337="","",INDEX(c_Invested,$A337)&amp;"")</f>
        <v>No</v>
      </c>
      <c r="L337" s="16" t="str">
        <f aca="false">IF($A337="","",IF(INDEX(c_AUM,$A337)="","",INDEX(c_AUM,$A337)))</f>
        <v/>
      </c>
      <c r="M337" s="15" t="str">
        <f aca="false">IF($A337="","",INDEX(c_Source,$A337)&amp;"")</f>
        <v>Branch Directors</v>
      </c>
      <c r="N337" s="15" t="str">
        <f aca="false">IF($A337="","",INDEX(c_Notes,$A337)&amp;"")</f>
        <v>Branch: Lionheart Wealth Group</v>
      </c>
    </row>
    <row r="338" customFormat="false" ht="15" hidden="false" customHeight="false" outlineLevel="0" collapsed="false">
      <c r="A338" s="32" t="n">
        <f aca="false">IFERROR(MATCH(ROW()-5,c_Seq,0),"")</f>
        <v>333</v>
      </c>
      <c r="B338" s="11" t="str">
        <f aca="false">IF($A338="","",INDEX(c_Name,$A338)&amp;"")</f>
        <v>Smith Foo</v>
      </c>
      <c r="C338" s="11" t="str">
        <f aca="false">IF($A338="","",INDEX(c_Firm,$A338)&amp;"")</f>
        <v>Singlife</v>
      </c>
      <c r="D338" s="11" t="str">
        <f aca="false">IF($A338="","",INDEX(c_Type,$A338)&amp;"")</f>
        <v>Branch Director</v>
      </c>
      <c r="E338" s="11" t="str">
        <f aca="false">IF($A338="","",INDEX(c_Email,$A338)&amp;"")</f>
        <v/>
      </c>
      <c r="F338" s="34" t="str">
        <f aca="false">IF($A338="","",INDEX(c_Met,$A338)&amp;"")</f>
        <v>No</v>
      </c>
      <c r="G338" s="25" t="str">
        <f aca="false">IF($A338="","",IF(INDEX(c_Date,$A338)="","",INDEX(c_Date,$A338)))</f>
        <v/>
      </c>
      <c r="H338" s="33" t="str">
        <f aca="false">IF($A338="","",IF(INDEX(c_Days,$A338)="","",INDEX(c_Days,$A338)))</f>
        <v/>
      </c>
      <c r="I338" s="40" t="n">
        <f aca="false">IF($A338="","",IF(INDEX(c_Mtgs,$A338)="","",INDEX(c_Mtgs,$A338)))</f>
        <v>0</v>
      </c>
      <c r="J338" s="11" t="str">
        <f aca="false">IF($A338="","",INDEX(c_EvtNames,$A338)&amp;"")</f>
        <v/>
      </c>
      <c r="K338" s="34" t="str">
        <f aca="false">IF($A338="","",INDEX(c_Invested,$A338)&amp;"")</f>
        <v>No</v>
      </c>
      <c r="L338" s="12" t="str">
        <f aca="false">IF($A338="","",IF(INDEX(c_AUM,$A338)="","",INDEX(c_AUM,$A338)))</f>
        <v/>
      </c>
      <c r="M338" s="11" t="str">
        <f aca="false">IF($A338="","",INDEX(c_Source,$A338)&amp;"")</f>
        <v>Branch Directors</v>
      </c>
      <c r="N338" s="11" t="str">
        <f aca="false">IF($A338="","",INDEX(c_Notes,$A338)&amp;"")</f>
        <v/>
      </c>
    </row>
    <row r="339" customFormat="false" ht="15" hidden="false" customHeight="false" outlineLevel="0" collapsed="false">
      <c r="A339" s="32" t="n">
        <f aca="false">IFERROR(MATCH(ROW()-5,c_Seq,0),"")</f>
        <v>334</v>
      </c>
      <c r="B339" s="15" t="str">
        <f aca="false">IF($A339="","",INDEX(c_Name,$A339)&amp;"")</f>
        <v>Terence Foo</v>
      </c>
      <c r="C339" s="15" t="str">
        <f aca="false">IF($A339="","",INDEX(c_Firm,$A339)&amp;"")</f>
        <v>Singlife</v>
      </c>
      <c r="D339" s="15" t="str">
        <f aca="false">IF($A339="","",INDEX(c_Type,$A339)&amp;"")</f>
        <v>Branch Director</v>
      </c>
      <c r="E339" s="15" t="str">
        <f aca="false">IF($A339="","",INDEX(c_Email,$A339)&amp;"")</f>
        <v/>
      </c>
      <c r="F339" s="36" t="str">
        <f aca="false">IF($A339="","",INDEX(c_Met,$A339)&amp;"")</f>
        <v>No</v>
      </c>
      <c r="G339" s="26" t="str">
        <f aca="false">IF($A339="","",IF(INDEX(c_Date,$A339)="","",INDEX(c_Date,$A339)))</f>
        <v/>
      </c>
      <c r="H339" s="35" t="str">
        <f aca="false">IF($A339="","",IF(INDEX(c_Days,$A339)="","",INDEX(c_Days,$A339)))</f>
        <v/>
      </c>
      <c r="I339" s="41" t="n">
        <f aca="false">IF($A339="","",IF(INDEX(c_Mtgs,$A339)="","",INDEX(c_Mtgs,$A339)))</f>
        <v>0</v>
      </c>
      <c r="J339" s="15" t="str">
        <f aca="false">IF($A339="","",INDEX(c_EvtNames,$A339)&amp;"")</f>
        <v/>
      </c>
      <c r="K339" s="36" t="str">
        <f aca="false">IF($A339="","",INDEX(c_Invested,$A339)&amp;"")</f>
        <v>No</v>
      </c>
      <c r="L339" s="16" t="str">
        <f aca="false">IF($A339="","",IF(INDEX(c_AUM,$A339)="","",INDEX(c_AUM,$A339)))</f>
        <v/>
      </c>
      <c r="M339" s="15" t="str">
        <f aca="false">IF($A339="","",INDEX(c_Source,$A339)&amp;"")</f>
        <v>Branch Directors</v>
      </c>
      <c r="N339" s="15" t="str">
        <f aca="false">IF($A339="","",INDEX(c_Notes,$A339)&amp;"")</f>
        <v>Branch: United Wealth Alliance</v>
      </c>
    </row>
    <row r="340" customFormat="false" ht="15" hidden="false" customHeight="false" outlineLevel="0" collapsed="false">
      <c r="A340" s="32" t="n">
        <f aca="false">IFERROR(MATCH(ROW()-5,c_Seq,0),"")</f>
        <v>335</v>
      </c>
      <c r="B340" s="11" t="str">
        <f aca="false">IF($A340="","",INDEX(c_Name,$A340)&amp;"")</f>
        <v>Woo Ern Ern</v>
      </c>
      <c r="C340" s="11" t="str">
        <f aca="false">IF($A340="","",INDEX(c_Firm,$A340)&amp;"")</f>
        <v>Singlife</v>
      </c>
      <c r="D340" s="11" t="str">
        <f aca="false">IF($A340="","",INDEX(c_Type,$A340)&amp;"")</f>
        <v>Branch Director</v>
      </c>
      <c r="E340" s="11" t="str">
        <f aca="false">IF($A340="","",INDEX(c_Email,$A340)&amp;"")</f>
        <v/>
      </c>
      <c r="F340" s="34" t="str">
        <f aca="false">IF($A340="","",INDEX(c_Met,$A340)&amp;"")</f>
        <v>No</v>
      </c>
      <c r="G340" s="25" t="str">
        <f aca="false">IF($A340="","",IF(INDEX(c_Date,$A340)="","",INDEX(c_Date,$A340)))</f>
        <v/>
      </c>
      <c r="H340" s="33" t="str">
        <f aca="false">IF($A340="","",IF(INDEX(c_Days,$A340)="","",INDEX(c_Days,$A340)))</f>
        <v/>
      </c>
      <c r="I340" s="40" t="n">
        <f aca="false">IF($A340="","",IF(INDEX(c_Mtgs,$A340)="","",INDEX(c_Mtgs,$A340)))</f>
        <v>0</v>
      </c>
      <c r="J340" s="11" t="str">
        <f aca="false">IF($A340="","",INDEX(c_EvtNames,$A340)&amp;"")</f>
        <v/>
      </c>
      <c r="K340" s="34" t="str">
        <f aca="false">IF($A340="","",INDEX(c_Invested,$A340)&amp;"")</f>
        <v>No</v>
      </c>
      <c r="L340" s="12" t="str">
        <f aca="false">IF($A340="","",IF(INDEX(c_AUM,$A340)="","",INDEX(c_AUM,$A340)))</f>
        <v/>
      </c>
      <c r="M340" s="11" t="str">
        <f aca="false">IF($A340="","",INDEX(c_Source,$A340)&amp;"")</f>
        <v>Branch Directors</v>
      </c>
      <c r="N340" s="11" t="str">
        <f aca="false">IF($A340="","",INDEX(c_Notes,$A340)&amp;"")</f>
        <v/>
      </c>
    </row>
    <row r="341" customFormat="false" ht="15" hidden="false" customHeight="false" outlineLevel="0" collapsed="false">
      <c r="A341" s="32" t="n">
        <f aca="false">IFERROR(MATCH(ROW()-5,c_Seq,0),"")</f>
        <v>336</v>
      </c>
      <c r="B341" s="15" t="str">
        <f aca="false">IF($A341="","",INDEX(c_Name,$A341)&amp;"")</f>
        <v>Adam Lee</v>
      </c>
      <c r="C341" s="15" t="str">
        <f aca="false">IF($A341="","",INDEX(c_Firm,$A341)&amp;"")</f>
        <v>Synergy</v>
      </c>
      <c r="D341" s="15" t="str">
        <f aca="false">IF($A341="","",INDEX(c_Type,$A341)&amp;"")</f>
        <v>Adviser</v>
      </c>
      <c r="E341" s="15" t="str">
        <f aca="false">IF($A341="","",INDEX(c_Email,$A341)&amp;"")</f>
        <v>adamlee@synergy.com.sg</v>
      </c>
      <c r="F341" s="36" t="str">
        <f aca="false">IF($A341="","",INDEX(c_Met,$A341)&amp;"")</f>
        <v>No</v>
      </c>
      <c r="G341" s="26" t="str">
        <f aca="false">IF($A341="","",IF(INDEX(c_Date,$A341)="","",INDEX(c_Date,$A341)))</f>
        <v/>
      </c>
      <c r="H341" s="35" t="str">
        <f aca="false">IF($A341="","",IF(INDEX(c_Days,$A341)="","",INDEX(c_Days,$A341)))</f>
        <v/>
      </c>
      <c r="I341" s="41" t="n">
        <f aca="false">IF($A341="","",IF(INDEX(c_Mtgs,$A341)="","",INDEX(c_Mtgs,$A341)))</f>
        <v>0</v>
      </c>
      <c r="J341" s="15" t="str">
        <f aca="false">IF($A341="","",INDEX(c_EvtNames,$A341)&amp;"")</f>
        <v/>
      </c>
      <c r="K341" s="36" t="str">
        <f aca="false">IF($A341="","",INDEX(c_Invested,$A341)&amp;"")</f>
        <v>No</v>
      </c>
      <c r="L341" s="16" t="str">
        <f aca="false">IF($A341="","",IF(INDEX(c_AUM,$A341)="","",INDEX(c_AUM,$A341)))</f>
        <v/>
      </c>
      <c r="M341" s="15" t="str">
        <f aca="false">IF($A341="","",INDEX(c_Source,$A341)&amp;"")</f>
        <v>Meeting List + Branch Directors</v>
      </c>
      <c r="N341" s="15" t="str">
        <f aca="false">IF($A341="","",INDEX(c_Notes,$A341)&amp;"")</f>
        <v>Branch: Alpha | https://www.linkedin.com/in/adam-lee-0b5530289/</v>
      </c>
    </row>
    <row r="342" customFormat="false" ht="15" hidden="false" customHeight="false" outlineLevel="0" collapsed="false">
      <c r="A342" s="32" t="n">
        <f aca="false">IFERROR(MATCH(ROW()-5,c_Seq,0),"")</f>
        <v>337</v>
      </c>
      <c r="B342" s="11" t="str">
        <f aca="false">IF($A342="","",INDEX(c_Name,$A342)&amp;"")</f>
        <v>Agnes Lim</v>
      </c>
      <c r="C342" s="11" t="str">
        <f aca="false">IF($A342="","",INDEX(c_Firm,$A342)&amp;"")</f>
        <v>Synergy</v>
      </c>
      <c r="D342" s="11" t="str">
        <f aca="false">IF($A342="","",INDEX(c_Type,$A342)&amp;"")</f>
        <v>Adviser</v>
      </c>
      <c r="E342" s="11" t="str">
        <f aca="false">IF($A342="","",INDEX(c_Email,$A342)&amp;"")</f>
        <v>agneslim@synergy.com.sg</v>
      </c>
      <c r="F342" s="34" t="str">
        <f aca="false">IF($A342="","",INDEX(c_Met,$A342)&amp;"")</f>
        <v>No</v>
      </c>
      <c r="G342" s="25" t="str">
        <f aca="false">IF($A342="","",IF(INDEX(c_Date,$A342)="","",INDEX(c_Date,$A342)))</f>
        <v/>
      </c>
      <c r="H342" s="33" t="str">
        <f aca="false">IF($A342="","",IF(INDEX(c_Days,$A342)="","",INDEX(c_Days,$A342)))</f>
        <v/>
      </c>
      <c r="I342" s="40" t="n">
        <f aca="false">IF($A342="","",IF(INDEX(c_Mtgs,$A342)="","",INDEX(c_Mtgs,$A342)))</f>
        <v>0</v>
      </c>
      <c r="J342" s="11" t="str">
        <f aca="false">IF($A342="","",INDEX(c_EvtNames,$A342)&amp;"")</f>
        <v/>
      </c>
      <c r="K342" s="34" t="str">
        <f aca="false">IF($A342="","",INDEX(c_Invested,$A342)&amp;"")</f>
        <v>No</v>
      </c>
      <c r="L342" s="12" t="str">
        <f aca="false">IF($A342="","",IF(INDEX(c_AUM,$A342)="","",INDEX(c_AUM,$A342)))</f>
        <v/>
      </c>
      <c r="M342" s="11" t="str">
        <f aca="false">IF($A342="","",INDEX(c_Source,$A342)&amp;"")</f>
        <v>Meeting List + Branch Directors</v>
      </c>
      <c r="N342" s="11" t="str">
        <f aca="false">IF($A342="","",INDEX(c_Notes,$A342)&amp;"")</f>
        <v>Branch: Your Advisory Partners | Already in CRM | https://www.linkedin.com/in/agneslim-enrichlives-empowerlives/?skipRedirect=true</v>
      </c>
    </row>
    <row r="343" customFormat="false" ht="15" hidden="false" customHeight="false" outlineLevel="0" collapsed="false">
      <c r="A343" s="32" t="n">
        <f aca="false">IFERROR(MATCH(ROW()-5,c_Seq,0),"")</f>
        <v>338</v>
      </c>
      <c r="B343" s="15" t="str">
        <f aca="false">IF($A343="","",INDEX(c_Name,$A343)&amp;"")</f>
        <v>Andrew Fong</v>
      </c>
      <c r="C343" s="15" t="str">
        <f aca="false">IF($A343="","",INDEX(c_Firm,$A343)&amp;"")</f>
        <v>Synergy</v>
      </c>
      <c r="D343" s="15" t="str">
        <f aca="false">IF($A343="","",INDEX(c_Type,$A343)&amp;"")</f>
        <v>Adviser</v>
      </c>
      <c r="E343" s="15" t="str">
        <f aca="false">IF($A343="","",INDEX(c_Email,$A343)&amp;"")</f>
        <v>andrewfong@synergy.com.sg</v>
      </c>
      <c r="F343" s="36" t="str">
        <f aca="false">IF($A343="","",INDEX(c_Met,$A343)&amp;"")</f>
        <v>Yes</v>
      </c>
      <c r="G343" s="26" t="n">
        <f aca="false">IF($A343="","",IF(INDEX(c_Date,$A343)="","",INDEX(c_Date,$A343)))</f>
        <v>45552</v>
      </c>
      <c r="H343" s="35" t="n">
        <f aca="false">IF($A343="","",IF(INDEX(c_Days,$A343)="","",INDEX(c_Days,$A343)))</f>
        <v>689</v>
      </c>
      <c r="I343" s="41" t="n">
        <f aca="false">IF($A343="","",IF(INDEX(c_Mtgs,$A343)="","",INDEX(c_Mtgs,$A343)))</f>
        <v>1</v>
      </c>
      <c r="J343" s="15" t="str">
        <f aca="false">IF($A343="","",INDEX(c_EvtNames,$A343)&amp;"")</f>
        <v>Oct-25 Symposium, May-26 Symposium</v>
      </c>
      <c r="K343" s="36" t="str">
        <f aca="false">IF($A343="","",INDEX(c_Invested,$A343)&amp;"")</f>
        <v>No</v>
      </c>
      <c r="L343" s="16" t="n">
        <f aca="false">IF($A343="","",IF(INDEX(c_AUM,$A343)="","",INDEX(c_AUM,$A343)))</f>
        <v>7000000</v>
      </c>
      <c r="M343" s="15" t="str">
        <f aca="false">IF($A343="","",INDEX(c_Source,$A343)&amp;"")</f>
        <v>Meeting List + ILP Data</v>
      </c>
      <c r="N343" s="15" t="str">
        <f aca="false">IF($A343="","",INDEX(c_Notes,$A343)&amp;"")</f>
        <v/>
      </c>
    </row>
    <row r="344" customFormat="false" ht="15" hidden="false" customHeight="false" outlineLevel="0" collapsed="false">
      <c r="A344" s="32" t="n">
        <f aca="false">IFERROR(MATCH(ROW()-5,c_Seq,0),"")</f>
        <v>339</v>
      </c>
      <c r="B344" s="11" t="str">
        <f aca="false">IF($A344="","",INDEX(c_Name,$A344)&amp;"")</f>
        <v>Andrew Lee</v>
      </c>
      <c r="C344" s="11" t="str">
        <f aca="false">IF($A344="","",INDEX(c_Firm,$A344)&amp;"")</f>
        <v>Synergy</v>
      </c>
      <c r="D344" s="11" t="str">
        <f aca="false">IF($A344="","",INDEX(c_Type,$A344)&amp;"")</f>
        <v>Adviser</v>
      </c>
      <c r="E344" s="11" t="str">
        <f aca="false">IF($A344="","",INDEX(c_Email,$A344)&amp;"")</f>
        <v>andrewlee@synergy.com.sg</v>
      </c>
      <c r="F344" s="34" t="str">
        <f aca="false">IF($A344="","",INDEX(c_Met,$A344)&amp;"")</f>
        <v>No</v>
      </c>
      <c r="G344" s="25" t="str">
        <f aca="false">IF($A344="","",IF(INDEX(c_Date,$A344)="","",INDEX(c_Date,$A344)))</f>
        <v/>
      </c>
      <c r="H344" s="33" t="str">
        <f aca="false">IF($A344="","",IF(INDEX(c_Days,$A344)="","",INDEX(c_Days,$A344)))</f>
        <v/>
      </c>
      <c r="I344" s="40" t="n">
        <f aca="false">IF($A344="","",IF(INDEX(c_Mtgs,$A344)="","",INDEX(c_Mtgs,$A344)))</f>
        <v>0</v>
      </c>
      <c r="J344" s="11" t="str">
        <f aca="false">IF($A344="","",INDEX(c_EvtNames,$A344)&amp;"")</f>
        <v/>
      </c>
      <c r="K344" s="34" t="str">
        <f aca="false">IF($A344="","",INDEX(c_Invested,$A344)&amp;"")</f>
        <v>No</v>
      </c>
      <c r="L344" s="12" t="str">
        <f aca="false">IF($A344="","",IF(INDEX(c_AUM,$A344)="","",INDEX(c_AUM,$A344)))</f>
        <v/>
      </c>
      <c r="M344" s="11" t="str">
        <f aca="false">IF($A344="","",INDEX(c_Source,$A344)&amp;"")</f>
        <v>Meeting List + Branch Directors</v>
      </c>
      <c r="N344" s="11" t="str">
        <f aca="false">IF($A344="","",INDEX(c_Notes,$A344)&amp;"")</f>
        <v>Branch: Accendo</v>
      </c>
    </row>
    <row r="345" customFormat="false" ht="15" hidden="false" customHeight="false" outlineLevel="0" collapsed="false">
      <c r="A345" s="32" t="n">
        <f aca="false">IFERROR(MATCH(ROW()-5,c_Seq,0),"")</f>
        <v>340</v>
      </c>
      <c r="B345" s="15" t="str">
        <f aca="false">IF($A345="","",INDEX(c_Name,$A345)&amp;"")</f>
        <v>Anthony Liew</v>
      </c>
      <c r="C345" s="15" t="str">
        <f aca="false">IF($A345="","",INDEX(c_Firm,$A345)&amp;"")</f>
        <v>Synergy</v>
      </c>
      <c r="D345" s="15" t="str">
        <f aca="false">IF($A345="","",INDEX(c_Type,$A345)&amp;"")</f>
        <v>Adviser</v>
      </c>
      <c r="E345" s="15" t="str">
        <f aca="false">IF($A345="","",INDEX(c_Email,$A345)&amp;"")</f>
        <v>anthonyliew@synergy.com.sg</v>
      </c>
      <c r="F345" s="36" t="str">
        <f aca="false">IF($A345="","",INDEX(c_Met,$A345)&amp;"")</f>
        <v>No</v>
      </c>
      <c r="G345" s="26" t="str">
        <f aca="false">IF($A345="","",IF(INDEX(c_Date,$A345)="","",INDEX(c_Date,$A345)))</f>
        <v/>
      </c>
      <c r="H345" s="35" t="str">
        <f aca="false">IF($A345="","",IF(INDEX(c_Days,$A345)="","",INDEX(c_Days,$A345)))</f>
        <v/>
      </c>
      <c r="I345" s="41" t="n">
        <f aca="false">IF($A345="","",IF(INDEX(c_Mtgs,$A345)="","",INDEX(c_Mtgs,$A345)))</f>
        <v>0</v>
      </c>
      <c r="J345" s="15" t="str">
        <f aca="false">IF($A345="","",INDEX(c_EvtNames,$A345)&amp;"")</f>
        <v>Oct-25 Symposium</v>
      </c>
      <c r="K345" s="36" t="str">
        <f aca="false">IF($A345="","",INDEX(c_Invested,$A345)&amp;"")</f>
        <v>No</v>
      </c>
      <c r="L345" s="16" t="n">
        <f aca="false">IF($A345="","",IF(INDEX(c_AUM,$A345)="","",INDEX(c_AUM,$A345)))</f>
        <v>5000000</v>
      </c>
      <c r="M345" s="15" t="str">
        <f aca="false">IF($A345="","",INDEX(c_Source,$A345)&amp;"")</f>
        <v>Meeting List + ILP Data</v>
      </c>
      <c r="N345" s="15" t="str">
        <f aca="false">IF($A345="","",INDEX(c_Notes,$A345)&amp;"")</f>
        <v/>
      </c>
    </row>
    <row r="346" customFormat="false" ht="15" hidden="false" customHeight="false" outlineLevel="0" collapsed="false">
      <c r="A346" s="32" t="n">
        <f aca="false">IFERROR(MATCH(ROW()-5,c_Seq,0),"")</f>
        <v>341</v>
      </c>
      <c r="B346" s="11" t="str">
        <f aca="false">IF($A346="","",INDEX(c_Name,$A346)&amp;"")</f>
        <v>Danny Lee</v>
      </c>
      <c r="C346" s="11" t="str">
        <f aca="false">IF($A346="","",INDEX(c_Firm,$A346)&amp;"")</f>
        <v>Synergy</v>
      </c>
      <c r="D346" s="11" t="str">
        <f aca="false">IF($A346="","",INDEX(c_Type,$A346)&amp;"")</f>
        <v>Adviser</v>
      </c>
      <c r="E346" s="11" t="str">
        <f aca="false">IF($A346="","",INDEX(c_Email,$A346)&amp;"")</f>
        <v>dannylee@synergy.com.sg</v>
      </c>
      <c r="F346" s="34" t="str">
        <f aca="false">IF($A346="","",INDEX(c_Met,$A346)&amp;"")</f>
        <v>Yes</v>
      </c>
      <c r="G346" s="25" t="n">
        <f aca="false">IF($A346="","",IF(INDEX(c_Date,$A346)="","",INDEX(c_Date,$A346)))</f>
        <v>45734</v>
      </c>
      <c r="H346" s="33" t="n">
        <f aca="false">IF($A346="","",IF(INDEX(c_Days,$A346)="","",INDEX(c_Days,$A346)))</f>
        <v>507</v>
      </c>
      <c r="I346" s="40" t="n">
        <f aca="false">IF($A346="","",IF(INDEX(c_Mtgs,$A346)="","",INDEX(c_Mtgs,$A346)))</f>
        <v>1</v>
      </c>
      <c r="J346" s="11" t="str">
        <f aca="false">IF($A346="","",INDEX(c_EvtNames,$A346)&amp;"")</f>
        <v>Oct-25 Symposium</v>
      </c>
      <c r="K346" s="34" t="str">
        <f aca="false">IF($A346="","",INDEX(c_Invested,$A346)&amp;"")</f>
        <v>Yes</v>
      </c>
      <c r="L346" s="12" t="n">
        <f aca="false">IF($A346="","",IF(INDEX(c_AUM,$A346)="","",INDEX(c_AUM,$A346)))</f>
        <v>50000000</v>
      </c>
      <c r="M346" s="11" t="str">
        <f aca="false">IF($A346="","",INDEX(c_Source,$A346)&amp;"")</f>
        <v>Meeting List + ILP Data + Branch Directors</v>
      </c>
      <c r="N346" s="11" t="str">
        <f aca="false">IF($A346="","",INDEX(c_Notes,$A346)&amp;"")</f>
        <v>May-26: not available; Branch: Voda</v>
      </c>
    </row>
    <row r="347" customFormat="false" ht="15" hidden="false" customHeight="false" outlineLevel="0" collapsed="false">
      <c r="A347" s="32" t="n">
        <f aca="false">IFERROR(MATCH(ROW()-5,c_Seq,0),"")</f>
        <v>342</v>
      </c>
      <c r="B347" s="15" t="str">
        <f aca="false">IF($A347="","",INDEX(c_Name,$A347)&amp;"")</f>
        <v>Edmund Wee</v>
      </c>
      <c r="C347" s="15" t="str">
        <f aca="false">IF($A347="","",INDEX(c_Firm,$A347)&amp;"")</f>
        <v>Synergy</v>
      </c>
      <c r="D347" s="15" t="str">
        <f aca="false">IF($A347="","",INDEX(c_Type,$A347)&amp;"")</f>
        <v>Adviser</v>
      </c>
      <c r="E347" s="15" t="str">
        <f aca="false">IF($A347="","",INDEX(c_Email,$A347)&amp;"")</f>
        <v>edmundwee@synergy.com.sg</v>
      </c>
      <c r="F347" s="36" t="str">
        <f aca="false">IF($A347="","",INDEX(c_Met,$A347)&amp;"")</f>
        <v>No</v>
      </c>
      <c r="G347" s="26" t="str">
        <f aca="false">IF($A347="","",IF(INDEX(c_Date,$A347)="","",INDEX(c_Date,$A347)))</f>
        <v/>
      </c>
      <c r="H347" s="35" t="str">
        <f aca="false">IF($A347="","",IF(INDEX(c_Days,$A347)="","",INDEX(c_Days,$A347)))</f>
        <v/>
      </c>
      <c r="I347" s="41" t="n">
        <f aca="false">IF($A347="","",IF(INDEX(c_Mtgs,$A347)="","",INDEX(c_Mtgs,$A347)))</f>
        <v>0</v>
      </c>
      <c r="J347" s="15" t="str">
        <f aca="false">IF($A347="","",INDEX(c_EvtNames,$A347)&amp;"")</f>
        <v/>
      </c>
      <c r="K347" s="36" t="str">
        <f aca="false">IF($A347="","",INDEX(c_Invested,$A347)&amp;"")</f>
        <v>No</v>
      </c>
      <c r="L347" s="16" t="str">
        <f aca="false">IF($A347="","",IF(INDEX(c_AUM,$A347)="","",INDEX(c_AUM,$A347)))</f>
        <v/>
      </c>
      <c r="M347" s="15" t="str">
        <f aca="false">IF($A347="","",INDEX(c_Source,$A347)&amp;"")</f>
        <v>Meeting List + Branch Directors</v>
      </c>
      <c r="N347" s="15" t="str">
        <f aca="false">IF($A347="","",INDEX(c_Notes,$A347)&amp;"")</f>
        <v>May-26: not available; Branch: First | https://www.linkedin.com/in/edmund-wee-127b272a/</v>
      </c>
    </row>
    <row r="348" customFormat="false" ht="15" hidden="false" customHeight="false" outlineLevel="0" collapsed="false">
      <c r="A348" s="32" t="n">
        <f aca="false">IFERROR(MATCH(ROW()-5,c_Seq,0),"")</f>
        <v>343</v>
      </c>
      <c r="B348" s="11" t="str">
        <f aca="false">IF($A348="","",INDEX(c_Name,$A348)&amp;"")</f>
        <v>Eric Chan</v>
      </c>
      <c r="C348" s="11" t="str">
        <f aca="false">IF($A348="","",INDEX(c_Firm,$A348)&amp;"")</f>
        <v>Synergy</v>
      </c>
      <c r="D348" s="11" t="str">
        <f aca="false">IF($A348="","",INDEX(c_Type,$A348)&amp;"")</f>
        <v>Adviser</v>
      </c>
      <c r="E348" s="11" t="str">
        <f aca="false">IF($A348="","",INDEX(c_Email,$A348)&amp;"")</f>
        <v>ericchan@synergy.com.sg</v>
      </c>
      <c r="F348" s="34" t="str">
        <f aca="false">IF($A348="","",INDEX(c_Met,$A348)&amp;"")</f>
        <v>No</v>
      </c>
      <c r="G348" s="25" t="str">
        <f aca="false">IF($A348="","",IF(INDEX(c_Date,$A348)="","",INDEX(c_Date,$A348)))</f>
        <v/>
      </c>
      <c r="H348" s="33" t="str">
        <f aca="false">IF($A348="","",IF(INDEX(c_Days,$A348)="","",INDEX(c_Days,$A348)))</f>
        <v/>
      </c>
      <c r="I348" s="40" t="n">
        <f aca="false">IF($A348="","",IF(INDEX(c_Mtgs,$A348)="","",INDEX(c_Mtgs,$A348)))</f>
        <v>0</v>
      </c>
      <c r="J348" s="11" t="str">
        <f aca="false">IF($A348="","",INDEX(c_EvtNames,$A348)&amp;"")</f>
        <v>Oct-25 Symposium</v>
      </c>
      <c r="K348" s="34" t="str">
        <f aca="false">IF($A348="","",INDEX(c_Invested,$A348)&amp;"")</f>
        <v>No</v>
      </c>
      <c r="L348" s="12" t="n">
        <f aca="false">IF($A348="","",IF(INDEX(c_AUM,$A348)="","",INDEX(c_AUM,$A348)))</f>
        <v>5000000</v>
      </c>
      <c r="M348" s="11" t="str">
        <f aca="false">IF($A348="","",INDEX(c_Source,$A348)&amp;"")</f>
        <v>Meeting List + ILP Data</v>
      </c>
      <c r="N348" s="11" t="str">
        <f aca="false">IF($A348="","",INDEX(c_Notes,$A348)&amp;"")</f>
        <v/>
      </c>
    </row>
    <row r="349" customFormat="false" ht="15" hidden="false" customHeight="false" outlineLevel="0" collapsed="false">
      <c r="A349" s="32" t="n">
        <f aca="false">IFERROR(MATCH(ROW()-5,c_Seq,0),"")</f>
        <v>344</v>
      </c>
      <c r="B349" s="15" t="str">
        <f aca="false">IF($A349="","",INDEX(c_Name,$A349)&amp;"")</f>
        <v>Eugene Low</v>
      </c>
      <c r="C349" s="15" t="str">
        <f aca="false">IF($A349="","",INDEX(c_Firm,$A349)&amp;"")</f>
        <v>Synergy</v>
      </c>
      <c r="D349" s="15" t="str">
        <f aca="false">IF($A349="","",INDEX(c_Type,$A349)&amp;"")</f>
        <v>Adviser</v>
      </c>
      <c r="E349" s="15" t="str">
        <f aca="false">IF($A349="","",INDEX(c_Email,$A349)&amp;"")</f>
        <v>eugene.low@synergy.com.sg</v>
      </c>
      <c r="F349" s="36" t="str">
        <f aca="false">IF($A349="","",INDEX(c_Met,$A349)&amp;"")</f>
        <v>Yes</v>
      </c>
      <c r="G349" s="26" t="n">
        <f aca="false">IF($A349="","",IF(INDEX(c_Date,$A349)="","",INDEX(c_Date,$A349)))</f>
        <v>45995</v>
      </c>
      <c r="H349" s="35" t="n">
        <f aca="false">IF($A349="","",IF(INDEX(c_Days,$A349)="","",INDEX(c_Days,$A349)))</f>
        <v>246</v>
      </c>
      <c r="I349" s="41" t="n">
        <f aca="false">IF($A349="","",IF(INDEX(c_Mtgs,$A349)="","",INDEX(c_Mtgs,$A349)))</f>
        <v>1</v>
      </c>
      <c r="J349" s="15" t="str">
        <f aca="false">IF($A349="","",INDEX(c_EvtNames,$A349)&amp;"")</f>
        <v>Oct-25 Symposium, May-26 Symposium</v>
      </c>
      <c r="K349" s="36" t="str">
        <f aca="false">IF($A349="","",INDEX(c_Invested,$A349)&amp;"")</f>
        <v>Yes</v>
      </c>
      <c r="L349" s="16" t="n">
        <f aca="false">IF($A349="","",IF(INDEX(c_AUM,$A349)="","",INDEX(c_AUM,$A349)))</f>
        <v>30000000</v>
      </c>
      <c r="M349" s="15" t="str">
        <f aca="false">IF($A349="","",INDEX(c_Source,$A349)&amp;"")</f>
        <v>Meeting List + ILP Data + Branch Directors</v>
      </c>
      <c r="N349" s="15" t="str">
        <f aca="false">IF($A349="","",INDEX(c_Notes,$A349)&amp;"")</f>
        <v>Branch: Synthesis</v>
      </c>
    </row>
    <row r="350" customFormat="false" ht="15" hidden="false" customHeight="false" outlineLevel="0" collapsed="false">
      <c r="A350" s="32" t="n">
        <f aca="false">IFERROR(MATCH(ROW()-5,c_Seq,0),"")</f>
        <v>345</v>
      </c>
      <c r="B350" s="11" t="str">
        <f aca="false">IF($A350="","",INDEX(c_Name,$A350)&amp;"")</f>
        <v>Eva Tan</v>
      </c>
      <c r="C350" s="11" t="str">
        <f aca="false">IF($A350="","",INDEX(c_Firm,$A350)&amp;"")</f>
        <v>Synergy</v>
      </c>
      <c r="D350" s="11" t="str">
        <f aca="false">IF($A350="","",INDEX(c_Type,$A350)&amp;"")</f>
        <v>Adviser</v>
      </c>
      <c r="E350" s="11" t="str">
        <f aca="false">IF($A350="","",INDEX(c_Email,$A350)&amp;"")</f>
        <v>evatan@synergy.com.sg</v>
      </c>
      <c r="F350" s="34" t="str">
        <f aca="false">IF($A350="","",INDEX(c_Met,$A350)&amp;"")</f>
        <v>No</v>
      </c>
      <c r="G350" s="25" t="str">
        <f aca="false">IF($A350="","",IF(INDEX(c_Date,$A350)="","",INDEX(c_Date,$A350)))</f>
        <v/>
      </c>
      <c r="H350" s="33" t="str">
        <f aca="false">IF($A350="","",IF(INDEX(c_Days,$A350)="","",INDEX(c_Days,$A350)))</f>
        <v/>
      </c>
      <c r="I350" s="40" t="n">
        <f aca="false">IF($A350="","",IF(INDEX(c_Mtgs,$A350)="","",INDEX(c_Mtgs,$A350)))</f>
        <v>0</v>
      </c>
      <c r="J350" s="11" t="str">
        <f aca="false">IF($A350="","",INDEX(c_EvtNames,$A350)&amp;"")</f>
        <v>May-26 Symposium</v>
      </c>
      <c r="K350" s="34" t="str">
        <f aca="false">IF($A350="","",INDEX(c_Invested,$A350)&amp;"")</f>
        <v>No</v>
      </c>
      <c r="L350" s="12" t="str">
        <f aca="false">IF($A350="","",IF(INDEX(c_AUM,$A350)="","",INDEX(c_AUM,$A350)))</f>
        <v/>
      </c>
      <c r="M350" s="11" t="str">
        <f aca="false">IF($A350="","",INDEX(c_Source,$A350)&amp;"")</f>
        <v>Meeting List</v>
      </c>
      <c r="N350" s="11" t="str">
        <f aca="false">IF($A350="","",INDEX(c_Notes,$A350)&amp;"")</f>
        <v/>
      </c>
    </row>
    <row r="351" customFormat="false" ht="15" hidden="false" customHeight="false" outlineLevel="0" collapsed="false">
      <c r="A351" s="32" t="n">
        <f aca="false">IFERROR(MATCH(ROW()-5,c_Seq,0),"")</f>
        <v>346</v>
      </c>
      <c r="B351" s="15" t="str">
        <f aca="false">IF($A351="","",INDEX(c_Name,$A351)&amp;"")</f>
        <v>Grace Lee</v>
      </c>
      <c r="C351" s="15" t="str">
        <f aca="false">IF($A351="","",INDEX(c_Firm,$A351)&amp;"")</f>
        <v>Synergy</v>
      </c>
      <c r="D351" s="15" t="str">
        <f aca="false">IF($A351="","",INDEX(c_Type,$A351)&amp;"")</f>
        <v>Adviser</v>
      </c>
      <c r="E351" s="15" t="str">
        <f aca="false">IF($A351="","",INDEX(c_Email,$A351)&amp;"")</f>
        <v>gracelee@synergy.com.sg</v>
      </c>
      <c r="F351" s="36" t="str">
        <f aca="false">IF($A351="","",INDEX(c_Met,$A351)&amp;"")</f>
        <v>No</v>
      </c>
      <c r="G351" s="26" t="str">
        <f aca="false">IF($A351="","",IF(INDEX(c_Date,$A351)="","",INDEX(c_Date,$A351)))</f>
        <v/>
      </c>
      <c r="H351" s="35" t="str">
        <f aca="false">IF($A351="","",IF(INDEX(c_Days,$A351)="","",INDEX(c_Days,$A351)))</f>
        <v/>
      </c>
      <c r="I351" s="41" t="n">
        <f aca="false">IF($A351="","",IF(INDEX(c_Mtgs,$A351)="","",INDEX(c_Mtgs,$A351)))</f>
        <v>0</v>
      </c>
      <c r="J351" s="15" t="str">
        <f aca="false">IF($A351="","",INDEX(c_EvtNames,$A351)&amp;"")</f>
        <v>Oct-25 Symposium</v>
      </c>
      <c r="K351" s="36" t="str">
        <f aca="false">IF($A351="","",INDEX(c_Invested,$A351)&amp;"")</f>
        <v>No</v>
      </c>
      <c r="L351" s="16" t="n">
        <f aca="false">IF($A351="","",IF(INDEX(c_AUM,$A351)="","",INDEX(c_AUM,$A351)))</f>
        <v>5000000</v>
      </c>
      <c r="M351" s="15" t="str">
        <f aca="false">IF($A351="","",INDEX(c_Source,$A351)&amp;"")</f>
        <v>Meeting List + ILP Data</v>
      </c>
      <c r="N351" s="15" t="str">
        <f aca="false">IF($A351="","",INDEX(c_Notes,$A351)&amp;"")</f>
        <v/>
      </c>
    </row>
    <row r="352" customFormat="false" ht="15" hidden="false" customHeight="false" outlineLevel="0" collapsed="false">
      <c r="A352" s="32" t="n">
        <f aca="false">IFERROR(MATCH(ROW()-5,c_Seq,0),"")</f>
        <v>347</v>
      </c>
      <c r="B352" s="11" t="str">
        <f aca="false">IF($A352="","",INDEX(c_Name,$A352)&amp;"")</f>
        <v>Jack Chan</v>
      </c>
      <c r="C352" s="11" t="str">
        <f aca="false">IF($A352="","",INDEX(c_Firm,$A352)&amp;"")</f>
        <v>Synergy</v>
      </c>
      <c r="D352" s="11" t="str">
        <f aca="false">IF($A352="","",INDEX(c_Type,$A352)&amp;"")</f>
        <v>Adviser</v>
      </c>
      <c r="E352" s="11" t="str">
        <f aca="false">IF($A352="","",INDEX(c_Email,$A352)&amp;"")</f>
        <v>jackchan@synergy.com.sg</v>
      </c>
      <c r="F352" s="34" t="str">
        <f aca="false">IF($A352="","",INDEX(c_Met,$A352)&amp;"")</f>
        <v>No</v>
      </c>
      <c r="G352" s="25" t="str">
        <f aca="false">IF($A352="","",IF(INDEX(c_Date,$A352)="","",INDEX(c_Date,$A352)))</f>
        <v/>
      </c>
      <c r="H352" s="33" t="str">
        <f aca="false">IF($A352="","",IF(INDEX(c_Days,$A352)="","",INDEX(c_Days,$A352)))</f>
        <v/>
      </c>
      <c r="I352" s="40" t="n">
        <f aca="false">IF($A352="","",IF(INDEX(c_Mtgs,$A352)="","",INDEX(c_Mtgs,$A352)))</f>
        <v>0</v>
      </c>
      <c r="J352" s="11" t="str">
        <f aca="false">IF($A352="","",INDEX(c_EvtNames,$A352)&amp;"")</f>
        <v>May-26 Symposium</v>
      </c>
      <c r="K352" s="34" t="str">
        <f aca="false">IF($A352="","",INDEX(c_Invested,$A352)&amp;"")</f>
        <v>No</v>
      </c>
      <c r="L352" s="12" t="str">
        <f aca="false">IF($A352="","",IF(INDEX(c_AUM,$A352)="","",INDEX(c_AUM,$A352)))</f>
        <v/>
      </c>
      <c r="M352" s="11" t="str">
        <f aca="false">IF($A352="","",INDEX(c_Source,$A352)&amp;"")</f>
        <v>Meeting List</v>
      </c>
      <c r="N352" s="11" t="str">
        <f aca="false">IF($A352="","",INDEX(c_Notes,$A352)&amp;"")</f>
        <v/>
      </c>
    </row>
    <row r="353" customFormat="false" ht="15" hidden="false" customHeight="false" outlineLevel="0" collapsed="false">
      <c r="A353" s="32" t="n">
        <f aca="false">IFERROR(MATCH(ROW()-5,c_Seq,0),"")</f>
        <v>348</v>
      </c>
      <c r="B353" s="15" t="str">
        <f aca="false">IF($A353="","",INDEX(c_Name,$A353)&amp;"")</f>
        <v>Jacqueline McQuillan</v>
      </c>
      <c r="C353" s="15" t="str">
        <f aca="false">IF($A353="","",INDEX(c_Firm,$A353)&amp;"")</f>
        <v>Synergy</v>
      </c>
      <c r="D353" s="15" t="str">
        <f aca="false">IF($A353="","",INDEX(c_Type,$A353)&amp;"")</f>
        <v>Branch Director</v>
      </c>
      <c r="E353" s="15" t="str">
        <f aca="false">IF($A353="","",INDEX(c_Email,$A353)&amp;"")</f>
        <v/>
      </c>
      <c r="F353" s="36" t="str">
        <f aca="false">IF($A353="","",INDEX(c_Met,$A353)&amp;"")</f>
        <v>No</v>
      </c>
      <c r="G353" s="26" t="str">
        <f aca="false">IF($A353="","",IF(INDEX(c_Date,$A353)="","",INDEX(c_Date,$A353)))</f>
        <v/>
      </c>
      <c r="H353" s="35" t="str">
        <f aca="false">IF($A353="","",IF(INDEX(c_Days,$A353)="","",INDEX(c_Days,$A353)))</f>
        <v/>
      </c>
      <c r="I353" s="41" t="n">
        <f aca="false">IF($A353="","",IF(INDEX(c_Mtgs,$A353)="","",INDEX(c_Mtgs,$A353)))</f>
        <v>0</v>
      </c>
      <c r="J353" s="15" t="str">
        <f aca="false">IF($A353="","",INDEX(c_EvtNames,$A353)&amp;"")</f>
        <v/>
      </c>
      <c r="K353" s="36" t="str">
        <f aca="false">IF($A353="","",INDEX(c_Invested,$A353)&amp;"")</f>
        <v>No</v>
      </c>
      <c r="L353" s="16" t="str">
        <f aca="false">IF($A353="","",IF(INDEX(c_AUM,$A353)="","",INDEX(c_AUM,$A353)))</f>
        <v/>
      </c>
      <c r="M353" s="15" t="str">
        <f aca="false">IF($A353="","",INDEX(c_Source,$A353)&amp;"")</f>
        <v>Branch Directors</v>
      </c>
      <c r="N353" s="15" t="str">
        <f aca="false">IF($A353="","",INDEX(c_Notes,$A353)&amp;"")</f>
        <v>Branch: Elcho Wealth | https://www.linkedin.com/in/jacquimcquillan/</v>
      </c>
    </row>
    <row r="354" customFormat="false" ht="15" hidden="false" customHeight="false" outlineLevel="0" collapsed="false">
      <c r="A354" s="32" t="n">
        <f aca="false">IFERROR(MATCH(ROW()-5,c_Seq,0),"")</f>
        <v>349</v>
      </c>
      <c r="B354" s="11" t="str">
        <f aca="false">IF($A354="","",INDEX(c_Name,$A354)&amp;"")</f>
        <v>Jeffrey Tan</v>
      </c>
      <c r="C354" s="11" t="str">
        <f aca="false">IF($A354="","",INDEX(c_Firm,$A354)&amp;"")</f>
        <v>Synergy</v>
      </c>
      <c r="D354" s="11" t="str">
        <f aca="false">IF($A354="","",INDEX(c_Type,$A354)&amp;"")</f>
        <v>Adviser</v>
      </c>
      <c r="E354" s="11" t="str">
        <f aca="false">IF($A354="","",INDEX(c_Email,$A354)&amp;"")</f>
        <v>jeffreytan@synergy.com.sg</v>
      </c>
      <c r="F354" s="34" t="str">
        <f aca="false">IF($A354="","",INDEX(c_Met,$A354)&amp;"")</f>
        <v>No</v>
      </c>
      <c r="G354" s="25" t="str">
        <f aca="false">IF($A354="","",IF(INDEX(c_Date,$A354)="","",INDEX(c_Date,$A354)))</f>
        <v/>
      </c>
      <c r="H354" s="33" t="str">
        <f aca="false">IF($A354="","",IF(INDEX(c_Days,$A354)="","",INDEX(c_Days,$A354)))</f>
        <v/>
      </c>
      <c r="I354" s="40" t="n">
        <f aca="false">IF($A354="","",IF(INDEX(c_Mtgs,$A354)="","",INDEX(c_Mtgs,$A354)))</f>
        <v>0</v>
      </c>
      <c r="J354" s="11" t="str">
        <f aca="false">IF($A354="","",INDEX(c_EvtNames,$A354)&amp;"")</f>
        <v/>
      </c>
      <c r="K354" s="34" t="str">
        <f aca="false">IF($A354="","",INDEX(c_Invested,$A354)&amp;"")</f>
        <v>No</v>
      </c>
      <c r="L354" s="12" t="str">
        <f aca="false">IF($A354="","",IF(INDEX(c_AUM,$A354)="","",INDEX(c_AUM,$A354)))</f>
        <v/>
      </c>
      <c r="M354" s="11" t="str">
        <f aca="false">IF($A354="","",INDEX(c_Source,$A354)&amp;"")</f>
        <v>Meeting List</v>
      </c>
      <c r="N354" s="11" t="str">
        <f aca="false">IF($A354="","",INDEX(c_Notes,$A354)&amp;"")</f>
        <v>May-26: not available</v>
      </c>
    </row>
    <row r="355" customFormat="false" ht="15" hidden="false" customHeight="false" outlineLevel="0" collapsed="false">
      <c r="A355" s="32" t="n">
        <f aca="false">IFERROR(MATCH(ROW()-5,c_Seq,0),"")</f>
        <v>350</v>
      </c>
      <c r="B355" s="15" t="str">
        <f aca="false">IF($A355="","",INDEX(c_Name,$A355)&amp;"")</f>
        <v>Jeffrey Tan JY</v>
      </c>
      <c r="C355" s="15" t="str">
        <f aca="false">IF($A355="","",INDEX(c_Firm,$A355)&amp;"")</f>
        <v>Synergy</v>
      </c>
      <c r="D355" s="15" t="str">
        <f aca="false">IF($A355="","",INDEX(c_Type,$A355)&amp;"")</f>
        <v>Branch Director</v>
      </c>
      <c r="E355" s="15" t="str">
        <f aca="false">IF($A355="","",INDEX(c_Email,$A355)&amp;"")</f>
        <v/>
      </c>
      <c r="F355" s="36" t="str">
        <f aca="false">IF($A355="","",INDEX(c_Met,$A355)&amp;"")</f>
        <v>No</v>
      </c>
      <c r="G355" s="26" t="str">
        <f aca="false">IF($A355="","",IF(INDEX(c_Date,$A355)="","",INDEX(c_Date,$A355)))</f>
        <v/>
      </c>
      <c r="H355" s="35" t="str">
        <f aca="false">IF($A355="","",IF(INDEX(c_Days,$A355)="","",INDEX(c_Days,$A355)))</f>
        <v/>
      </c>
      <c r="I355" s="41" t="n">
        <f aca="false">IF($A355="","",IF(INDEX(c_Mtgs,$A355)="","",INDEX(c_Mtgs,$A355)))</f>
        <v>0</v>
      </c>
      <c r="J355" s="15" t="str">
        <f aca="false">IF($A355="","",INDEX(c_EvtNames,$A355)&amp;"")</f>
        <v/>
      </c>
      <c r="K355" s="36" t="str">
        <f aca="false">IF($A355="","",INDEX(c_Invested,$A355)&amp;"")</f>
        <v>No</v>
      </c>
      <c r="L355" s="16" t="str">
        <f aca="false">IF($A355="","",IF(INDEX(c_AUM,$A355)="","",INDEX(c_AUM,$A355)))</f>
        <v/>
      </c>
      <c r="M355" s="15" t="str">
        <f aca="false">IF($A355="","",INDEX(c_Source,$A355)&amp;"")</f>
        <v>Branch Directors</v>
      </c>
      <c r="N355" s="15" t="str">
        <f aca="false">IF($A355="","",INDEX(c_Notes,$A355)&amp;"")</f>
        <v>Branch: Highlife | https://www.linkedin.com/in/jeffrey-tan-b2271018/</v>
      </c>
    </row>
    <row r="356" customFormat="false" ht="15" hidden="false" customHeight="false" outlineLevel="0" collapsed="false">
      <c r="A356" s="32" t="n">
        <f aca="false">IFERROR(MATCH(ROW()-5,c_Seq,0),"")</f>
        <v>351</v>
      </c>
      <c r="B356" s="11" t="str">
        <f aca="false">IF($A356="","",INDEX(c_Name,$A356)&amp;"")</f>
        <v>Kamen Kwok</v>
      </c>
      <c r="C356" s="11" t="str">
        <f aca="false">IF($A356="","",INDEX(c_Firm,$A356)&amp;"")</f>
        <v>Synergy</v>
      </c>
      <c r="D356" s="11" t="str">
        <f aca="false">IF($A356="","",INDEX(c_Type,$A356)&amp;"")</f>
        <v>Adviser</v>
      </c>
      <c r="E356" s="11" t="str">
        <f aca="false">IF($A356="","",INDEX(c_Email,$A356)&amp;"")</f>
        <v>kamen.kwok@synergy.com.sg</v>
      </c>
      <c r="F356" s="34" t="str">
        <f aca="false">IF($A356="","",INDEX(c_Met,$A356)&amp;"")</f>
        <v>No</v>
      </c>
      <c r="G356" s="25" t="str">
        <f aca="false">IF($A356="","",IF(INDEX(c_Date,$A356)="","",INDEX(c_Date,$A356)))</f>
        <v/>
      </c>
      <c r="H356" s="33" t="str">
        <f aca="false">IF($A356="","",IF(INDEX(c_Days,$A356)="","",INDEX(c_Days,$A356)))</f>
        <v/>
      </c>
      <c r="I356" s="40" t="n">
        <f aca="false">IF($A356="","",IF(INDEX(c_Mtgs,$A356)="","",INDEX(c_Mtgs,$A356)))</f>
        <v>0</v>
      </c>
      <c r="J356" s="11" t="str">
        <f aca="false">IF($A356="","",INDEX(c_EvtNames,$A356)&amp;"")</f>
        <v>Oct-25 Symposium</v>
      </c>
      <c r="K356" s="34" t="str">
        <f aca="false">IF($A356="","",INDEX(c_Invested,$A356)&amp;"")</f>
        <v>No</v>
      </c>
      <c r="L356" s="12" t="n">
        <f aca="false">IF($A356="","",IF(INDEX(c_AUM,$A356)="","",INDEX(c_AUM,$A356)))</f>
        <v>5000000</v>
      </c>
      <c r="M356" s="11" t="str">
        <f aca="false">IF($A356="","",INDEX(c_Source,$A356)&amp;"")</f>
        <v>Meeting List + ILP Data</v>
      </c>
      <c r="N356" s="11" t="str">
        <f aca="false">IF($A356="","",INDEX(c_Notes,$A356)&amp;"")</f>
        <v>May-26: not available</v>
      </c>
    </row>
    <row r="357" customFormat="false" ht="15" hidden="false" customHeight="false" outlineLevel="0" collapsed="false">
      <c r="A357" s="32" t="n">
        <f aca="false">IFERROR(MATCH(ROW()-5,c_Seq,0),"")</f>
        <v>352</v>
      </c>
      <c r="B357" s="15" t="str">
        <f aca="false">IF($A357="","",INDEX(c_Name,$A357)&amp;"")</f>
        <v>Kayden Khoo</v>
      </c>
      <c r="C357" s="15" t="str">
        <f aca="false">IF($A357="","",INDEX(c_Firm,$A357)&amp;"")</f>
        <v>Synergy</v>
      </c>
      <c r="D357" s="15" t="str">
        <f aca="false">IF($A357="","",INDEX(c_Type,$A357)&amp;"")</f>
        <v>Adviser</v>
      </c>
      <c r="E357" s="15" t="str">
        <f aca="false">IF($A357="","",INDEX(c_Email,$A357)&amp;"")</f>
        <v>kaydenkhoo@synergy.com.sg</v>
      </c>
      <c r="F357" s="36" t="str">
        <f aca="false">IF($A357="","",INDEX(c_Met,$A357)&amp;"")</f>
        <v>No</v>
      </c>
      <c r="G357" s="26" t="str">
        <f aca="false">IF($A357="","",IF(INDEX(c_Date,$A357)="","",INDEX(c_Date,$A357)))</f>
        <v/>
      </c>
      <c r="H357" s="35" t="str">
        <f aca="false">IF($A357="","",IF(INDEX(c_Days,$A357)="","",INDEX(c_Days,$A357)))</f>
        <v/>
      </c>
      <c r="I357" s="41" t="n">
        <f aca="false">IF($A357="","",IF(INDEX(c_Mtgs,$A357)="","",INDEX(c_Mtgs,$A357)))</f>
        <v>0</v>
      </c>
      <c r="J357" s="15" t="str">
        <f aca="false">IF($A357="","",INDEX(c_EvtNames,$A357)&amp;"")</f>
        <v>May-26 Symposium</v>
      </c>
      <c r="K357" s="36" t="str">
        <f aca="false">IF($A357="","",INDEX(c_Invested,$A357)&amp;"")</f>
        <v>No</v>
      </c>
      <c r="L357" s="16" t="str">
        <f aca="false">IF($A357="","",IF(INDEX(c_AUM,$A357)="","",INDEX(c_AUM,$A357)))</f>
        <v/>
      </c>
      <c r="M357" s="15" t="str">
        <f aca="false">IF($A357="","",INDEX(c_Source,$A357)&amp;"")</f>
        <v>Meeting List</v>
      </c>
      <c r="N357" s="15" t="str">
        <f aca="false">IF($A357="","",INDEX(c_Notes,$A357)&amp;"")</f>
        <v/>
      </c>
    </row>
    <row r="358" customFormat="false" ht="15" hidden="false" customHeight="false" outlineLevel="0" collapsed="false">
      <c r="A358" s="32" t="n">
        <f aca="false">IFERROR(MATCH(ROW()-5,c_Seq,0),"")</f>
        <v>353</v>
      </c>
      <c r="B358" s="11" t="str">
        <f aca="false">IF($A358="","",INDEX(c_Name,$A358)&amp;"")</f>
        <v>Law Hanwei</v>
      </c>
      <c r="C358" s="11" t="str">
        <f aca="false">IF($A358="","",INDEX(c_Firm,$A358)&amp;"")</f>
        <v>Synergy</v>
      </c>
      <c r="D358" s="11" t="str">
        <f aca="false">IF($A358="","",INDEX(c_Type,$A358)&amp;"")</f>
        <v>Adviser</v>
      </c>
      <c r="E358" s="11" t="str">
        <f aca="false">IF($A358="","",INDEX(c_Email,$A358)&amp;"")</f>
        <v>lawhanwei@synergy.com.sg</v>
      </c>
      <c r="F358" s="34" t="str">
        <f aca="false">IF($A358="","",INDEX(c_Met,$A358)&amp;"")</f>
        <v>Yes</v>
      </c>
      <c r="G358" s="25" t="n">
        <f aca="false">IF($A358="","",IF(INDEX(c_Date,$A358)="","",INDEX(c_Date,$A358)))</f>
        <v>46091</v>
      </c>
      <c r="H358" s="33" t="n">
        <f aca="false">IF($A358="","",IF(INDEX(c_Days,$A358)="","",INDEX(c_Days,$A358)))</f>
        <v>150</v>
      </c>
      <c r="I358" s="40" t="n">
        <f aca="false">IF($A358="","",IF(INDEX(c_Mtgs,$A358)="","",INDEX(c_Mtgs,$A358)))</f>
        <v>1</v>
      </c>
      <c r="J358" s="11" t="str">
        <f aca="false">IF($A358="","",INDEX(c_EvtNames,$A358)&amp;"")</f>
        <v/>
      </c>
      <c r="K358" s="34" t="str">
        <f aca="false">IF($A358="","",INDEX(c_Invested,$A358)&amp;"")</f>
        <v>No</v>
      </c>
      <c r="L358" s="12" t="n">
        <f aca="false">IF($A358="","",IF(INDEX(c_AUM,$A358)="","",INDEX(c_AUM,$A358)))</f>
        <v>5000000</v>
      </c>
      <c r="M358" s="11" t="str">
        <f aca="false">IF($A358="","",INDEX(c_Source,$A358)&amp;"")</f>
        <v>Meeting List + ILP Data</v>
      </c>
      <c r="N358" s="11" t="str">
        <f aca="false">IF($A358="","",INDEX(c_Notes,$A358)&amp;"")</f>
        <v/>
      </c>
    </row>
    <row r="359" customFormat="false" ht="15" hidden="false" customHeight="false" outlineLevel="0" collapsed="false">
      <c r="A359" s="32" t="n">
        <f aca="false">IFERROR(MATCH(ROW()-5,c_Seq,0),"")</f>
        <v>354</v>
      </c>
      <c r="B359" s="15" t="str">
        <f aca="false">IF($A359="","",INDEX(c_Name,$A359)&amp;"")</f>
        <v>Li Zhen Khoo</v>
      </c>
      <c r="C359" s="15" t="str">
        <f aca="false">IF($A359="","",INDEX(c_Firm,$A359)&amp;"")</f>
        <v>Synergy</v>
      </c>
      <c r="D359" s="15" t="str">
        <f aca="false">IF($A359="","",INDEX(c_Type,$A359)&amp;"")</f>
        <v>Adviser</v>
      </c>
      <c r="E359" s="15" t="str">
        <f aca="false">IF($A359="","",INDEX(c_Email,$A359)&amp;"")</f>
        <v>khoolizhen@synergy.com.sg</v>
      </c>
      <c r="F359" s="36" t="str">
        <f aca="false">IF($A359="","",INDEX(c_Met,$A359)&amp;"")</f>
        <v>No</v>
      </c>
      <c r="G359" s="26" t="str">
        <f aca="false">IF($A359="","",IF(INDEX(c_Date,$A359)="","",INDEX(c_Date,$A359)))</f>
        <v/>
      </c>
      <c r="H359" s="35" t="str">
        <f aca="false">IF($A359="","",IF(INDEX(c_Days,$A359)="","",INDEX(c_Days,$A359)))</f>
        <v/>
      </c>
      <c r="I359" s="41" t="n">
        <f aca="false">IF($A359="","",IF(INDEX(c_Mtgs,$A359)="","",INDEX(c_Mtgs,$A359)))</f>
        <v>0</v>
      </c>
      <c r="J359" s="15" t="str">
        <f aca="false">IF($A359="","",INDEX(c_EvtNames,$A359)&amp;"")</f>
        <v>Oct-25 Symposium</v>
      </c>
      <c r="K359" s="36" t="str">
        <f aca="false">IF($A359="","",INDEX(c_Invested,$A359)&amp;"")</f>
        <v>No</v>
      </c>
      <c r="L359" s="16" t="n">
        <f aca="false">IF($A359="","",IF(INDEX(c_AUM,$A359)="","",INDEX(c_AUM,$A359)))</f>
        <v>5000000</v>
      </c>
      <c r="M359" s="15" t="str">
        <f aca="false">IF($A359="","",INDEX(c_Source,$A359)&amp;"")</f>
        <v>Meeting List + ILP Data</v>
      </c>
      <c r="N359" s="15" t="str">
        <f aca="false">IF($A359="","",INDEX(c_Notes,$A359)&amp;"")</f>
        <v/>
      </c>
    </row>
    <row r="360" customFormat="false" ht="15" hidden="false" customHeight="false" outlineLevel="0" collapsed="false">
      <c r="A360" s="32" t="n">
        <f aca="false">IFERROR(MATCH(ROW()-5,c_Seq,0),"")</f>
        <v>355</v>
      </c>
      <c r="B360" s="11" t="str">
        <f aca="false">IF($A360="","",INDEX(c_Name,$A360)&amp;"")</f>
        <v>Lim Li Fen</v>
      </c>
      <c r="C360" s="11" t="str">
        <f aca="false">IF($A360="","",INDEX(c_Firm,$A360)&amp;"")</f>
        <v>Synergy</v>
      </c>
      <c r="D360" s="11" t="str">
        <f aca="false">IF($A360="","",INDEX(c_Type,$A360)&amp;"")</f>
        <v>Branch Director</v>
      </c>
      <c r="E360" s="11" t="str">
        <f aca="false">IF($A360="","",INDEX(c_Email,$A360)&amp;"")</f>
        <v/>
      </c>
      <c r="F360" s="34" t="str">
        <f aca="false">IF($A360="","",INDEX(c_Met,$A360)&amp;"")</f>
        <v>No</v>
      </c>
      <c r="G360" s="25" t="str">
        <f aca="false">IF($A360="","",IF(INDEX(c_Date,$A360)="","",INDEX(c_Date,$A360)))</f>
        <v/>
      </c>
      <c r="H360" s="33" t="str">
        <f aca="false">IF($A360="","",IF(INDEX(c_Days,$A360)="","",INDEX(c_Days,$A360)))</f>
        <v/>
      </c>
      <c r="I360" s="40" t="n">
        <f aca="false">IF($A360="","",IF(INDEX(c_Mtgs,$A360)="","",INDEX(c_Mtgs,$A360)))</f>
        <v>0</v>
      </c>
      <c r="J360" s="11" t="str">
        <f aca="false">IF($A360="","",INDEX(c_EvtNames,$A360)&amp;"")</f>
        <v/>
      </c>
      <c r="K360" s="34" t="str">
        <f aca="false">IF($A360="","",INDEX(c_Invested,$A360)&amp;"")</f>
        <v>No</v>
      </c>
      <c r="L360" s="12" t="str">
        <f aca="false">IF($A360="","",IF(INDEX(c_AUM,$A360)="","",INDEX(c_AUM,$A360)))</f>
        <v/>
      </c>
      <c r="M360" s="11" t="str">
        <f aca="false">IF($A360="","",INDEX(c_Source,$A360)&amp;"")</f>
        <v>Branch Directors</v>
      </c>
      <c r="N360" s="11" t="str">
        <f aca="false">IF($A360="","",INDEX(c_Notes,$A360)&amp;"")</f>
        <v>Branch: Straits Wealth | 23 July Lunch | 23 July Lunch</v>
      </c>
    </row>
    <row r="361" customFormat="false" ht="15" hidden="false" customHeight="false" outlineLevel="0" collapsed="false">
      <c r="A361" s="32" t="n">
        <f aca="false">IFERROR(MATCH(ROW()-5,c_Seq,0),"")</f>
        <v>356</v>
      </c>
      <c r="B361" s="15" t="str">
        <f aca="false">IF($A361="","",INDEX(c_Name,$A361)&amp;"")</f>
        <v>Mavis Luo</v>
      </c>
      <c r="C361" s="15" t="str">
        <f aca="false">IF($A361="","",INDEX(c_Firm,$A361)&amp;"")</f>
        <v>Synergy</v>
      </c>
      <c r="D361" s="15" t="str">
        <f aca="false">IF($A361="","",INDEX(c_Type,$A361)&amp;"")</f>
        <v>Adviser</v>
      </c>
      <c r="E361" s="15" t="str">
        <f aca="false">IF($A361="","",INDEX(c_Email,$A361)&amp;"")</f>
        <v>mavisluo@synergy.com.sg</v>
      </c>
      <c r="F361" s="36" t="str">
        <f aca="false">IF($A361="","",INDEX(c_Met,$A361)&amp;"")</f>
        <v>No</v>
      </c>
      <c r="G361" s="26" t="str">
        <f aca="false">IF($A361="","",IF(INDEX(c_Date,$A361)="","",INDEX(c_Date,$A361)))</f>
        <v/>
      </c>
      <c r="H361" s="35" t="str">
        <f aca="false">IF($A361="","",IF(INDEX(c_Days,$A361)="","",INDEX(c_Days,$A361)))</f>
        <v/>
      </c>
      <c r="I361" s="41" t="n">
        <f aca="false">IF($A361="","",IF(INDEX(c_Mtgs,$A361)="","",INDEX(c_Mtgs,$A361)))</f>
        <v>0</v>
      </c>
      <c r="J361" s="15" t="str">
        <f aca="false">IF($A361="","",INDEX(c_EvtNames,$A361)&amp;"")</f>
        <v>Oct-25 Symposium</v>
      </c>
      <c r="K361" s="36" t="str">
        <f aca="false">IF($A361="","",INDEX(c_Invested,$A361)&amp;"")</f>
        <v>No</v>
      </c>
      <c r="L361" s="16" t="n">
        <f aca="false">IF($A361="","",IF(INDEX(c_AUM,$A361)="","",INDEX(c_AUM,$A361)))</f>
        <v>5000000</v>
      </c>
      <c r="M361" s="15" t="str">
        <f aca="false">IF($A361="","",INDEX(c_Source,$A361)&amp;"")</f>
        <v>Meeting List + ILP Data</v>
      </c>
      <c r="N361" s="15" t="str">
        <f aca="false">IF($A361="","",INDEX(c_Notes,$A361)&amp;"")</f>
        <v>May-26: not available</v>
      </c>
    </row>
    <row r="362" customFormat="false" ht="15" hidden="false" customHeight="false" outlineLevel="0" collapsed="false">
      <c r="A362" s="32" t="n">
        <f aca="false">IFERROR(MATCH(ROW()-5,c_Seq,0),"")</f>
        <v>357</v>
      </c>
      <c r="B362" s="11" t="str">
        <f aca="false">IF($A362="","",INDEX(c_Name,$A362)&amp;"")</f>
        <v>Nick Anderson</v>
      </c>
      <c r="C362" s="11" t="str">
        <f aca="false">IF($A362="","",INDEX(c_Firm,$A362)&amp;"")</f>
        <v>Synergy</v>
      </c>
      <c r="D362" s="11" t="str">
        <f aca="false">IF($A362="","",INDEX(c_Type,$A362)&amp;"")</f>
        <v>Adviser</v>
      </c>
      <c r="E362" s="11" t="str">
        <f aca="false">IF($A362="","",INDEX(c_Email,$A362)&amp;"")</f>
        <v>nick@aam-advisory.com</v>
      </c>
      <c r="F362" s="34" t="str">
        <f aca="false">IF($A362="","",INDEX(c_Met,$A362)&amp;"")</f>
        <v>Yes</v>
      </c>
      <c r="G362" s="25" t="n">
        <f aca="false">IF($A362="","",IF(INDEX(c_Date,$A362)="","",INDEX(c_Date,$A362)))</f>
        <v>45902</v>
      </c>
      <c r="H362" s="33" t="n">
        <f aca="false">IF($A362="","",IF(INDEX(c_Days,$A362)="","",INDEX(c_Days,$A362)))</f>
        <v>339</v>
      </c>
      <c r="I362" s="40" t="n">
        <f aca="false">IF($A362="","",IF(INDEX(c_Mtgs,$A362)="","",INDEX(c_Mtgs,$A362)))</f>
        <v>1</v>
      </c>
      <c r="J362" s="11" t="str">
        <f aca="false">IF($A362="","",INDEX(c_EvtNames,$A362)&amp;"")</f>
        <v/>
      </c>
      <c r="K362" s="34" t="str">
        <f aca="false">IF($A362="","",INDEX(c_Invested,$A362)&amp;"")</f>
        <v>No</v>
      </c>
      <c r="L362" s="12" t="n">
        <f aca="false">IF($A362="","",IF(INDEX(c_AUM,$A362)="","",INDEX(c_AUM,$A362)))</f>
        <v>5000000</v>
      </c>
      <c r="M362" s="11" t="str">
        <f aca="false">IF($A362="","",INDEX(c_Source,$A362)&amp;"")</f>
        <v>Meeting List + ILP Data</v>
      </c>
      <c r="N362" s="11" t="str">
        <f aca="false">IF($A362="","",INDEX(c_Notes,$A362)&amp;"")</f>
        <v>May-26: not available</v>
      </c>
    </row>
    <row r="363" customFormat="false" ht="15" hidden="false" customHeight="false" outlineLevel="0" collapsed="false">
      <c r="A363" s="32" t="n">
        <f aca="false">IFERROR(MATCH(ROW()-5,c_Seq,0),"")</f>
        <v>358</v>
      </c>
      <c r="B363" s="15" t="str">
        <f aca="false">IF($A363="","",INDEX(c_Name,$A363)&amp;"")</f>
        <v>Rainer Ackbari</v>
      </c>
      <c r="C363" s="15" t="str">
        <f aca="false">IF($A363="","",INDEX(c_Firm,$A363)&amp;"")</f>
        <v>Synergy</v>
      </c>
      <c r="D363" s="15" t="str">
        <f aca="false">IF($A363="","",INDEX(c_Type,$A363)&amp;"")</f>
        <v>Adviser</v>
      </c>
      <c r="E363" s="15" t="str">
        <f aca="false">IF($A363="","",INDEX(c_Email,$A363)&amp;"")</f>
        <v>rainerackbari@synergy.com.sg</v>
      </c>
      <c r="F363" s="36" t="str">
        <f aca="false">IF($A363="","",INDEX(c_Met,$A363)&amp;"")</f>
        <v>No</v>
      </c>
      <c r="G363" s="26" t="str">
        <f aca="false">IF($A363="","",IF(INDEX(c_Date,$A363)="","",INDEX(c_Date,$A363)))</f>
        <v/>
      </c>
      <c r="H363" s="35" t="str">
        <f aca="false">IF($A363="","",IF(INDEX(c_Days,$A363)="","",INDEX(c_Days,$A363)))</f>
        <v/>
      </c>
      <c r="I363" s="41" t="n">
        <f aca="false">IF($A363="","",IF(INDEX(c_Mtgs,$A363)="","",INDEX(c_Mtgs,$A363)))</f>
        <v>0</v>
      </c>
      <c r="J363" s="15" t="str">
        <f aca="false">IF($A363="","",INDEX(c_EvtNames,$A363)&amp;"")</f>
        <v/>
      </c>
      <c r="K363" s="36" t="str">
        <f aca="false">IF($A363="","",INDEX(c_Invested,$A363)&amp;"")</f>
        <v>No</v>
      </c>
      <c r="L363" s="16" t="str">
        <f aca="false">IF($A363="","",IF(INDEX(c_AUM,$A363)="","",INDEX(c_AUM,$A363)))</f>
        <v/>
      </c>
      <c r="M363" s="15" t="str">
        <f aca="false">IF($A363="","",INDEX(c_Source,$A363)&amp;"")</f>
        <v>Meeting List + Branch Directors</v>
      </c>
      <c r="N363" s="15" t="str">
        <f aca="false">IF($A363="","",INDEX(c_Notes,$A363)&amp;"")</f>
        <v>Branch: Linc Wealth Advisers</v>
      </c>
    </row>
    <row r="364" customFormat="false" ht="15" hidden="false" customHeight="false" outlineLevel="0" collapsed="false">
      <c r="A364" s="32" t="n">
        <f aca="false">IFERROR(MATCH(ROW()-5,c_Seq,0),"")</f>
        <v>359</v>
      </c>
      <c r="B364" s="11" t="str">
        <f aca="false">IF($A364="","",INDEX(c_Name,$A364)&amp;"")</f>
        <v>Richard Hardy</v>
      </c>
      <c r="C364" s="11" t="str">
        <f aca="false">IF($A364="","",INDEX(c_Firm,$A364)&amp;"")</f>
        <v>Synergy</v>
      </c>
      <c r="D364" s="11" t="str">
        <f aca="false">IF($A364="","",INDEX(c_Type,$A364)&amp;"")</f>
        <v>Adviser</v>
      </c>
      <c r="E364" s="11" t="str">
        <f aca="false">IF($A364="","",INDEX(c_Email,$A364)&amp;"")</f>
        <v>richardhardy@synergy.com.sg</v>
      </c>
      <c r="F364" s="34" t="str">
        <f aca="false">IF($A364="","",INDEX(c_Met,$A364)&amp;"")</f>
        <v>No</v>
      </c>
      <c r="G364" s="25" t="str">
        <f aca="false">IF($A364="","",IF(INDEX(c_Date,$A364)="","",INDEX(c_Date,$A364)))</f>
        <v/>
      </c>
      <c r="H364" s="33" t="str">
        <f aca="false">IF($A364="","",IF(INDEX(c_Days,$A364)="","",INDEX(c_Days,$A364)))</f>
        <v/>
      </c>
      <c r="I364" s="40" t="n">
        <f aca="false">IF($A364="","",IF(INDEX(c_Mtgs,$A364)="","",INDEX(c_Mtgs,$A364)))</f>
        <v>0</v>
      </c>
      <c r="J364" s="11" t="str">
        <f aca="false">IF($A364="","",INDEX(c_EvtNames,$A364)&amp;"")</f>
        <v/>
      </c>
      <c r="K364" s="34" t="str">
        <f aca="false">IF($A364="","",INDEX(c_Invested,$A364)&amp;"")</f>
        <v>No</v>
      </c>
      <c r="L364" s="12" t="str">
        <f aca="false">IF($A364="","",IF(INDEX(c_AUM,$A364)="","",INDEX(c_AUM,$A364)))</f>
        <v/>
      </c>
      <c r="M364" s="11" t="str">
        <f aca="false">IF($A364="","",INDEX(c_Source,$A364)&amp;"")</f>
        <v>Meeting List + Branch Directors</v>
      </c>
      <c r="N364" s="11" t="str">
        <f aca="false">IF($A364="","",INDEX(c_Notes,$A364)&amp;"")</f>
        <v>Branch: Focus Wealth</v>
      </c>
    </row>
    <row r="365" customFormat="false" ht="15" hidden="false" customHeight="false" outlineLevel="0" collapsed="false">
      <c r="A365" s="32" t="n">
        <f aca="false">IFERROR(MATCH(ROW()-5,c_Seq,0),"")</f>
        <v>360</v>
      </c>
      <c r="B365" s="15" t="str">
        <f aca="false">IF($A365="","",INDEX(c_Name,$A365)&amp;"")</f>
        <v>Roy Lee</v>
      </c>
      <c r="C365" s="15" t="str">
        <f aca="false">IF($A365="","",INDEX(c_Firm,$A365)&amp;"")</f>
        <v>Synergy</v>
      </c>
      <c r="D365" s="15" t="str">
        <f aca="false">IF($A365="","",INDEX(c_Type,$A365)&amp;"")</f>
        <v>Adviser</v>
      </c>
      <c r="E365" s="15" t="str">
        <f aca="false">IF($A365="","",INDEX(c_Email,$A365)&amp;"")</f>
        <v>roylee@synergy.com.sg</v>
      </c>
      <c r="F365" s="36" t="str">
        <f aca="false">IF($A365="","",INDEX(c_Met,$A365)&amp;"")</f>
        <v>No</v>
      </c>
      <c r="G365" s="26" t="str">
        <f aca="false">IF($A365="","",IF(INDEX(c_Date,$A365)="","",INDEX(c_Date,$A365)))</f>
        <v/>
      </c>
      <c r="H365" s="35" t="str">
        <f aca="false">IF($A365="","",IF(INDEX(c_Days,$A365)="","",INDEX(c_Days,$A365)))</f>
        <v/>
      </c>
      <c r="I365" s="41" t="n">
        <f aca="false">IF($A365="","",IF(INDEX(c_Mtgs,$A365)="","",INDEX(c_Mtgs,$A365)))</f>
        <v>0</v>
      </c>
      <c r="J365" s="15" t="str">
        <f aca="false">IF($A365="","",INDEX(c_EvtNames,$A365)&amp;"")</f>
        <v/>
      </c>
      <c r="K365" s="36" t="str">
        <f aca="false">IF($A365="","",INDEX(c_Invested,$A365)&amp;"")</f>
        <v>No</v>
      </c>
      <c r="L365" s="16" t="str">
        <f aca="false">IF($A365="","",IF(INDEX(c_AUM,$A365)="","",INDEX(c_AUM,$A365)))</f>
        <v/>
      </c>
      <c r="M365" s="15" t="str">
        <f aca="false">IF($A365="","",INDEX(c_Source,$A365)&amp;"")</f>
        <v>Meeting List + Branch Directors</v>
      </c>
      <c r="N365" s="15" t="str">
        <f aca="false">IF($A365="","",INDEX(c_Notes,$A365)&amp;"")</f>
        <v>Branch: Crescendo Wealth</v>
      </c>
    </row>
    <row r="366" customFormat="false" ht="15" hidden="false" customHeight="false" outlineLevel="0" collapsed="false">
      <c r="A366" s="32" t="n">
        <f aca="false">IFERROR(MATCH(ROW()-5,c_Seq,0),"")</f>
        <v>361</v>
      </c>
      <c r="B366" s="11" t="str">
        <f aca="false">IF($A366="","",INDEX(c_Name,$A366)&amp;"")</f>
        <v>Ryan Cheng</v>
      </c>
      <c r="C366" s="11" t="str">
        <f aca="false">IF($A366="","",INDEX(c_Firm,$A366)&amp;"")</f>
        <v>Synergy</v>
      </c>
      <c r="D366" s="11" t="str">
        <f aca="false">IF($A366="","",INDEX(c_Type,$A366)&amp;"")</f>
        <v>Adviser</v>
      </c>
      <c r="E366" s="11" t="str">
        <f aca="false">IF($A366="","",INDEX(c_Email,$A366)&amp;"")</f>
        <v>ryancheng@synergy.com.sg</v>
      </c>
      <c r="F366" s="34" t="str">
        <f aca="false">IF($A366="","",INDEX(c_Met,$A366)&amp;"")</f>
        <v>Yes</v>
      </c>
      <c r="G366" s="25" t="n">
        <f aca="false">IF($A366="","",IF(INDEX(c_Date,$A366)="","",INDEX(c_Date,$A366)))</f>
        <v>46034</v>
      </c>
      <c r="H366" s="33" t="n">
        <f aca="false">IF($A366="","",IF(INDEX(c_Days,$A366)="","",INDEX(c_Days,$A366)))</f>
        <v>207</v>
      </c>
      <c r="I366" s="40" t="n">
        <f aca="false">IF($A366="","",IF(INDEX(c_Mtgs,$A366)="","",INDEX(c_Mtgs,$A366)))</f>
        <v>1</v>
      </c>
      <c r="J366" s="11" t="str">
        <f aca="false">IF($A366="","",INDEX(c_EvtNames,$A366)&amp;"")</f>
        <v>May-26 Symposium</v>
      </c>
      <c r="K366" s="34" t="str">
        <f aca="false">IF($A366="","",INDEX(c_Invested,$A366)&amp;"")</f>
        <v>No</v>
      </c>
      <c r="L366" s="12" t="n">
        <f aca="false">IF($A366="","",IF(INDEX(c_AUM,$A366)="","",INDEX(c_AUM,$A366)))</f>
        <v>5000000</v>
      </c>
      <c r="M366" s="11" t="str">
        <f aca="false">IF($A366="","",INDEX(c_Source,$A366)&amp;"")</f>
        <v>Meeting List + ILP Data</v>
      </c>
      <c r="N366" s="11" t="str">
        <f aca="false">IF($A366="","",INDEX(c_Notes,$A366)&amp;"")</f>
        <v/>
      </c>
    </row>
    <row r="367" customFormat="false" ht="15" hidden="false" customHeight="false" outlineLevel="0" collapsed="false">
      <c r="A367" s="32" t="n">
        <f aca="false">IFERROR(MATCH(ROW()-5,c_Seq,0),"")</f>
        <v>362</v>
      </c>
      <c r="B367" s="15" t="str">
        <f aca="false">IF($A367="","",INDEX(c_Name,$A367)&amp;"")</f>
        <v>Samuel Siew</v>
      </c>
      <c r="C367" s="15" t="str">
        <f aca="false">IF($A367="","",INDEX(c_Firm,$A367)&amp;"")</f>
        <v>Synergy</v>
      </c>
      <c r="D367" s="15" t="str">
        <f aca="false">IF($A367="","",INDEX(c_Type,$A367)&amp;"")</f>
        <v>Adviser</v>
      </c>
      <c r="E367" s="15" t="str">
        <f aca="false">IF($A367="","",INDEX(c_Email,$A367)&amp;"")</f>
        <v>samuelsiew@synergy.com.sg</v>
      </c>
      <c r="F367" s="36" t="str">
        <f aca="false">IF($A367="","",INDEX(c_Met,$A367)&amp;"")</f>
        <v>Yes</v>
      </c>
      <c r="G367" s="26" t="n">
        <f aca="false">IF($A367="","",IF(INDEX(c_Date,$A367)="","",INDEX(c_Date,$A367)))</f>
        <v>46050</v>
      </c>
      <c r="H367" s="35" t="n">
        <f aca="false">IF($A367="","",IF(INDEX(c_Days,$A367)="","",INDEX(c_Days,$A367)))</f>
        <v>191</v>
      </c>
      <c r="I367" s="41" t="n">
        <f aca="false">IF($A367="","",IF(INDEX(c_Mtgs,$A367)="","",INDEX(c_Mtgs,$A367)))</f>
        <v>1</v>
      </c>
      <c r="J367" s="15" t="str">
        <f aca="false">IF($A367="","",INDEX(c_EvtNames,$A367)&amp;"")</f>
        <v/>
      </c>
      <c r="K367" s="36" t="str">
        <f aca="false">IF($A367="","",INDEX(c_Invested,$A367)&amp;"")</f>
        <v>No</v>
      </c>
      <c r="L367" s="16" t="str">
        <f aca="false">IF($A367="","",IF(INDEX(c_AUM,$A367)="","",INDEX(c_AUM,$A367)))</f>
        <v/>
      </c>
      <c r="M367" s="15" t="str">
        <f aca="false">IF($A367="","",INDEX(c_Source,$A367)&amp;"")</f>
        <v>Meeting List + ILP Data</v>
      </c>
      <c r="N367" s="15" t="str">
        <f aca="false">IF($A367="","",INDEX(c_Notes,$A367)&amp;"")</f>
        <v>May-26: not available; ILP: Investment</v>
      </c>
    </row>
    <row r="368" customFormat="false" ht="15" hidden="false" customHeight="false" outlineLevel="0" collapsed="false">
      <c r="A368" s="32" t="n">
        <f aca="false">IFERROR(MATCH(ROW()-5,c_Seq,0),"")</f>
        <v>363</v>
      </c>
      <c r="B368" s="11" t="str">
        <f aca="false">IF($A368="","",INDEX(c_Name,$A368)&amp;"")</f>
        <v>Sean Neo</v>
      </c>
      <c r="C368" s="11" t="str">
        <f aca="false">IF($A368="","",INDEX(c_Firm,$A368)&amp;"")</f>
        <v>Synergy</v>
      </c>
      <c r="D368" s="11" t="str">
        <f aca="false">IF($A368="","",INDEX(c_Type,$A368)&amp;"")</f>
        <v>Adviser</v>
      </c>
      <c r="E368" s="11" t="str">
        <f aca="false">IF($A368="","",INDEX(c_Email,$A368)&amp;"")</f>
        <v>seanneo@synergy.com.sg</v>
      </c>
      <c r="F368" s="34" t="str">
        <f aca="false">IF($A368="","",INDEX(c_Met,$A368)&amp;"")</f>
        <v>No</v>
      </c>
      <c r="G368" s="25" t="str">
        <f aca="false">IF($A368="","",IF(INDEX(c_Date,$A368)="","",INDEX(c_Date,$A368)))</f>
        <v/>
      </c>
      <c r="H368" s="33" t="str">
        <f aca="false">IF($A368="","",IF(INDEX(c_Days,$A368)="","",INDEX(c_Days,$A368)))</f>
        <v/>
      </c>
      <c r="I368" s="40" t="n">
        <f aca="false">IF($A368="","",IF(INDEX(c_Mtgs,$A368)="","",INDEX(c_Mtgs,$A368)))</f>
        <v>0</v>
      </c>
      <c r="J368" s="11" t="str">
        <f aca="false">IF($A368="","",INDEX(c_EvtNames,$A368)&amp;"")</f>
        <v/>
      </c>
      <c r="K368" s="34" t="str">
        <f aca="false">IF($A368="","",INDEX(c_Invested,$A368)&amp;"")</f>
        <v>No</v>
      </c>
      <c r="L368" s="12" t="str">
        <f aca="false">IF($A368="","",IF(INDEX(c_AUM,$A368)="","",INDEX(c_AUM,$A368)))</f>
        <v/>
      </c>
      <c r="M368" s="11" t="str">
        <f aca="false">IF($A368="","",INDEX(c_Source,$A368)&amp;"")</f>
        <v>Meeting List</v>
      </c>
      <c r="N368" s="11" t="str">
        <f aca="false">IF($A368="","",INDEX(c_Notes,$A368)&amp;"")</f>
        <v/>
      </c>
    </row>
    <row r="369" customFormat="false" ht="15" hidden="false" customHeight="false" outlineLevel="0" collapsed="false">
      <c r="A369" s="32" t="n">
        <f aca="false">IFERROR(MATCH(ROW()-5,c_Seq,0),"")</f>
        <v>364</v>
      </c>
      <c r="B369" s="15" t="str">
        <f aca="false">IF($A369="","",INDEX(c_Name,$A369)&amp;"")</f>
        <v>Shawn Koh</v>
      </c>
      <c r="C369" s="15" t="str">
        <f aca="false">IF($A369="","",INDEX(c_Firm,$A369)&amp;"")</f>
        <v>Synergy</v>
      </c>
      <c r="D369" s="15" t="str">
        <f aca="false">IF($A369="","",INDEX(c_Type,$A369)&amp;"")</f>
        <v>Adviser</v>
      </c>
      <c r="E369" s="15" t="str">
        <f aca="false">IF($A369="","",INDEX(c_Email,$A369)&amp;"")</f>
        <v>shawnkoh@synergy.com.sg</v>
      </c>
      <c r="F369" s="36" t="str">
        <f aca="false">IF($A369="","",INDEX(c_Met,$A369)&amp;"")</f>
        <v>No</v>
      </c>
      <c r="G369" s="26" t="str">
        <f aca="false">IF($A369="","",IF(INDEX(c_Date,$A369)="","",INDEX(c_Date,$A369)))</f>
        <v/>
      </c>
      <c r="H369" s="35" t="str">
        <f aca="false">IF($A369="","",IF(INDEX(c_Days,$A369)="","",INDEX(c_Days,$A369)))</f>
        <v/>
      </c>
      <c r="I369" s="41" t="n">
        <f aca="false">IF($A369="","",IF(INDEX(c_Mtgs,$A369)="","",INDEX(c_Mtgs,$A369)))</f>
        <v>0</v>
      </c>
      <c r="J369" s="15" t="str">
        <f aca="false">IF($A369="","",INDEX(c_EvtNames,$A369)&amp;"")</f>
        <v>May-26 Symposium</v>
      </c>
      <c r="K369" s="36" t="str">
        <f aca="false">IF($A369="","",INDEX(c_Invested,$A369)&amp;"")</f>
        <v>No</v>
      </c>
      <c r="L369" s="16" t="str">
        <f aca="false">IF($A369="","",IF(INDEX(c_AUM,$A369)="","",INDEX(c_AUM,$A369)))</f>
        <v/>
      </c>
      <c r="M369" s="15" t="str">
        <f aca="false">IF($A369="","",INDEX(c_Source,$A369)&amp;"")</f>
        <v>Meeting List</v>
      </c>
      <c r="N369" s="15" t="str">
        <f aca="false">IF($A369="","",INDEX(c_Notes,$A369)&amp;"")</f>
        <v/>
      </c>
    </row>
    <row r="370" customFormat="false" ht="15" hidden="false" customHeight="false" outlineLevel="0" collapsed="false">
      <c r="A370" s="32" t="n">
        <f aca="false">IFERROR(MATCH(ROW()-5,c_Seq,0),"")</f>
        <v>365</v>
      </c>
      <c r="B370" s="11" t="str">
        <f aca="false">IF($A370="","",INDEX(c_Name,$A370)&amp;"")</f>
        <v>Simon Bird</v>
      </c>
      <c r="C370" s="11" t="str">
        <f aca="false">IF($A370="","",INDEX(c_Firm,$A370)&amp;"")</f>
        <v>Synergy</v>
      </c>
      <c r="D370" s="11" t="str">
        <f aca="false">IF($A370="","",INDEX(c_Type,$A370)&amp;"")</f>
        <v>Adviser</v>
      </c>
      <c r="E370" s="11" t="str">
        <f aca="false">IF($A370="","",INDEX(c_Email,$A370)&amp;"")</f>
        <v>simonbird@synergy.com.sg</v>
      </c>
      <c r="F370" s="34" t="str">
        <f aca="false">IF($A370="","",INDEX(c_Met,$A370)&amp;"")</f>
        <v>No</v>
      </c>
      <c r="G370" s="25" t="str">
        <f aca="false">IF($A370="","",IF(INDEX(c_Date,$A370)="","",INDEX(c_Date,$A370)))</f>
        <v/>
      </c>
      <c r="H370" s="33" t="str">
        <f aca="false">IF($A370="","",IF(INDEX(c_Days,$A370)="","",INDEX(c_Days,$A370)))</f>
        <v/>
      </c>
      <c r="I370" s="40" t="n">
        <f aca="false">IF($A370="","",IF(INDEX(c_Mtgs,$A370)="","",INDEX(c_Mtgs,$A370)))</f>
        <v>0</v>
      </c>
      <c r="J370" s="11" t="str">
        <f aca="false">IF($A370="","",INDEX(c_EvtNames,$A370)&amp;"")</f>
        <v/>
      </c>
      <c r="K370" s="34" t="str">
        <f aca="false">IF($A370="","",INDEX(c_Invested,$A370)&amp;"")</f>
        <v>No</v>
      </c>
      <c r="L370" s="12" t="str">
        <f aca="false">IF($A370="","",IF(INDEX(c_AUM,$A370)="","",INDEX(c_AUM,$A370)))</f>
        <v/>
      </c>
      <c r="M370" s="11" t="str">
        <f aca="false">IF($A370="","",INDEX(c_Source,$A370)&amp;"")</f>
        <v>Meeting List + Branch Directors</v>
      </c>
      <c r="N370" s="11" t="str">
        <f aca="false">IF($A370="","",INDEX(c_Notes,$A370)&amp;"")</f>
        <v>May-26: not available; Branch: Linc Private Solutions</v>
      </c>
    </row>
    <row r="371" customFormat="false" ht="15" hidden="false" customHeight="false" outlineLevel="0" collapsed="false">
      <c r="A371" s="32" t="n">
        <f aca="false">IFERROR(MATCH(ROW()-5,c_Seq,0),"")</f>
        <v>366</v>
      </c>
      <c r="B371" s="15" t="str">
        <f aca="false">IF($A371="","",INDEX(c_Name,$A371)&amp;"")</f>
        <v>Tan Tiong Eng</v>
      </c>
      <c r="C371" s="15" t="str">
        <f aca="false">IF($A371="","",INDEX(c_Firm,$A371)&amp;"")</f>
        <v>Synergy</v>
      </c>
      <c r="D371" s="15" t="str">
        <f aca="false">IF($A371="","",INDEX(c_Type,$A371)&amp;"")</f>
        <v>Branch Director</v>
      </c>
      <c r="E371" s="15" t="str">
        <f aca="false">IF($A371="","",INDEX(c_Email,$A371)&amp;"")</f>
        <v/>
      </c>
      <c r="F371" s="36" t="str">
        <f aca="false">IF($A371="","",INDEX(c_Met,$A371)&amp;"")</f>
        <v>No</v>
      </c>
      <c r="G371" s="26" t="str">
        <f aca="false">IF($A371="","",IF(INDEX(c_Date,$A371)="","",INDEX(c_Date,$A371)))</f>
        <v/>
      </c>
      <c r="H371" s="35" t="str">
        <f aca="false">IF($A371="","",IF(INDEX(c_Days,$A371)="","",INDEX(c_Days,$A371)))</f>
        <v/>
      </c>
      <c r="I371" s="41" t="n">
        <f aca="false">IF($A371="","",IF(INDEX(c_Mtgs,$A371)="","",INDEX(c_Mtgs,$A371)))</f>
        <v>0</v>
      </c>
      <c r="J371" s="15" t="str">
        <f aca="false">IF($A371="","",INDEX(c_EvtNames,$A371)&amp;"")</f>
        <v/>
      </c>
      <c r="K371" s="36" t="str">
        <f aca="false">IF($A371="","",INDEX(c_Invested,$A371)&amp;"")</f>
        <v>No</v>
      </c>
      <c r="L371" s="16" t="str">
        <f aca="false">IF($A371="","",IF(INDEX(c_AUM,$A371)="","",INDEX(c_AUM,$A371)))</f>
        <v/>
      </c>
      <c r="M371" s="15" t="str">
        <f aca="false">IF($A371="","",INDEX(c_Source,$A371)&amp;"")</f>
        <v>Branch Directors</v>
      </c>
      <c r="N371" s="15" t="str">
        <f aca="false">IF($A371="","",INDEX(c_Notes,$A371)&amp;"")</f>
        <v>Branch: Titan</v>
      </c>
    </row>
    <row r="372" customFormat="false" ht="15" hidden="false" customHeight="false" outlineLevel="0" collapsed="false">
      <c r="A372" s="32" t="n">
        <f aca="false">IFERROR(MATCH(ROW()-5,c_Seq,0),"")</f>
        <v>367</v>
      </c>
      <c r="B372" s="11" t="str">
        <f aca="false">IF($A372="","",INDEX(c_Name,$A372)&amp;"")</f>
        <v>Willy Soh</v>
      </c>
      <c r="C372" s="11" t="str">
        <f aca="false">IF($A372="","",INDEX(c_Firm,$A372)&amp;"")</f>
        <v>Synergy</v>
      </c>
      <c r="D372" s="11" t="str">
        <f aca="false">IF($A372="","",INDEX(c_Type,$A372)&amp;"")</f>
        <v>Adviser</v>
      </c>
      <c r="E372" s="11" t="str">
        <f aca="false">IF($A372="","",INDEX(c_Email,$A372)&amp;"")</f>
        <v>willyngsoh@synergy.com.sg</v>
      </c>
      <c r="F372" s="34" t="str">
        <f aca="false">IF($A372="","",INDEX(c_Met,$A372)&amp;"")</f>
        <v>No</v>
      </c>
      <c r="G372" s="25" t="str">
        <f aca="false">IF($A372="","",IF(INDEX(c_Date,$A372)="","",INDEX(c_Date,$A372)))</f>
        <v/>
      </c>
      <c r="H372" s="33" t="str">
        <f aca="false">IF($A372="","",IF(INDEX(c_Days,$A372)="","",INDEX(c_Days,$A372)))</f>
        <v/>
      </c>
      <c r="I372" s="40" t="n">
        <f aca="false">IF($A372="","",IF(INDEX(c_Mtgs,$A372)="","",INDEX(c_Mtgs,$A372)))</f>
        <v>0</v>
      </c>
      <c r="J372" s="11" t="str">
        <f aca="false">IF($A372="","",INDEX(c_EvtNames,$A372)&amp;"")</f>
        <v>Oct-25 Symposium</v>
      </c>
      <c r="K372" s="34" t="str">
        <f aca="false">IF($A372="","",INDEX(c_Invested,$A372)&amp;"")</f>
        <v>No</v>
      </c>
      <c r="L372" s="12" t="n">
        <f aca="false">IF($A372="","",IF(INDEX(c_AUM,$A372)="","",INDEX(c_AUM,$A372)))</f>
        <v>5000000</v>
      </c>
      <c r="M372" s="11" t="str">
        <f aca="false">IF($A372="","",INDEX(c_Source,$A372)&amp;"")</f>
        <v>Meeting List + ILP Data</v>
      </c>
      <c r="N372" s="11" t="str">
        <f aca="false">IF($A372="","",INDEX(c_Notes,$A372)&amp;"")</f>
        <v/>
      </c>
    </row>
    <row r="373" customFormat="false" ht="15" hidden="false" customHeight="false" outlineLevel="0" collapsed="false">
      <c r="A373" s="32" t="n">
        <f aca="false">IFERROR(MATCH(ROW()-5,c_Seq,0),"")</f>
        <v>368</v>
      </c>
      <c r="B373" s="15" t="str">
        <f aca="false">IF($A373="","",INDEX(c_Name,$A373)&amp;"")</f>
        <v>Willynn Soh</v>
      </c>
      <c r="C373" s="15" t="str">
        <f aca="false">IF($A373="","",INDEX(c_Firm,$A373)&amp;"")</f>
        <v>Synergy</v>
      </c>
      <c r="D373" s="15" t="str">
        <f aca="false">IF($A373="","",INDEX(c_Type,$A373)&amp;"")</f>
        <v>Adviser</v>
      </c>
      <c r="E373" s="15" t="str">
        <f aca="false">IF($A373="","",INDEX(c_Email,$A373)&amp;"")</f>
        <v>willynnsoh@synergy.com.sg</v>
      </c>
      <c r="F373" s="36" t="str">
        <f aca="false">IF($A373="","",INDEX(c_Met,$A373)&amp;"")</f>
        <v>No</v>
      </c>
      <c r="G373" s="26" t="str">
        <f aca="false">IF($A373="","",IF(INDEX(c_Date,$A373)="","",INDEX(c_Date,$A373)))</f>
        <v/>
      </c>
      <c r="H373" s="35" t="str">
        <f aca="false">IF($A373="","",IF(INDEX(c_Days,$A373)="","",INDEX(c_Days,$A373)))</f>
        <v/>
      </c>
      <c r="I373" s="41" t="n">
        <f aca="false">IF($A373="","",IF(INDEX(c_Mtgs,$A373)="","",INDEX(c_Mtgs,$A373)))</f>
        <v>0</v>
      </c>
      <c r="J373" s="15" t="str">
        <f aca="false">IF($A373="","",INDEX(c_EvtNames,$A373)&amp;"")</f>
        <v/>
      </c>
      <c r="K373" s="36" t="str">
        <f aca="false">IF($A373="","",INDEX(c_Invested,$A373)&amp;"")</f>
        <v>No</v>
      </c>
      <c r="L373" s="16" t="str">
        <f aca="false">IF($A373="","",IF(INDEX(c_AUM,$A373)="","",INDEX(c_AUM,$A373)))</f>
        <v/>
      </c>
      <c r="M373" s="15" t="str">
        <f aca="false">IF($A373="","",INDEX(c_Source,$A373)&amp;"")</f>
        <v>Meeting List + Branch Directors</v>
      </c>
      <c r="N373" s="15" t="str">
        <f aca="false">IF($A373="","",INDEX(c_Notes,$A373)&amp;"")</f>
        <v>Branch: Steadius</v>
      </c>
    </row>
    <row r="374" customFormat="false" ht="15" hidden="false" customHeight="false" outlineLevel="0" collapsed="false">
      <c r="A374" s="32" t="n">
        <f aca="false">IFERROR(MATCH(ROW()-5,c_Seq,0),"")</f>
        <v>369</v>
      </c>
      <c r="B374" s="11" t="str">
        <f aca="false">IF($A374="","",INDEX(c_Name,$A374)&amp;"")</f>
        <v>Yvonne Seow</v>
      </c>
      <c r="C374" s="11" t="str">
        <f aca="false">IF($A374="","",INDEX(c_Firm,$A374)&amp;"")</f>
        <v>Synergy</v>
      </c>
      <c r="D374" s="11" t="str">
        <f aca="false">IF($A374="","",INDEX(c_Type,$A374)&amp;"")</f>
        <v>Adviser</v>
      </c>
      <c r="E374" s="11" t="str">
        <f aca="false">IF($A374="","",INDEX(c_Email,$A374)&amp;"")</f>
        <v>yvonne@synergy.com.sg</v>
      </c>
      <c r="F374" s="34" t="str">
        <f aca="false">IF($A374="","",INDEX(c_Met,$A374)&amp;"")</f>
        <v>No</v>
      </c>
      <c r="G374" s="25" t="str">
        <f aca="false">IF($A374="","",IF(INDEX(c_Date,$A374)="","",INDEX(c_Date,$A374)))</f>
        <v/>
      </c>
      <c r="H374" s="33" t="str">
        <f aca="false">IF($A374="","",IF(INDEX(c_Days,$A374)="","",INDEX(c_Days,$A374)))</f>
        <v/>
      </c>
      <c r="I374" s="40" t="n">
        <f aca="false">IF($A374="","",IF(INDEX(c_Mtgs,$A374)="","",INDEX(c_Mtgs,$A374)))</f>
        <v>0</v>
      </c>
      <c r="J374" s="11" t="str">
        <f aca="false">IF($A374="","",INDEX(c_EvtNames,$A374)&amp;"")</f>
        <v/>
      </c>
      <c r="K374" s="34" t="str">
        <f aca="false">IF($A374="","",INDEX(c_Invested,$A374)&amp;"")</f>
        <v>No</v>
      </c>
      <c r="L374" s="12" t="n">
        <f aca="false">IF($A374="","",IF(INDEX(c_AUM,$A374)="","",INDEX(c_AUM,$A374)))</f>
        <v>5000000</v>
      </c>
      <c r="M374" s="11" t="str">
        <f aca="false">IF($A374="","",INDEX(c_Source,$A374)&amp;"")</f>
        <v>Meeting List + ILP Data + Branch Directors</v>
      </c>
      <c r="N374" s="11" t="str">
        <f aca="false">IF($A374="","",INDEX(c_Notes,$A374)&amp;"")</f>
        <v>May-26: not available; Branch: Aces</v>
      </c>
    </row>
    <row r="375" customFormat="false" ht="15" hidden="false" customHeight="false" outlineLevel="0" collapsed="false">
      <c r="A375" s="32" t="str">
        <f aca="false">IFERROR(MATCH(ROW()-5,c_Seq,0),"")</f>
        <v/>
      </c>
      <c r="B375" s="15" t="str">
        <f aca="false">IF($A375="","",INDEX(c_Name,$A375)&amp;"")</f>
        <v/>
      </c>
      <c r="C375" s="15" t="str">
        <f aca="false">IF($A375="","",INDEX(c_Firm,$A375)&amp;"")</f>
        <v/>
      </c>
      <c r="D375" s="15" t="str">
        <f aca="false">IF($A375="","",INDEX(c_Type,$A375)&amp;"")</f>
        <v/>
      </c>
      <c r="E375" s="15" t="str">
        <f aca="false">IF($A375="","",INDEX(c_Email,$A375)&amp;"")</f>
        <v/>
      </c>
      <c r="F375" s="36" t="str">
        <f aca="false">IF($A375="","",INDEX(c_Met,$A375)&amp;"")</f>
        <v/>
      </c>
      <c r="G375" s="26" t="str">
        <f aca="false">IF($A375="","",IF(INDEX(c_Date,$A375)="","",INDEX(c_Date,$A375)))</f>
        <v/>
      </c>
      <c r="H375" s="35" t="str">
        <f aca="false">IF($A375="","",IF(INDEX(c_Days,$A375)="","",INDEX(c_Days,$A375)))</f>
        <v/>
      </c>
      <c r="I375" s="41" t="str">
        <f aca="false">IF($A375="","",IF(INDEX(c_Mtgs,$A375)="","",INDEX(c_Mtgs,$A375)))</f>
        <v/>
      </c>
      <c r="J375" s="15" t="str">
        <f aca="false">IF($A375="","",INDEX(c_EvtNames,$A375)&amp;"")</f>
        <v/>
      </c>
      <c r="K375" s="36" t="str">
        <f aca="false">IF($A375="","",INDEX(c_Invested,$A375)&amp;"")</f>
        <v/>
      </c>
      <c r="L375" s="16" t="str">
        <f aca="false">IF($A375="","",IF(INDEX(c_AUM,$A375)="","",INDEX(c_AUM,$A375)))</f>
        <v/>
      </c>
      <c r="M375" s="15" t="str">
        <f aca="false">IF($A375="","",INDEX(c_Source,$A375)&amp;"")</f>
        <v/>
      </c>
      <c r="N375" s="15" t="str">
        <f aca="false">IF($A375="","",INDEX(c_Notes,$A375)&amp;"")</f>
        <v/>
      </c>
    </row>
    <row r="376" customFormat="false" ht="15" hidden="false" customHeight="false" outlineLevel="0" collapsed="false">
      <c r="A376" s="32" t="str">
        <f aca="false">IFERROR(MATCH(ROW()-5,c_Seq,0),"")</f>
        <v/>
      </c>
      <c r="B376" s="11" t="str">
        <f aca="false">IF($A376="","",INDEX(c_Name,$A376)&amp;"")</f>
        <v/>
      </c>
      <c r="C376" s="11" t="str">
        <f aca="false">IF($A376="","",INDEX(c_Firm,$A376)&amp;"")</f>
        <v/>
      </c>
      <c r="D376" s="11" t="str">
        <f aca="false">IF($A376="","",INDEX(c_Type,$A376)&amp;"")</f>
        <v/>
      </c>
      <c r="E376" s="11" t="str">
        <f aca="false">IF($A376="","",INDEX(c_Email,$A376)&amp;"")</f>
        <v/>
      </c>
      <c r="F376" s="34" t="str">
        <f aca="false">IF($A376="","",INDEX(c_Met,$A376)&amp;"")</f>
        <v/>
      </c>
      <c r="G376" s="25" t="str">
        <f aca="false">IF($A376="","",IF(INDEX(c_Date,$A376)="","",INDEX(c_Date,$A376)))</f>
        <v/>
      </c>
      <c r="H376" s="33" t="str">
        <f aca="false">IF($A376="","",IF(INDEX(c_Days,$A376)="","",INDEX(c_Days,$A376)))</f>
        <v/>
      </c>
      <c r="I376" s="40" t="str">
        <f aca="false">IF($A376="","",IF(INDEX(c_Mtgs,$A376)="","",INDEX(c_Mtgs,$A376)))</f>
        <v/>
      </c>
      <c r="J376" s="11" t="str">
        <f aca="false">IF($A376="","",INDEX(c_EvtNames,$A376)&amp;"")</f>
        <v/>
      </c>
      <c r="K376" s="34" t="str">
        <f aca="false">IF($A376="","",INDEX(c_Invested,$A376)&amp;"")</f>
        <v/>
      </c>
      <c r="L376" s="12" t="str">
        <f aca="false">IF($A376="","",IF(INDEX(c_AUM,$A376)="","",INDEX(c_AUM,$A376)))</f>
        <v/>
      </c>
      <c r="M376" s="11" t="str">
        <f aca="false">IF($A376="","",INDEX(c_Source,$A376)&amp;"")</f>
        <v/>
      </c>
      <c r="N376" s="11" t="str">
        <f aca="false">IF($A376="","",INDEX(c_Notes,$A376)&amp;"")</f>
        <v/>
      </c>
    </row>
    <row r="377" customFormat="false" ht="15" hidden="false" customHeight="false" outlineLevel="0" collapsed="false">
      <c r="A377" s="32" t="str">
        <f aca="false">IFERROR(MATCH(ROW()-5,c_Seq,0),"")</f>
        <v/>
      </c>
      <c r="B377" s="15" t="str">
        <f aca="false">IF($A377="","",INDEX(c_Name,$A377)&amp;"")</f>
        <v/>
      </c>
      <c r="C377" s="15" t="str">
        <f aca="false">IF($A377="","",INDEX(c_Firm,$A377)&amp;"")</f>
        <v/>
      </c>
      <c r="D377" s="15" t="str">
        <f aca="false">IF($A377="","",INDEX(c_Type,$A377)&amp;"")</f>
        <v/>
      </c>
      <c r="E377" s="15" t="str">
        <f aca="false">IF($A377="","",INDEX(c_Email,$A377)&amp;"")</f>
        <v/>
      </c>
      <c r="F377" s="36" t="str">
        <f aca="false">IF($A377="","",INDEX(c_Met,$A377)&amp;"")</f>
        <v/>
      </c>
      <c r="G377" s="26" t="str">
        <f aca="false">IF($A377="","",IF(INDEX(c_Date,$A377)="","",INDEX(c_Date,$A377)))</f>
        <v/>
      </c>
      <c r="H377" s="35" t="str">
        <f aca="false">IF($A377="","",IF(INDEX(c_Days,$A377)="","",INDEX(c_Days,$A377)))</f>
        <v/>
      </c>
      <c r="I377" s="41" t="str">
        <f aca="false">IF($A377="","",IF(INDEX(c_Mtgs,$A377)="","",INDEX(c_Mtgs,$A377)))</f>
        <v/>
      </c>
      <c r="J377" s="15" t="str">
        <f aca="false">IF($A377="","",INDEX(c_EvtNames,$A377)&amp;"")</f>
        <v/>
      </c>
      <c r="K377" s="36" t="str">
        <f aca="false">IF($A377="","",INDEX(c_Invested,$A377)&amp;"")</f>
        <v/>
      </c>
      <c r="L377" s="16" t="str">
        <f aca="false">IF($A377="","",IF(INDEX(c_AUM,$A377)="","",INDEX(c_AUM,$A377)))</f>
        <v/>
      </c>
      <c r="M377" s="15" t="str">
        <f aca="false">IF($A377="","",INDEX(c_Source,$A377)&amp;"")</f>
        <v/>
      </c>
      <c r="N377" s="15" t="str">
        <f aca="false">IF($A377="","",INDEX(c_Notes,$A377)&amp;"")</f>
        <v/>
      </c>
    </row>
    <row r="378" customFormat="false" ht="15" hidden="false" customHeight="false" outlineLevel="0" collapsed="false">
      <c r="A378" s="32" t="str">
        <f aca="false">IFERROR(MATCH(ROW()-5,c_Seq,0),"")</f>
        <v/>
      </c>
      <c r="B378" s="11" t="str">
        <f aca="false">IF($A378="","",INDEX(c_Name,$A378)&amp;"")</f>
        <v/>
      </c>
      <c r="C378" s="11" t="str">
        <f aca="false">IF($A378="","",INDEX(c_Firm,$A378)&amp;"")</f>
        <v/>
      </c>
      <c r="D378" s="11" t="str">
        <f aca="false">IF($A378="","",INDEX(c_Type,$A378)&amp;"")</f>
        <v/>
      </c>
      <c r="E378" s="11" t="str">
        <f aca="false">IF($A378="","",INDEX(c_Email,$A378)&amp;"")</f>
        <v/>
      </c>
      <c r="F378" s="34" t="str">
        <f aca="false">IF($A378="","",INDEX(c_Met,$A378)&amp;"")</f>
        <v/>
      </c>
      <c r="G378" s="25" t="str">
        <f aca="false">IF($A378="","",IF(INDEX(c_Date,$A378)="","",INDEX(c_Date,$A378)))</f>
        <v/>
      </c>
      <c r="H378" s="33" t="str">
        <f aca="false">IF($A378="","",IF(INDEX(c_Days,$A378)="","",INDEX(c_Days,$A378)))</f>
        <v/>
      </c>
      <c r="I378" s="40" t="str">
        <f aca="false">IF($A378="","",IF(INDEX(c_Mtgs,$A378)="","",INDEX(c_Mtgs,$A378)))</f>
        <v/>
      </c>
      <c r="J378" s="11" t="str">
        <f aca="false">IF($A378="","",INDEX(c_EvtNames,$A378)&amp;"")</f>
        <v/>
      </c>
      <c r="K378" s="34" t="str">
        <f aca="false">IF($A378="","",INDEX(c_Invested,$A378)&amp;"")</f>
        <v/>
      </c>
      <c r="L378" s="12" t="str">
        <f aca="false">IF($A378="","",IF(INDEX(c_AUM,$A378)="","",INDEX(c_AUM,$A378)))</f>
        <v/>
      </c>
      <c r="M378" s="11" t="str">
        <f aca="false">IF($A378="","",INDEX(c_Source,$A378)&amp;"")</f>
        <v/>
      </c>
      <c r="N378" s="11" t="str">
        <f aca="false">IF($A378="","",INDEX(c_Notes,$A378)&amp;"")</f>
        <v/>
      </c>
    </row>
    <row r="379" customFormat="false" ht="15" hidden="false" customHeight="false" outlineLevel="0" collapsed="false">
      <c r="A379" s="32" t="str">
        <f aca="false">IFERROR(MATCH(ROW()-5,c_Seq,0),"")</f>
        <v/>
      </c>
      <c r="B379" s="15" t="str">
        <f aca="false">IF($A379="","",INDEX(c_Name,$A379)&amp;"")</f>
        <v/>
      </c>
      <c r="C379" s="15" t="str">
        <f aca="false">IF($A379="","",INDEX(c_Firm,$A379)&amp;"")</f>
        <v/>
      </c>
      <c r="D379" s="15" t="str">
        <f aca="false">IF($A379="","",INDEX(c_Type,$A379)&amp;"")</f>
        <v/>
      </c>
      <c r="E379" s="15" t="str">
        <f aca="false">IF($A379="","",INDEX(c_Email,$A379)&amp;"")</f>
        <v/>
      </c>
      <c r="F379" s="36" t="str">
        <f aca="false">IF($A379="","",INDEX(c_Met,$A379)&amp;"")</f>
        <v/>
      </c>
      <c r="G379" s="26" t="str">
        <f aca="false">IF($A379="","",IF(INDEX(c_Date,$A379)="","",INDEX(c_Date,$A379)))</f>
        <v/>
      </c>
      <c r="H379" s="35" t="str">
        <f aca="false">IF($A379="","",IF(INDEX(c_Days,$A379)="","",INDEX(c_Days,$A379)))</f>
        <v/>
      </c>
      <c r="I379" s="41" t="str">
        <f aca="false">IF($A379="","",IF(INDEX(c_Mtgs,$A379)="","",INDEX(c_Mtgs,$A379)))</f>
        <v/>
      </c>
      <c r="J379" s="15" t="str">
        <f aca="false">IF($A379="","",INDEX(c_EvtNames,$A379)&amp;"")</f>
        <v/>
      </c>
      <c r="K379" s="36" t="str">
        <f aca="false">IF($A379="","",INDEX(c_Invested,$A379)&amp;"")</f>
        <v/>
      </c>
      <c r="L379" s="16" t="str">
        <f aca="false">IF($A379="","",IF(INDEX(c_AUM,$A379)="","",INDEX(c_AUM,$A379)))</f>
        <v/>
      </c>
      <c r="M379" s="15" t="str">
        <f aca="false">IF($A379="","",INDEX(c_Source,$A379)&amp;"")</f>
        <v/>
      </c>
      <c r="N379" s="15" t="str">
        <f aca="false">IF($A379="","",INDEX(c_Notes,$A379)&amp;"")</f>
        <v/>
      </c>
    </row>
    <row r="380" customFormat="false" ht="15" hidden="false" customHeight="false" outlineLevel="0" collapsed="false">
      <c r="A380" s="32" t="str">
        <f aca="false">IFERROR(MATCH(ROW()-5,c_Seq,0),"")</f>
        <v/>
      </c>
      <c r="B380" s="11" t="str">
        <f aca="false">IF($A380="","",INDEX(c_Name,$A380)&amp;"")</f>
        <v/>
      </c>
      <c r="C380" s="11" t="str">
        <f aca="false">IF($A380="","",INDEX(c_Firm,$A380)&amp;"")</f>
        <v/>
      </c>
      <c r="D380" s="11" t="str">
        <f aca="false">IF($A380="","",INDEX(c_Type,$A380)&amp;"")</f>
        <v/>
      </c>
      <c r="E380" s="11" t="str">
        <f aca="false">IF($A380="","",INDEX(c_Email,$A380)&amp;"")</f>
        <v/>
      </c>
      <c r="F380" s="34" t="str">
        <f aca="false">IF($A380="","",INDEX(c_Met,$A380)&amp;"")</f>
        <v/>
      </c>
      <c r="G380" s="25" t="str">
        <f aca="false">IF($A380="","",IF(INDEX(c_Date,$A380)="","",INDEX(c_Date,$A380)))</f>
        <v/>
      </c>
      <c r="H380" s="33" t="str">
        <f aca="false">IF($A380="","",IF(INDEX(c_Days,$A380)="","",INDEX(c_Days,$A380)))</f>
        <v/>
      </c>
      <c r="I380" s="40" t="str">
        <f aca="false">IF($A380="","",IF(INDEX(c_Mtgs,$A380)="","",INDEX(c_Mtgs,$A380)))</f>
        <v/>
      </c>
      <c r="J380" s="11" t="str">
        <f aca="false">IF($A380="","",INDEX(c_EvtNames,$A380)&amp;"")</f>
        <v/>
      </c>
      <c r="K380" s="34" t="str">
        <f aca="false">IF($A380="","",INDEX(c_Invested,$A380)&amp;"")</f>
        <v/>
      </c>
      <c r="L380" s="12" t="str">
        <f aca="false">IF($A380="","",IF(INDEX(c_AUM,$A380)="","",INDEX(c_AUM,$A380)))</f>
        <v/>
      </c>
      <c r="M380" s="11" t="str">
        <f aca="false">IF($A380="","",INDEX(c_Source,$A380)&amp;"")</f>
        <v/>
      </c>
      <c r="N380" s="11" t="str">
        <f aca="false">IF($A380="","",INDEX(c_Notes,$A380)&amp;"")</f>
        <v/>
      </c>
    </row>
    <row r="381" customFormat="false" ht="15" hidden="false" customHeight="false" outlineLevel="0" collapsed="false">
      <c r="A381" s="32" t="str">
        <f aca="false">IFERROR(MATCH(ROW()-5,c_Seq,0),"")</f>
        <v/>
      </c>
      <c r="B381" s="15" t="str">
        <f aca="false">IF($A381="","",INDEX(c_Name,$A381)&amp;"")</f>
        <v/>
      </c>
      <c r="C381" s="15" t="str">
        <f aca="false">IF($A381="","",INDEX(c_Firm,$A381)&amp;"")</f>
        <v/>
      </c>
      <c r="D381" s="15" t="str">
        <f aca="false">IF($A381="","",INDEX(c_Type,$A381)&amp;"")</f>
        <v/>
      </c>
      <c r="E381" s="15" t="str">
        <f aca="false">IF($A381="","",INDEX(c_Email,$A381)&amp;"")</f>
        <v/>
      </c>
      <c r="F381" s="36" t="str">
        <f aca="false">IF($A381="","",INDEX(c_Met,$A381)&amp;"")</f>
        <v/>
      </c>
      <c r="G381" s="26" t="str">
        <f aca="false">IF($A381="","",IF(INDEX(c_Date,$A381)="","",INDEX(c_Date,$A381)))</f>
        <v/>
      </c>
      <c r="H381" s="35" t="str">
        <f aca="false">IF($A381="","",IF(INDEX(c_Days,$A381)="","",INDEX(c_Days,$A381)))</f>
        <v/>
      </c>
      <c r="I381" s="41" t="str">
        <f aca="false">IF($A381="","",IF(INDEX(c_Mtgs,$A381)="","",INDEX(c_Mtgs,$A381)))</f>
        <v/>
      </c>
      <c r="J381" s="15" t="str">
        <f aca="false">IF($A381="","",INDEX(c_EvtNames,$A381)&amp;"")</f>
        <v/>
      </c>
      <c r="K381" s="36" t="str">
        <f aca="false">IF($A381="","",INDEX(c_Invested,$A381)&amp;"")</f>
        <v/>
      </c>
      <c r="L381" s="16" t="str">
        <f aca="false">IF($A381="","",IF(INDEX(c_AUM,$A381)="","",INDEX(c_AUM,$A381)))</f>
        <v/>
      </c>
      <c r="M381" s="15" t="str">
        <f aca="false">IF($A381="","",INDEX(c_Source,$A381)&amp;"")</f>
        <v/>
      </c>
      <c r="N381" s="15" t="str">
        <f aca="false">IF($A381="","",INDEX(c_Notes,$A381)&amp;"")</f>
        <v/>
      </c>
    </row>
    <row r="382" customFormat="false" ht="15" hidden="false" customHeight="false" outlineLevel="0" collapsed="false">
      <c r="A382" s="32" t="str">
        <f aca="false">IFERROR(MATCH(ROW()-5,c_Seq,0),"")</f>
        <v/>
      </c>
      <c r="B382" s="11" t="str">
        <f aca="false">IF($A382="","",INDEX(c_Name,$A382)&amp;"")</f>
        <v/>
      </c>
      <c r="C382" s="11" t="str">
        <f aca="false">IF($A382="","",INDEX(c_Firm,$A382)&amp;"")</f>
        <v/>
      </c>
      <c r="D382" s="11" t="str">
        <f aca="false">IF($A382="","",INDEX(c_Type,$A382)&amp;"")</f>
        <v/>
      </c>
      <c r="E382" s="11" t="str">
        <f aca="false">IF($A382="","",INDEX(c_Email,$A382)&amp;"")</f>
        <v/>
      </c>
      <c r="F382" s="34" t="str">
        <f aca="false">IF($A382="","",INDEX(c_Met,$A382)&amp;"")</f>
        <v/>
      </c>
      <c r="G382" s="25" t="str">
        <f aca="false">IF($A382="","",IF(INDEX(c_Date,$A382)="","",INDEX(c_Date,$A382)))</f>
        <v/>
      </c>
      <c r="H382" s="33" t="str">
        <f aca="false">IF($A382="","",IF(INDEX(c_Days,$A382)="","",INDEX(c_Days,$A382)))</f>
        <v/>
      </c>
      <c r="I382" s="40" t="str">
        <f aca="false">IF($A382="","",IF(INDEX(c_Mtgs,$A382)="","",INDEX(c_Mtgs,$A382)))</f>
        <v/>
      </c>
      <c r="J382" s="11" t="str">
        <f aca="false">IF($A382="","",INDEX(c_EvtNames,$A382)&amp;"")</f>
        <v/>
      </c>
      <c r="K382" s="34" t="str">
        <f aca="false">IF($A382="","",INDEX(c_Invested,$A382)&amp;"")</f>
        <v/>
      </c>
      <c r="L382" s="12" t="str">
        <f aca="false">IF($A382="","",IF(INDEX(c_AUM,$A382)="","",INDEX(c_AUM,$A382)))</f>
        <v/>
      </c>
      <c r="M382" s="11" t="str">
        <f aca="false">IF($A382="","",INDEX(c_Source,$A382)&amp;"")</f>
        <v/>
      </c>
      <c r="N382" s="11" t="str">
        <f aca="false">IF($A382="","",INDEX(c_Notes,$A382)&amp;"")</f>
        <v/>
      </c>
    </row>
    <row r="383" customFormat="false" ht="15" hidden="false" customHeight="false" outlineLevel="0" collapsed="false">
      <c r="A383" s="32" t="str">
        <f aca="false">IFERROR(MATCH(ROW()-5,c_Seq,0),"")</f>
        <v/>
      </c>
      <c r="B383" s="15" t="str">
        <f aca="false">IF($A383="","",INDEX(c_Name,$A383)&amp;"")</f>
        <v/>
      </c>
      <c r="C383" s="15" t="str">
        <f aca="false">IF($A383="","",INDEX(c_Firm,$A383)&amp;"")</f>
        <v/>
      </c>
      <c r="D383" s="15" t="str">
        <f aca="false">IF($A383="","",INDEX(c_Type,$A383)&amp;"")</f>
        <v/>
      </c>
      <c r="E383" s="15" t="str">
        <f aca="false">IF($A383="","",INDEX(c_Email,$A383)&amp;"")</f>
        <v/>
      </c>
      <c r="F383" s="36" t="str">
        <f aca="false">IF($A383="","",INDEX(c_Met,$A383)&amp;"")</f>
        <v/>
      </c>
      <c r="G383" s="26" t="str">
        <f aca="false">IF($A383="","",IF(INDEX(c_Date,$A383)="","",INDEX(c_Date,$A383)))</f>
        <v/>
      </c>
      <c r="H383" s="35" t="str">
        <f aca="false">IF($A383="","",IF(INDEX(c_Days,$A383)="","",INDEX(c_Days,$A383)))</f>
        <v/>
      </c>
      <c r="I383" s="41" t="str">
        <f aca="false">IF($A383="","",IF(INDEX(c_Mtgs,$A383)="","",INDEX(c_Mtgs,$A383)))</f>
        <v/>
      </c>
      <c r="J383" s="15" t="str">
        <f aca="false">IF($A383="","",INDEX(c_EvtNames,$A383)&amp;"")</f>
        <v/>
      </c>
      <c r="K383" s="36" t="str">
        <f aca="false">IF($A383="","",INDEX(c_Invested,$A383)&amp;"")</f>
        <v/>
      </c>
      <c r="L383" s="16" t="str">
        <f aca="false">IF($A383="","",IF(INDEX(c_AUM,$A383)="","",INDEX(c_AUM,$A383)))</f>
        <v/>
      </c>
      <c r="M383" s="15" t="str">
        <f aca="false">IF($A383="","",INDEX(c_Source,$A383)&amp;"")</f>
        <v/>
      </c>
      <c r="N383" s="15" t="str">
        <f aca="false">IF($A383="","",INDEX(c_Notes,$A383)&amp;"")</f>
        <v/>
      </c>
    </row>
    <row r="384" customFormat="false" ht="15" hidden="false" customHeight="false" outlineLevel="0" collapsed="false">
      <c r="A384" s="32" t="str">
        <f aca="false">IFERROR(MATCH(ROW()-5,c_Seq,0),"")</f>
        <v/>
      </c>
      <c r="B384" s="11" t="str">
        <f aca="false">IF($A384="","",INDEX(c_Name,$A384)&amp;"")</f>
        <v/>
      </c>
      <c r="C384" s="11" t="str">
        <f aca="false">IF($A384="","",INDEX(c_Firm,$A384)&amp;"")</f>
        <v/>
      </c>
      <c r="D384" s="11" t="str">
        <f aca="false">IF($A384="","",INDEX(c_Type,$A384)&amp;"")</f>
        <v/>
      </c>
      <c r="E384" s="11" t="str">
        <f aca="false">IF($A384="","",INDEX(c_Email,$A384)&amp;"")</f>
        <v/>
      </c>
      <c r="F384" s="34" t="str">
        <f aca="false">IF($A384="","",INDEX(c_Met,$A384)&amp;"")</f>
        <v/>
      </c>
      <c r="G384" s="25" t="str">
        <f aca="false">IF($A384="","",IF(INDEX(c_Date,$A384)="","",INDEX(c_Date,$A384)))</f>
        <v/>
      </c>
      <c r="H384" s="33" t="str">
        <f aca="false">IF($A384="","",IF(INDEX(c_Days,$A384)="","",INDEX(c_Days,$A384)))</f>
        <v/>
      </c>
      <c r="I384" s="40" t="str">
        <f aca="false">IF($A384="","",IF(INDEX(c_Mtgs,$A384)="","",INDEX(c_Mtgs,$A384)))</f>
        <v/>
      </c>
      <c r="J384" s="11" t="str">
        <f aca="false">IF($A384="","",INDEX(c_EvtNames,$A384)&amp;"")</f>
        <v/>
      </c>
      <c r="K384" s="34" t="str">
        <f aca="false">IF($A384="","",INDEX(c_Invested,$A384)&amp;"")</f>
        <v/>
      </c>
      <c r="L384" s="12" t="str">
        <f aca="false">IF($A384="","",IF(INDEX(c_AUM,$A384)="","",INDEX(c_AUM,$A384)))</f>
        <v/>
      </c>
      <c r="M384" s="11" t="str">
        <f aca="false">IF($A384="","",INDEX(c_Source,$A384)&amp;"")</f>
        <v/>
      </c>
      <c r="N384" s="11" t="str">
        <f aca="false">IF($A384="","",INDEX(c_Notes,$A384)&amp;"")</f>
        <v/>
      </c>
    </row>
    <row r="385" customFormat="false" ht="15" hidden="false" customHeight="false" outlineLevel="0" collapsed="false">
      <c r="A385" s="32" t="str">
        <f aca="false">IFERROR(MATCH(ROW()-5,c_Seq,0),"")</f>
        <v/>
      </c>
      <c r="B385" s="15" t="str">
        <f aca="false">IF($A385="","",INDEX(c_Name,$A385)&amp;"")</f>
        <v/>
      </c>
      <c r="C385" s="15" t="str">
        <f aca="false">IF($A385="","",INDEX(c_Firm,$A385)&amp;"")</f>
        <v/>
      </c>
      <c r="D385" s="15" t="str">
        <f aca="false">IF($A385="","",INDEX(c_Type,$A385)&amp;"")</f>
        <v/>
      </c>
      <c r="E385" s="15" t="str">
        <f aca="false">IF($A385="","",INDEX(c_Email,$A385)&amp;"")</f>
        <v/>
      </c>
      <c r="F385" s="36" t="str">
        <f aca="false">IF($A385="","",INDEX(c_Met,$A385)&amp;"")</f>
        <v/>
      </c>
      <c r="G385" s="26" t="str">
        <f aca="false">IF($A385="","",IF(INDEX(c_Date,$A385)="","",INDEX(c_Date,$A385)))</f>
        <v/>
      </c>
      <c r="H385" s="35" t="str">
        <f aca="false">IF($A385="","",IF(INDEX(c_Days,$A385)="","",INDEX(c_Days,$A385)))</f>
        <v/>
      </c>
      <c r="I385" s="41" t="str">
        <f aca="false">IF($A385="","",IF(INDEX(c_Mtgs,$A385)="","",INDEX(c_Mtgs,$A385)))</f>
        <v/>
      </c>
      <c r="J385" s="15" t="str">
        <f aca="false">IF($A385="","",INDEX(c_EvtNames,$A385)&amp;"")</f>
        <v/>
      </c>
      <c r="K385" s="36" t="str">
        <f aca="false">IF($A385="","",INDEX(c_Invested,$A385)&amp;"")</f>
        <v/>
      </c>
      <c r="L385" s="16" t="str">
        <f aca="false">IF($A385="","",IF(INDEX(c_AUM,$A385)="","",INDEX(c_AUM,$A385)))</f>
        <v/>
      </c>
      <c r="M385" s="15" t="str">
        <f aca="false">IF($A385="","",INDEX(c_Source,$A385)&amp;"")</f>
        <v/>
      </c>
      <c r="N385" s="15" t="str">
        <f aca="false">IF($A385="","",INDEX(c_Notes,$A385)&amp;"")</f>
        <v/>
      </c>
    </row>
    <row r="386" customFormat="false" ht="15" hidden="false" customHeight="false" outlineLevel="0" collapsed="false">
      <c r="A386" s="32" t="str">
        <f aca="false">IFERROR(MATCH(ROW()-5,c_Seq,0),"")</f>
        <v/>
      </c>
      <c r="B386" s="11" t="str">
        <f aca="false">IF($A386="","",INDEX(c_Name,$A386)&amp;"")</f>
        <v/>
      </c>
      <c r="C386" s="11" t="str">
        <f aca="false">IF($A386="","",INDEX(c_Firm,$A386)&amp;"")</f>
        <v/>
      </c>
      <c r="D386" s="11" t="str">
        <f aca="false">IF($A386="","",INDEX(c_Type,$A386)&amp;"")</f>
        <v/>
      </c>
      <c r="E386" s="11" t="str">
        <f aca="false">IF($A386="","",INDEX(c_Email,$A386)&amp;"")</f>
        <v/>
      </c>
      <c r="F386" s="34" t="str">
        <f aca="false">IF($A386="","",INDEX(c_Met,$A386)&amp;"")</f>
        <v/>
      </c>
      <c r="G386" s="25" t="str">
        <f aca="false">IF($A386="","",IF(INDEX(c_Date,$A386)="","",INDEX(c_Date,$A386)))</f>
        <v/>
      </c>
      <c r="H386" s="33" t="str">
        <f aca="false">IF($A386="","",IF(INDEX(c_Days,$A386)="","",INDEX(c_Days,$A386)))</f>
        <v/>
      </c>
      <c r="I386" s="40" t="str">
        <f aca="false">IF($A386="","",IF(INDEX(c_Mtgs,$A386)="","",INDEX(c_Mtgs,$A386)))</f>
        <v/>
      </c>
      <c r="J386" s="11" t="str">
        <f aca="false">IF($A386="","",INDEX(c_EvtNames,$A386)&amp;"")</f>
        <v/>
      </c>
      <c r="K386" s="34" t="str">
        <f aca="false">IF($A386="","",INDEX(c_Invested,$A386)&amp;"")</f>
        <v/>
      </c>
      <c r="L386" s="12" t="str">
        <f aca="false">IF($A386="","",IF(INDEX(c_AUM,$A386)="","",INDEX(c_AUM,$A386)))</f>
        <v/>
      </c>
      <c r="M386" s="11" t="str">
        <f aca="false">IF($A386="","",INDEX(c_Source,$A386)&amp;"")</f>
        <v/>
      </c>
      <c r="N386" s="11" t="str">
        <f aca="false">IF($A386="","",INDEX(c_Notes,$A386)&amp;"")</f>
        <v/>
      </c>
    </row>
    <row r="387" customFormat="false" ht="15" hidden="false" customHeight="false" outlineLevel="0" collapsed="false">
      <c r="A387" s="32" t="str">
        <f aca="false">IFERROR(MATCH(ROW()-5,c_Seq,0),"")</f>
        <v/>
      </c>
      <c r="B387" s="15" t="str">
        <f aca="false">IF($A387="","",INDEX(c_Name,$A387)&amp;"")</f>
        <v/>
      </c>
      <c r="C387" s="15" t="str">
        <f aca="false">IF($A387="","",INDEX(c_Firm,$A387)&amp;"")</f>
        <v/>
      </c>
      <c r="D387" s="15" t="str">
        <f aca="false">IF($A387="","",INDEX(c_Type,$A387)&amp;"")</f>
        <v/>
      </c>
      <c r="E387" s="15" t="str">
        <f aca="false">IF($A387="","",INDEX(c_Email,$A387)&amp;"")</f>
        <v/>
      </c>
      <c r="F387" s="36" t="str">
        <f aca="false">IF($A387="","",INDEX(c_Met,$A387)&amp;"")</f>
        <v/>
      </c>
      <c r="G387" s="26" t="str">
        <f aca="false">IF($A387="","",IF(INDEX(c_Date,$A387)="","",INDEX(c_Date,$A387)))</f>
        <v/>
      </c>
      <c r="H387" s="35" t="str">
        <f aca="false">IF($A387="","",IF(INDEX(c_Days,$A387)="","",INDEX(c_Days,$A387)))</f>
        <v/>
      </c>
      <c r="I387" s="41" t="str">
        <f aca="false">IF($A387="","",IF(INDEX(c_Mtgs,$A387)="","",INDEX(c_Mtgs,$A387)))</f>
        <v/>
      </c>
      <c r="J387" s="15" t="str">
        <f aca="false">IF($A387="","",INDEX(c_EvtNames,$A387)&amp;"")</f>
        <v/>
      </c>
      <c r="K387" s="36" t="str">
        <f aca="false">IF($A387="","",INDEX(c_Invested,$A387)&amp;"")</f>
        <v/>
      </c>
      <c r="L387" s="16" t="str">
        <f aca="false">IF($A387="","",IF(INDEX(c_AUM,$A387)="","",INDEX(c_AUM,$A387)))</f>
        <v/>
      </c>
      <c r="M387" s="15" t="str">
        <f aca="false">IF($A387="","",INDEX(c_Source,$A387)&amp;"")</f>
        <v/>
      </c>
      <c r="N387" s="15" t="str">
        <f aca="false">IF($A387="","",INDEX(c_Notes,$A387)&amp;"")</f>
        <v/>
      </c>
    </row>
    <row r="388" customFormat="false" ht="15" hidden="false" customHeight="false" outlineLevel="0" collapsed="false">
      <c r="A388" s="32" t="str">
        <f aca="false">IFERROR(MATCH(ROW()-5,c_Seq,0),"")</f>
        <v/>
      </c>
      <c r="B388" s="11" t="str">
        <f aca="false">IF($A388="","",INDEX(c_Name,$A388)&amp;"")</f>
        <v/>
      </c>
      <c r="C388" s="11" t="str">
        <f aca="false">IF($A388="","",INDEX(c_Firm,$A388)&amp;"")</f>
        <v/>
      </c>
      <c r="D388" s="11" t="str">
        <f aca="false">IF($A388="","",INDEX(c_Type,$A388)&amp;"")</f>
        <v/>
      </c>
      <c r="E388" s="11" t="str">
        <f aca="false">IF($A388="","",INDEX(c_Email,$A388)&amp;"")</f>
        <v/>
      </c>
      <c r="F388" s="34" t="str">
        <f aca="false">IF($A388="","",INDEX(c_Met,$A388)&amp;"")</f>
        <v/>
      </c>
      <c r="G388" s="25" t="str">
        <f aca="false">IF($A388="","",IF(INDEX(c_Date,$A388)="","",INDEX(c_Date,$A388)))</f>
        <v/>
      </c>
      <c r="H388" s="33" t="str">
        <f aca="false">IF($A388="","",IF(INDEX(c_Days,$A388)="","",INDEX(c_Days,$A388)))</f>
        <v/>
      </c>
      <c r="I388" s="40" t="str">
        <f aca="false">IF($A388="","",IF(INDEX(c_Mtgs,$A388)="","",INDEX(c_Mtgs,$A388)))</f>
        <v/>
      </c>
      <c r="J388" s="11" t="str">
        <f aca="false">IF($A388="","",INDEX(c_EvtNames,$A388)&amp;"")</f>
        <v/>
      </c>
      <c r="K388" s="34" t="str">
        <f aca="false">IF($A388="","",INDEX(c_Invested,$A388)&amp;"")</f>
        <v/>
      </c>
      <c r="L388" s="12" t="str">
        <f aca="false">IF($A388="","",IF(INDEX(c_AUM,$A388)="","",INDEX(c_AUM,$A388)))</f>
        <v/>
      </c>
      <c r="M388" s="11" t="str">
        <f aca="false">IF($A388="","",INDEX(c_Source,$A388)&amp;"")</f>
        <v/>
      </c>
      <c r="N388" s="11" t="str">
        <f aca="false">IF($A388="","",INDEX(c_Notes,$A388)&amp;"")</f>
        <v/>
      </c>
    </row>
    <row r="389" customFormat="false" ht="15" hidden="false" customHeight="false" outlineLevel="0" collapsed="false">
      <c r="A389" s="32" t="str">
        <f aca="false">IFERROR(MATCH(ROW()-5,c_Seq,0),"")</f>
        <v/>
      </c>
      <c r="B389" s="15" t="str">
        <f aca="false">IF($A389="","",INDEX(c_Name,$A389)&amp;"")</f>
        <v/>
      </c>
      <c r="C389" s="15" t="str">
        <f aca="false">IF($A389="","",INDEX(c_Firm,$A389)&amp;"")</f>
        <v/>
      </c>
      <c r="D389" s="15" t="str">
        <f aca="false">IF($A389="","",INDEX(c_Type,$A389)&amp;"")</f>
        <v/>
      </c>
      <c r="E389" s="15" t="str">
        <f aca="false">IF($A389="","",INDEX(c_Email,$A389)&amp;"")</f>
        <v/>
      </c>
      <c r="F389" s="36" t="str">
        <f aca="false">IF($A389="","",INDEX(c_Met,$A389)&amp;"")</f>
        <v/>
      </c>
      <c r="G389" s="26" t="str">
        <f aca="false">IF($A389="","",IF(INDEX(c_Date,$A389)="","",INDEX(c_Date,$A389)))</f>
        <v/>
      </c>
      <c r="H389" s="35" t="str">
        <f aca="false">IF($A389="","",IF(INDEX(c_Days,$A389)="","",INDEX(c_Days,$A389)))</f>
        <v/>
      </c>
      <c r="I389" s="41" t="str">
        <f aca="false">IF($A389="","",IF(INDEX(c_Mtgs,$A389)="","",INDEX(c_Mtgs,$A389)))</f>
        <v/>
      </c>
      <c r="J389" s="15" t="str">
        <f aca="false">IF($A389="","",INDEX(c_EvtNames,$A389)&amp;"")</f>
        <v/>
      </c>
      <c r="K389" s="36" t="str">
        <f aca="false">IF($A389="","",INDEX(c_Invested,$A389)&amp;"")</f>
        <v/>
      </c>
      <c r="L389" s="16" t="str">
        <f aca="false">IF($A389="","",IF(INDEX(c_AUM,$A389)="","",INDEX(c_AUM,$A389)))</f>
        <v/>
      </c>
      <c r="M389" s="15" t="str">
        <f aca="false">IF($A389="","",INDEX(c_Source,$A389)&amp;"")</f>
        <v/>
      </c>
      <c r="N389" s="15" t="str">
        <f aca="false">IF($A389="","",INDEX(c_Notes,$A389)&amp;"")</f>
        <v/>
      </c>
    </row>
    <row r="390" customFormat="false" ht="15" hidden="false" customHeight="false" outlineLevel="0" collapsed="false">
      <c r="A390" s="32" t="str">
        <f aca="false">IFERROR(MATCH(ROW()-5,c_Seq,0),"")</f>
        <v/>
      </c>
      <c r="B390" s="11" t="str">
        <f aca="false">IF($A390="","",INDEX(c_Name,$A390)&amp;"")</f>
        <v/>
      </c>
      <c r="C390" s="11" t="str">
        <f aca="false">IF($A390="","",INDEX(c_Firm,$A390)&amp;"")</f>
        <v/>
      </c>
      <c r="D390" s="11" t="str">
        <f aca="false">IF($A390="","",INDEX(c_Type,$A390)&amp;"")</f>
        <v/>
      </c>
      <c r="E390" s="11" t="str">
        <f aca="false">IF($A390="","",INDEX(c_Email,$A390)&amp;"")</f>
        <v/>
      </c>
      <c r="F390" s="34" t="str">
        <f aca="false">IF($A390="","",INDEX(c_Met,$A390)&amp;"")</f>
        <v/>
      </c>
      <c r="G390" s="25" t="str">
        <f aca="false">IF($A390="","",IF(INDEX(c_Date,$A390)="","",INDEX(c_Date,$A390)))</f>
        <v/>
      </c>
      <c r="H390" s="33" t="str">
        <f aca="false">IF($A390="","",IF(INDEX(c_Days,$A390)="","",INDEX(c_Days,$A390)))</f>
        <v/>
      </c>
      <c r="I390" s="40" t="str">
        <f aca="false">IF($A390="","",IF(INDEX(c_Mtgs,$A390)="","",INDEX(c_Mtgs,$A390)))</f>
        <v/>
      </c>
      <c r="J390" s="11" t="str">
        <f aca="false">IF($A390="","",INDEX(c_EvtNames,$A390)&amp;"")</f>
        <v/>
      </c>
      <c r="K390" s="34" t="str">
        <f aca="false">IF($A390="","",INDEX(c_Invested,$A390)&amp;"")</f>
        <v/>
      </c>
      <c r="L390" s="12" t="str">
        <f aca="false">IF($A390="","",IF(INDEX(c_AUM,$A390)="","",INDEX(c_AUM,$A390)))</f>
        <v/>
      </c>
      <c r="M390" s="11" t="str">
        <f aca="false">IF($A390="","",INDEX(c_Source,$A390)&amp;"")</f>
        <v/>
      </c>
      <c r="N390" s="11" t="str">
        <f aca="false">IF($A390="","",INDEX(c_Notes,$A390)&amp;"")</f>
        <v/>
      </c>
    </row>
    <row r="391" customFormat="false" ht="15" hidden="false" customHeight="false" outlineLevel="0" collapsed="false">
      <c r="A391" s="32" t="str">
        <f aca="false">IFERROR(MATCH(ROW()-5,c_Seq,0),"")</f>
        <v/>
      </c>
      <c r="B391" s="15" t="str">
        <f aca="false">IF($A391="","",INDEX(c_Name,$A391)&amp;"")</f>
        <v/>
      </c>
      <c r="C391" s="15" t="str">
        <f aca="false">IF($A391="","",INDEX(c_Firm,$A391)&amp;"")</f>
        <v/>
      </c>
      <c r="D391" s="15" t="str">
        <f aca="false">IF($A391="","",INDEX(c_Type,$A391)&amp;"")</f>
        <v/>
      </c>
      <c r="E391" s="15" t="str">
        <f aca="false">IF($A391="","",INDEX(c_Email,$A391)&amp;"")</f>
        <v/>
      </c>
      <c r="F391" s="36" t="str">
        <f aca="false">IF($A391="","",INDEX(c_Met,$A391)&amp;"")</f>
        <v/>
      </c>
      <c r="G391" s="26" t="str">
        <f aca="false">IF($A391="","",IF(INDEX(c_Date,$A391)="","",INDEX(c_Date,$A391)))</f>
        <v/>
      </c>
      <c r="H391" s="35" t="str">
        <f aca="false">IF($A391="","",IF(INDEX(c_Days,$A391)="","",INDEX(c_Days,$A391)))</f>
        <v/>
      </c>
      <c r="I391" s="41" t="str">
        <f aca="false">IF($A391="","",IF(INDEX(c_Mtgs,$A391)="","",INDEX(c_Mtgs,$A391)))</f>
        <v/>
      </c>
      <c r="J391" s="15" t="str">
        <f aca="false">IF($A391="","",INDEX(c_EvtNames,$A391)&amp;"")</f>
        <v/>
      </c>
      <c r="K391" s="36" t="str">
        <f aca="false">IF($A391="","",INDEX(c_Invested,$A391)&amp;"")</f>
        <v/>
      </c>
      <c r="L391" s="16" t="str">
        <f aca="false">IF($A391="","",IF(INDEX(c_AUM,$A391)="","",INDEX(c_AUM,$A391)))</f>
        <v/>
      </c>
      <c r="M391" s="15" t="str">
        <f aca="false">IF($A391="","",INDEX(c_Source,$A391)&amp;"")</f>
        <v/>
      </c>
      <c r="N391" s="15" t="str">
        <f aca="false">IF($A391="","",INDEX(c_Notes,$A391)&amp;"")</f>
        <v/>
      </c>
    </row>
    <row r="392" customFormat="false" ht="15" hidden="false" customHeight="false" outlineLevel="0" collapsed="false">
      <c r="A392" s="32" t="str">
        <f aca="false">IFERROR(MATCH(ROW()-5,c_Seq,0),"")</f>
        <v/>
      </c>
      <c r="B392" s="11" t="str">
        <f aca="false">IF($A392="","",INDEX(c_Name,$A392)&amp;"")</f>
        <v/>
      </c>
      <c r="C392" s="11" t="str">
        <f aca="false">IF($A392="","",INDEX(c_Firm,$A392)&amp;"")</f>
        <v/>
      </c>
      <c r="D392" s="11" t="str">
        <f aca="false">IF($A392="","",INDEX(c_Type,$A392)&amp;"")</f>
        <v/>
      </c>
      <c r="E392" s="11" t="str">
        <f aca="false">IF($A392="","",INDEX(c_Email,$A392)&amp;"")</f>
        <v/>
      </c>
      <c r="F392" s="34" t="str">
        <f aca="false">IF($A392="","",INDEX(c_Met,$A392)&amp;"")</f>
        <v/>
      </c>
      <c r="G392" s="25" t="str">
        <f aca="false">IF($A392="","",IF(INDEX(c_Date,$A392)="","",INDEX(c_Date,$A392)))</f>
        <v/>
      </c>
      <c r="H392" s="33" t="str">
        <f aca="false">IF($A392="","",IF(INDEX(c_Days,$A392)="","",INDEX(c_Days,$A392)))</f>
        <v/>
      </c>
      <c r="I392" s="40" t="str">
        <f aca="false">IF($A392="","",IF(INDEX(c_Mtgs,$A392)="","",INDEX(c_Mtgs,$A392)))</f>
        <v/>
      </c>
      <c r="J392" s="11" t="str">
        <f aca="false">IF($A392="","",INDEX(c_EvtNames,$A392)&amp;"")</f>
        <v/>
      </c>
      <c r="K392" s="34" t="str">
        <f aca="false">IF($A392="","",INDEX(c_Invested,$A392)&amp;"")</f>
        <v/>
      </c>
      <c r="L392" s="12" t="str">
        <f aca="false">IF($A392="","",IF(INDEX(c_AUM,$A392)="","",INDEX(c_AUM,$A392)))</f>
        <v/>
      </c>
      <c r="M392" s="11" t="str">
        <f aca="false">IF($A392="","",INDEX(c_Source,$A392)&amp;"")</f>
        <v/>
      </c>
      <c r="N392" s="11" t="str">
        <f aca="false">IF($A392="","",INDEX(c_Notes,$A392)&amp;"")</f>
        <v/>
      </c>
    </row>
    <row r="393" customFormat="false" ht="15" hidden="false" customHeight="false" outlineLevel="0" collapsed="false">
      <c r="A393" s="32" t="str">
        <f aca="false">IFERROR(MATCH(ROW()-5,c_Seq,0),"")</f>
        <v/>
      </c>
      <c r="B393" s="15" t="str">
        <f aca="false">IF($A393="","",INDEX(c_Name,$A393)&amp;"")</f>
        <v/>
      </c>
      <c r="C393" s="15" t="str">
        <f aca="false">IF($A393="","",INDEX(c_Firm,$A393)&amp;"")</f>
        <v/>
      </c>
      <c r="D393" s="15" t="str">
        <f aca="false">IF($A393="","",INDEX(c_Type,$A393)&amp;"")</f>
        <v/>
      </c>
      <c r="E393" s="15" t="str">
        <f aca="false">IF($A393="","",INDEX(c_Email,$A393)&amp;"")</f>
        <v/>
      </c>
      <c r="F393" s="36" t="str">
        <f aca="false">IF($A393="","",INDEX(c_Met,$A393)&amp;"")</f>
        <v/>
      </c>
      <c r="G393" s="26" t="str">
        <f aca="false">IF($A393="","",IF(INDEX(c_Date,$A393)="","",INDEX(c_Date,$A393)))</f>
        <v/>
      </c>
      <c r="H393" s="35" t="str">
        <f aca="false">IF($A393="","",IF(INDEX(c_Days,$A393)="","",INDEX(c_Days,$A393)))</f>
        <v/>
      </c>
      <c r="I393" s="41" t="str">
        <f aca="false">IF($A393="","",IF(INDEX(c_Mtgs,$A393)="","",INDEX(c_Mtgs,$A393)))</f>
        <v/>
      </c>
      <c r="J393" s="15" t="str">
        <f aca="false">IF($A393="","",INDEX(c_EvtNames,$A393)&amp;"")</f>
        <v/>
      </c>
      <c r="K393" s="36" t="str">
        <f aca="false">IF($A393="","",INDEX(c_Invested,$A393)&amp;"")</f>
        <v/>
      </c>
      <c r="L393" s="16" t="str">
        <f aca="false">IF($A393="","",IF(INDEX(c_AUM,$A393)="","",INDEX(c_AUM,$A393)))</f>
        <v/>
      </c>
      <c r="M393" s="15" t="str">
        <f aca="false">IF($A393="","",INDEX(c_Source,$A393)&amp;"")</f>
        <v/>
      </c>
      <c r="N393" s="15" t="str">
        <f aca="false">IF($A393="","",INDEX(c_Notes,$A393)&amp;"")</f>
        <v/>
      </c>
    </row>
    <row r="394" customFormat="false" ht="15" hidden="false" customHeight="false" outlineLevel="0" collapsed="false">
      <c r="A394" s="32" t="str">
        <f aca="false">IFERROR(MATCH(ROW()-5,c_Seq,0),"")</f>
        <v/>
      </c>
      <c r="B394" s="11" t="str">
        <f aca="false">IF($A394="","",INDEX(c_Name,$A394)&amp;"")</f>
        <v/>
      </c>
      <c r="C394" s="11" t="str">
        <f aca="false">IF($A394="","",INDEX(c_Firm,$A394)&amp;"")</f>
        <v/>
      </c>
      <c r="D394" s="11" t="str">
        <f aca="false">IF($A394="","",INDEX(c_Type,$A394)&amp;"")</f>
        <v/>
      </c>
      <c r="E394" s="11" t="str">
        <f aca="false">IF($A394="","",INDEX(c_Email,$A394)&amp;"")</f>
        <v/>
      </c>
      <c r="F394" s="34" t="str">
        <f aca="false">IF($A394="","",INDEX(c_Met,$A394)&amp;"")</f>
        <v/>
      </c>
      <c r="G394" s="25" t="str">
        <f aca="false">IF($A394="","",IF(INDEX(c_Date,$A394)="","",INDEX(c_Date,$A394)))</f>
        <v/>
      </c>
      <c r="H394" s="33" t="str">
        <f aca="false">IF($A394="","",IF(INDEX(c_Days,$A394)="","",INDEX(c_Days,$A394)))</f>
        <v/>
      </c>
      <c r="I394" s="40" t="str">
        <f aca="false">IF($A394="","",IF(INDEX(c_Mtgs,$A394)="","",INDEX(c_Mtgs,$A394)))</f>
        <v/>
      </c>
      <c r="J394" s="11" t="str">
        <f aca="false">IF($A394="","",INDEX(c_EvtNames,$A394)&amp;"")</f>
        <v/>
      </c>
      <c r="K394" s="34" t="str">
        <f aca="false">IF($A394="","",INDEX(c_Invested,$A394)&amp;"")</f>
        <v/>
      </c>
      <c r="L394" s="12" t="str">
        <f aca="false">IF($A394="","",IF(INDEX(c_AUM,$A394)="","",INDEX(c_AUM,$A394)))</f>
        <v/>
      </c>
      <c r="M394" s="11" t="str">
        <f aca="false">IF($A394="","",INDEX(c_Source,$A394)&amp;"")</f>
        <v/>
      </c>
      <c r="N394" s="11" t="str">
        <f aca="false">IF($A394="","",INDEX(c_Notes,$A394)&amp;"")</f>
        <v/>
      </c>
    </row>
    <row r="395" customFormat="false" ht="15" hidden="false" customHeight="false" outlineLevel="0" collapsed="false">
      <c r="A395" s="32" t="str">
        <f aca="false">IFERROR(MATCH(ROW()-5,c_Seq,0),"")</f>
        <v/>
      </c>
      <c r="B395" s="15" t="str">
        <f aca="false">IF($A395="","",INDEX(c_Name,$A395)&amp;"")</f>
        <v/>
      </c>
      <c r="C395" s="15" t="str">
        <f aca="false">IF($A395="","",INDEX(c_Firm,$A395)&amp;"")</f>
        <v/>
      </c>
      <c r="D395" s="15" t="str">
        <f aca="false">IF($A395="","",INDEX(c_Type,$A395)&amp;"")</f>
        <v/>
      </c>
      <c r="E395" s="15" t="str">
        <f aca="false">IF($A395="","",INDEX(c_Email,$A395)&amp;"")</f>
        <v/>
      </c>
      <c r="F395" s="36" t="str">
        <f aca="false">IF($A395="","",INDEX(c_Met,$A395)&amp;"")</f>
        <v/>
      </c>
      <c r="G395" s="26" t="str">
        <f aca="false">IF($A395="","",IF(INDEX(c_Date,$A395)="","",INDEX(c_Date,$A395)))</f>
        <v/>
      </c>
      <c r="H395" s="35" t="str">
        <f aca="false">IF($A395="","",IF(INDEX(c_Days,$A395)="","",INDEX(c_Days,$A395)))</f>
        <v/>
      </c>
      <c r="I395" s="41" t="str">
        <f aca="false">IF($A395="","",IF(INDEX(c_Mtgs,$A395)="","",INDEX(c_Mtgs,$A395)))</f>
        <v/>
      </c>
      <c r="J395" s="15" t="str">
        <f aca="false">IF($A395="","",INDEX(c_EvtNames,$A395)&amp;"")</f>
        <v/>
      </c>
      <c r="K395" s="36" t="str">
        <f aca="false">IF($A395="","",INDEX(c_Invested,$A395)&amp;"")</f>
        <v/>
      </c>
      <c r="L395" s="16" t="str">
        <f aca="false">IF($A395="","",IF(INDEX(c_AUM,$A395)="","",INDEX(c_AUM,$A395)))</f>
        <v/>
      </c>
      <c r="M395" s="15" t="str">
        <f aca="false">IF($A395="","",INDEX(c_Source,$A395)&amp;"")</f>
        <v/>
      </c>
      <c r="N395" s="15" t="str">
        <f aca="false">IF($A395="","",INDEX(c_Notes,$A395)&amp;"")</f>
        <v/>
      </c>
    </row>
    <row r="396" customFormat="false" ht="15" hidden="false" customHeight="false" outlineLevel="0" collapsed="false">
      <c r="A396" s="32" t="str">
        <f aca="false">IFERROR(MATCH(ROW()-5,c_Seq,0),"")</f>
        <v/>
      </c>
      <c r="B396" s="11" t="str">
        <f aca="false">IF($A396="","",INDEX(c_Name,$A396)&amp;"")</f>
        <v/>
      </c>
      <c r="C396" s="11" t="str">
        <f aca="false">IF($A396="","",INDEX(c_Firm,$A396)&amp;"")</f>
        <v/>
      </c>
      <c r="D396" s="11" t="str">
        <f aca="false">IF($A396="","",INDEX(c_Type,$A396)&amp;"")</f>
        <v/>
      </c>
      <c r="E396" s="11" t="str">
        <f aca="false">IF($A396="","",INDEX(c_Email,$A396)&amp;"")</f>
        <v/>
      </c>
      <c r="F396" s="34" t="str">
        <f aca="false">IF($A396="","",INDEX(c_Met,$A396)&amp;"")</f>
        <v/>
      </c>
      <c r="G396" s="25" t="str">
        <f aca="false">IF($A396="","",IF(INDEX(c_Date,$A396)="","",INDEX(c_Date,$A396)))</f>
        <v/>
      </c>
      <c r="H396" s="33" t="str">
        <f aca="false">IF($A396="","",IF(INDEX(c_Days,$A396)="","",INDEX(c_Days,$A396)))</f>
        <v/>
      </c>
      <c r="I396" s="40" t="str">
        <f aca="false">IF($A396="","",IF(INDEX(c_Mtgs,$A396)="","",INDEX(c_Mtgs,$A396)))</f>
        <v/>
      </c>
      <c r="J396" s="11" t="str">
        <f aca="false">IF($A396="","",INDEX(c_EvtNames,$A396)&amp;"")</f>
        <v/>
      </c>
      <c r="K396" s="34" t="str">
        <f aca="false">IF($A396="","",INDEX(c_Invested,$A396)&amp;"")</f>
        <v/>
      </c>
      <c r="L396" s="12" t="str">
        <f aca="false">IF($A396="","",IF(INDEX(c_AUM,$A396)="","",INDEX(c_AUM,$A396)))</f>
        <v/>
      </c>
      <c r="M396" s="11" t="str">
        <f aca="false">IF($A396="","",INDEX(c_Source,$A396)&amp;"")</f>
        <v/>
      </c>
      <c r="N396" s="11" t="str">
        <f aca="false">IF($A396="","",INDEX(c_Notes,$A396)&amp;"")</f>
        <v/>
      </c>
    </row>
    <row r="397" customFormat="false" ht="15" hidden="false" customHeight="false" outlineLevel="0" collapsed="false">
      <c r="A397" s="32" t="str">
        <f aca="false">IFERROR(MATCH(ROW()-5,c_Seq,0),"")</f>
        <v/>
      </c>
      <c r="B397" s="15" t="str">
        <f aca="false">IF($A397="","",INDEX(c_Name,$A397)&amp;"")</f>
        <v/>
      </c>
      <c r="C397" s="15" t="str">
        <f aca="false">IF($A397="","",INDEX(c_Firm,$A397)&amp;"")</f>
        <v/>
      </c>
      <c r="D397" s="15" t="str">
        <f aca="false">IF($A397="","",INDEX(c_Type,$A397)&amp;"")</f>
        <v/>
      </c>
      <c r="E397" s="15" t="str">
        <f aca="false">IF($A397="","",INDEX(c_Email,$A397)&amp;"")</f>
        <v/>
      </c>
      <c r="F397" s="36" t="str">
        <f aca="false">IF($A397="","",INDEX(c_Met,$A397)&amp;"")</f>
        <v/>
      </c>
      <c r="G397" s="26" t="str">
        <f aca="false">IF($A397="","",IF(INDEX(c_Date,$A397)="","",INDEX(c_Date,$A397)))</f>
        <v/>
      </c>
      <c r="H397" s="35" t="str">
        <f aca="false">IF($A397="","",IF(INDEX(c_Days,$A397)="","",INDEX(c_Days,$A397)))</f>
        <v/>
      </c>
      <c r="I397" s="41" t="str">
        <f aca="false">IF($A397="","",IF(INDEX(c_Mtgs,$A397)="","",INDEX(c_Mtgs,$A397)))</f>
        <v/>
      </c>
      <c r="J397" s="15" t="str">
        <f aca="false">IF($A397="","",INDEX(c_EvtNames,$A397)&amp;"")</f>
        <v/>
      </c>
      <c r="K397" s="36" t="str">
        <f aca="false">IF($A397="","",INDEX(c_Invested,$A397)&amp;"")</f>
        <v/>
      </c>
      <c r="L397" s="16" t="str">
        <f aca="false">IF($A397="","",IF(INDEX(c_AUM,$A397)="","",INDEX(c_AUM,$A397)))</f>
        <v/>
      </c>
      <c r="M397" s="15" t="str">
        <f aca="false">IF($A397="","",INDEX(c_Source,$A397)&amp;"")</f>
        <v/>
      </c>
      <c r="N397" s="15" t="str">
        <f aca="false">IF($A397="","",INDEX(c_Notes,$A397)&amp;"")</f>
        <v/>
      </c>
    </row>
    <row r="398" customFormat="false" ht="15" hidden="false" customHeight="false" outlineLevel="0" collapsed="false">
      <c r="A398" s="32" t="str">
        <f aca="false">IFERROR(MATCH(ROW()-5,c_Seq,0),"")</f>
        <v/>
      </c>
      <c r="B398" s="11" t="str">
        <f aca="false">IF($A398="","",INDEX(c_Name,$A398)&amp;"")</f>
        <v/>
      </c>
      <c r="C398" s="11" t="str">
        <f aca="false">IF($A398="","",INDEX(c_Firm,$A398)&amp;"")</f>
        <v/>
      </c>
      <c r="D398" s="11" t="str">
        <f aca="false">IF($A398="","",INDEX(c_Type,$A398)&amp;"")</f>
        <v/>
      </c>
      <c r="E398" s="11" t="str">
        <f aca="false">IF($A398="","",INDEX(c_Email,$A398)&amp;"")</f>
        <v/>
      </c>
      <c r="F398" s="34" t="str">
        <f aca="false">IF($A398="","",INDEX(c_Met,$A398)&amp;"")</f>
        <v/>
      </c>
      <c r="G398" s="25" t="str">
        <f aca="false">IF($A398="","",IF(INDEX(c_Date,$A398)="","",INDEX(c_Date,$A398)))</f>
        <v/>
      </c>
      <c r="H398" s="33" t="str">
        <f aca="false">IF($A398="","",IF(INDEX(c_Days,$A398)="","",INDEX(c_Days,$A398)))</f>
        <v/>
      </c>
      <c r="I398" s="40" t="str">
        <f aca="false">IF($A398="","",IF(INDEX(c_Mtgs,$A398)="","",INDEX(c_Mtgs,$A398)))</f>
        <v/>
      </c>
      <c r="J398" s="11" t="str">
        <f aca="false">IF($A398="","",INDEX(c_EvtNames,$A398)&amp;"")</f>
        <v/>
      </c>
      <c r="K398" s="34" t="str">
        <f aca="false">IF($A398="","",INDEX(c_Invested,$A398)&amp;"")</f>
        <v/>
      </c>
      <c r="L398" s="12" t="str">
        <f aca="false">IF($A398="","",IF(INDEX(c_AUM,$A398)="","",INDEX(c_AUM,$A398)))</f>
        <v/>
      </c>
      <c r="M398" s="11" t="str">
        <f aca="false">IF($A398="","",INDEX(c_Source,$A398)&amp;"")</f>
        <v/>
      </c>
      <c r="N398" s="11" t="str">
        <f aca="false">IF($A398="","",INDEX(c_Notes,$A398)&amp;"")</f>
        <v/>
      </c>
    </row>
    <row r="399" customFormat="false" ht="15" hidden="false" customHeight="false" outlineLevel="0" collapsed="false">
      <c r="A399" s="32" t="str">
        <f aca="false">IFERROR(MATCH(ROW()-5,c_Seq,0),"")</f>
        <v/>
      </c>
      <c r="B399" s="15" t="str">
        <f aca="false">IF($A399="","",INDEX(c_Name,$A399)&amp;"")</f>
        <v/>
      </c>
      <c r="C399" s="15" t="str">
        <f aca="false">IF($A399="","",INDEX(c_Firm,$A399)&amp;"")</f>
        <v/>
      </c>
      <c r="D399" s="15" t="str">
        <f aca="false">IF($A399="","",INDEX(c_Type,$A399)&amp;"")</f>
        <v/>
      </c>
      <c r="E399" s="15" t="str">
        <f aca="false">IF($A399="","",INDEX(c_Email,$A399)&amp;"")</f>
        <v/>
      </c>
      <c r="F399" s="36" t="str">
        <f aca="false">IF($A399="","",INDEX(c_Met,$A399)&amp;"")</f>
        <v/>
      </c>
      <c r="G399" s="26" t="str">
        <f aca="false">IF($A399="","",IF(INDEX(c_Date,$A399)="","",INDEX(c_Date,$A399)))</f>
        <v/>
      </c>
      <c r="H399" s="35" t="str">
        <f aca="false">IF($A399="","",IF(INDEX(c_Days,$A399)="","",INDEX(c_Days,$A399)))</f>
        <v/>
      </c>
      <c r="I399" s="41" t="str">
        <f aca="false">IF($A399="","",IF(INDEX(c_Mtgs,$A399)="","",INDEX(c_Mtgs,$A399)))</f>
        <v/>
      </c>
      <c r="J399" s="15" t="str">
        <f aca="false">IF($A399="","",INDEX(c_EvtNames,$A399)&amp;"")</f>
        <v/>
      </c>
      <c r="K399" s="36" t="str">
        <f aca="false">IF($A399="","",INDEX(c_Invested,$A399)&amp;"")</f>
        <v/>
      </c>
      <c r="L399" s="16" t="str">
        <f aca="false">IF($A399="","",IF(INDEX(c_AUM,$A399)="","",INDEX(c_AUM,$A399)))</f>
        <v/>
      </c>
      <c r="M399" s="15" t="str">
        <f aca="false">IF($A399="","",INDEX(c_Source,$A399)&amp;"")</f>
        <v/>
      </c>
      <c r="N399" s="15" t="str">
        <f aca="false">IF($A399="","",INDEX(c_Notes,$A399)&amp;"")</f>
        <v/>
      </c>
    </row>
    <row r="400" customFormat="false" ht="15" hidden="false" customHeight="false" outlineLevel="0" collapsed="false">
      <c r="A400" s="32" t="str">
        <f aca="false">IFERROR(MATCH(ROW()-5,c_Seq,0),"")</f>
        <v/>
      </c>
      <c r="B400" s="11" t="str">
        <f aca="false">IF($A400="","",INDEX(c_Name,$A400)&amp;"")</f>
        <v/>
      </c>
      <c r="C400" s="11" t="str">
        <f aca="false">IF($A400="","",INDEX(c_Firm,$A400)&amp;"")</f>
        <v/>
      </c>
      <c r="D400" s="11" t="str">
        <f aca="false">IF($A400="","",INDEX(c_Type,$A400)&amp;"")</f>
        <v/>
      </c>
      <c r="E400" s="11" t="str">
        <f aca="false">IF($A400="","",INDEX(c_Email,$A400)&amp;"")</f>
        <v/>
      </c>
      <c r="F400" s="34" t="str">
        <f aca="false">IF($A400="","",INDEX(c_Met,$A400)&amp;"")</f>
        <v/>
      </c>
      <c r="G400" s="25" t="str">
        <f aca="false">IF($A400="","",IF(INDEX(c_Date,$A400)="","",INDEX(c_Date,$A400)))</f>
        <v/>
      </c>
      <c r="H400" s="33" t="str">
        <f aca="false">IF($A400="","",IF(INDEX(c_Days,$A400)="","",INDEX(c_Days,$A400)))</f>
        <v/>
      </c>
      <c r="I400" s="40" t="str">
        <f aca="false">IF($A400="","",IF(INDEX(c_Mtgs,$A400)="","",INDEX(c_Mtgs,$A400)))</f>
        <v/>
      </c>
      <c r="J400" s="11" t="str">
        <f aca="false">IF($A400="","",INDEX(c_EvtNames,$A400)&amp;"")</f>
        <v/>
      </c>
      <c r="K400" s="34" t="str">
        <f aca="false">IF($A400="","",INDEX(c_Invested,$A400)&amp;"")</f>
        <v/>
      </c>
      <c r="L400" s="12" t="str">
        <f aca="false">IF($A400="","",IF(INDEX(c_AUM,$A400)="","",INDEX(c_AUM,$A400)))</f>
        <v/>
      </c>
      <c r="M400" s="11" t="str">
        <f aca="false">IF($A400="","",INDEX(c_Source,$A400)&amp;"")</f>
        <v/>
      </c>
      <c r="N400" s="11" t="str">
        <f aca="false">IF($A400="","",INDEX(c_Notes,$A400)&amp;"")</f>
        <v/>
      </c>
    </row>
    <row r="401" customFormat="false" ht="15" hidden="false" customHeight="false" outlineLevel="0" collapsed="false">
      <c r="A401" s="32" t="str">
        <f aca="false">IFERROR(MATCH(ROW()-5,c_Seq,0),"")</f>
        <v/>
      </c>
      <c r="B401" s="15" t="str">
        <f aca="false">IF($A401="","",INDEX(c_Name,$A401)&amp;"")</f>
        <v/>
      </c>
      <c r="C401" s="15" t="str">
        <f aca="false">IF($A401="","",INDEX(c_Firm,$A401)&amp;"")</f>
        <v/>
      </c>
      <c r="D401" s="15" t="str">
        <f aca="false">IF($A401="","",INDEX(c_Type,$A401)&amp;"")</f>
        <v/>
      </c>
      <c r="E401" s="15" t="str">
        <f aca="false">IF($A401="","",INDEX(c_Email,$A401)&amp;"")</f>
        <v/>
      </c>
      <c r="F401" s="36" t="str">
        <f aca="false">IF($A401="","",INDEX(c_Met,$A401)&amp;"")</f>
        <v/>
      </c>
      <c r="G401" s="26" t="str">
        <f aca="false">IF($A401="","",IF(INDEX(c_Date,$A401)="","",INDEX(c_Date,$A401)))</f>
        <v/>
      </c>
      <c r="H401" s="35" t="str">
        <f aca="false">IF($A401="","",IF(INDEX(c_Days,$A401)="","",INDEX(c_Days,$A401)))</f>
        <v/>
      </c>
      <c r="I401" s="41" t="str">
        <f aca="false">IF($A401="","",IF(INDEX(c_Mtgs,$A401)="","",INDEX(c_Mtgs,$A401)))</f>
        <v/>
      </c>
      <c r="J401" s="15" t="str">
        <f aca="false">IF($A401="","",INDEX(c_EvtNames,$A401)&amp;"")</f>
        <v/>
      </c>
      <c r="K401" s="36" t="str">
        <f aca="false">IF($A401="","",INDEX(c_Invested,$A401)&amp;"")</f>
        <v/>
      </c>
      <c r="L401" s="16" t="str">
        <f aca="false">IF($A401="","",IF(INDEX(c_AUM,$A401)="","",INDEX(c_AUM,$A401)))</f>
        <v/>
      </c>
      <c r="M401" s="15" t="str">
        <f aca="false">IF($A401="","",INDEX(c_Source,$A401)&amp;"")</f>
        <v/>
      </c>
      <c r="N401" s="15" t="str">
        <f aca="false">IF($A401="","",INDEX(c_Notes,$A401)&amp;"")</f>
        <v/>
      </c>
    </row>
    <row r="402" customFormat="false" ht="15" hidden="false" customHeight="false" outlineLevel="0" collapsed="false">
      <c r="A402" s="32" t="str">
        <f aca="false">IFERROR(MATCH(ROW()-5,c_Seq,0),"")</f>
        <v/>
      </c>
      <c r="B402" s="11" t="str">
        <f aca="false">IF($A402="","",INDEX(c_Name,$A402)&amp;"")</f>
        <v/>
      </c>
      <c r="C402" s="11" t="str">
        <f aca="false">IF($A402="","",INDEX(c_Firm,$A402)&amp;"")</f>
        <v/>
      </c>
      <c r="D402" s="11" t="str">
        <f aca="false">IF($A402="","",INDEX(c_Type,$A402)&amp;"")</f>
        <v/>
      </c>
      <c r="E402" s="11" t="str">
        <f aca="false">IF($A402="","",INDEX(c_Email,$A402)&amp;"")</f>
        <v/>
      </c>
      <c r="F402" s="34" t="str">
        <f aca="false">IF($A402="","",INDEX(c_Met,$A402)&amp;"")</f>
        <v/>
      </c>
      <c r="G402" s="25" t="str">
        <f aca="false">IF($A402="","",IF(INDEX(c_Date,$A402)="","",INDEX(c_Date,$A402)))</f>
        <v/>
      </c>
      <c r="H402" s="33" t="str">
        <f aca="false">IF($A402="","",IF(INDEX(c_Days,$A402)="","",INDEX(c_Days,$A402)))</f>
        <v/>
      </c>
      <c r="I402" s="40" t="str">
        <f aca="false">IF($A402="","",IF(INDEX(c_Mtgs,$A402)="","",INDEX(c_Mtgs,$A402)))</f>
        <v/>
      </c>
      <c r="J402" s="11" t="str">
        <f aca="false">IF($A402="","",INDEX(c_EvtNames,$A402)&amp;"")</f>
        <v/>
      </c>
      <c r="K402" s="34" t="str">
        <f aca="false">IF($A402="","",INDEX(c_Invested,$A402)&amp;"")</f>
        <v/>
      </c>
      <c r="L402" s="12" t="str">
        <f aca="false">IF($A402="","",IF(INDEX(c_AUM,$A402)="","",INDEX(c_AUM,$A402)))</f>
        <v/>
      </c>
      <c r="M402" s="11" t="str">
        <f aca="false">IF($A402="","",INDEX(c_Source,$A402)&amp;"")</f>
        <v/>
      </c>
      <c r="N402" s="11" t="str">
        <f aca="false">IF($A402="","",INDEX(c_Notes,$A402)&amp;"")</f>
        <v/>
      </c>
    </row>
    <row r="403" customFormat="false" ht="15" hidden="false" customHeight="false" outlineLevel="0" collapsed="false">
      <c r="A403" s="32" t="str">
        <f aca="false">IFERROR(MATCH(ROW()-5,c_Seq,0),"")</f>
        <v/>
      </c>
      <c r="B403" s="15" t="str">
        <f aca="false">IF($A403="","",INDEX(c_Name,$A403)&amp;"")</f>
        <v/>
      </c>
      <c r="C403" s="15" t="str">
        <f aca="false">IF($A403="","",INDEX(c_Firm,$A403)&amp;"")</f>
        <v/>
      </c>
      <c r="D403" s="15" t="str">
        <f aca="false">IF($A403="","",INDEX(c_Type,$A403)&amp;"")</f>
        <v/>
      </c>
      <c r="E403" s="15" t="str">
        <f aca="false">IF($A403="","",INDEX(c_Email,$A403)&amp;"")</f>
        <v/>
      </c>
      <c r="F403" s="36" t="str">
        <f aca="false">IF($A403="","",INDEX(c_Met,$A403)&amp;"")</f>
        <v/>
      </c>
      <c r="G403" s="26" t="str">
        <f aca="false">IF($A403="","",IF(INDEX(c_Date,$A403)="","",INDEX(c_Date,$A403)))</f>
        <v/>
      </c>
      <c r="H403" s="35" t="str">
        <f aca="false">IF($A403="","",IF(INDEX(c_Days,$A403)="","",INDEX(c_Days,$A403)))</f>
        <v/>
      </c>
      <c r="I403" s="41" t="str">
        <f aca="false">IF($A403="","",IF(INDEX(c_Mtgs,$A403)="","",INDEX(c_Mtgs,$A403)))</f>
        <v/>
      </c>
      <c r="J403" s="15" t="str">
        <f aca="false">IF($A403="","",INDEX(c_EvtNames,$A403)&amp;"")</f>
        <v/>
      </c>
      <c r="K403" s="36" t="str">
        <f aca="false">IF($A403="","",INDEX(c_Invested,$A403)&amp;"")</f>
        <v/>
      </c>
      <c r="L403" s="16" t="str">
        <f aca="false">IF($A403="","",IF(INDEX(c_AUM,$A403)="","",INDEX(c_AUM,$A403)))</f>
        <v/>
      </c>
      <c r="M403" s="15" t="str">
        <f aca="false">IF($A403="","",INDEX(c_Source,$A403)&amp;"")</f>
        <v/>
      </c>
      <c r="N403" s="15" t="str">
        <f aca="false">IF($A403="","",INDEX(c_Notes,$A403)&amp;"")</f>
        <v/>
      </c>
    </row>
    <row r="404" customFormat="false" ht="15" hidden="false" customHeight="false" outlineLevel="0" collapsed="false">
      <c r="A404" s="32" t="str">
        <f aca="false">IFERROR(MATCH(ROW()-5,c_Seq,0),"")</f>
        <v/>
      </c>
      <c r="B404" s="11" t="str">
        <f aca="false">IF($A404="","",INDEX(c_Name,$A404)&amp;"")</f>
        <v/>
      </c>
      <c r="C404" s="11" t="str">
        <f aca="false">IF($A404="","",INDEX(c_Firm,$A404)&amp;"")</f>
        <v/>
      </c>
      <c r="D404" s="11" t="str">
        <f aca="false">IF($A404="","",INDEX(c_Type,$A404)&amp;"")</f>
        <v/>
      </c>
      <c r="E404" s="11" t="str">
        <f aca="false">IF($A404="","",INDEX(c_Email,$A404)&amp;"")</f>
        <v/>
      </c>
      <c r="F404" s="34" t="str">
        <f aca="false">IF($A404="","",INDEX(c_Met,$A404)&amp;"")</f>
        <v/>
      </c>
      <c r="G404" s="25" t="str">
        <f aca="false">IF($A404="","",IF(INDEX(c_Date,$A404)="","",INDEX(c_Date,$A404)))</f>
        <v/>
      </c>
      <c r="H404" s="33" t="str">
        <f aca="false">IF($A404="","",IF(INDEX(c_Days,$A404)="","",INDEX(c_Days,$A404)))</f>
        <v/>
      </c>
      <c r="I404" s="40" t="str">
        <f aca="false">IF($A404="","",IF(INDEX(c_Mtgs,$A404)="","",INDEX(c_Mtgs,$A404)))</f>
        <v/>
      </c>
      <c r="J404" s="11" t="str">
        <f aca="false">IF($A404="","",INDEX(c_EvtNames,$A404)&amp;"")</f>
        <v/>
      </c>
      <c r="K404" s="34" t="str">
        <f aca="false">IF($A404="","",INDEX(c_Invested,$A404)&amp;"")</f>
        <v/>
      </c>
      <c r="L404" s="12" t="str">
        <f aca="false">IF($A404="","",IF(INDEX(c_AUM,$A404)="","",INDEX(c_AUM,$A404)))</f>
        <v/>
      </c>
      <c r="M404" s="11" t="str">
        <f aca="false">IF($A404="","",INDEX(c_Source,$A404)&amp;"")</f>
        <v/>
      </c>
      <c r="N404" s="11" t="str">
        <f aca="false">IF($A404="","",INDEX(c_Notes,$A404)&amp;"")</f>
        <v/>
      </c>
    </row>
    <row r="405" customFormat="false" ht="15" hidden="false" customHeight="false" outlineLevel="0" collapsed="false">
      <c r="A405" s="32" t="str">
        <f aca="false">IFERROR(MATCH(ROW()-5,c_Seq,0),"")</f>
        <v/>
      </c>
      <c r="B405" s="15" t="str">
        <f aca="false">IF($A405="","",INDEX(c_Name,$A405)&amp;"")</f>
        <v/>
      </c>
      <c r="C405" s="15" t="str">
        <f aca="false">IF($A405="","",INDEX(c_Firm,$A405)&amp;"")</f>
        <v/>
      </c>
      <c r="D405" s="15" t="str">
        <f aca="false">IF($A405="","",INDEX(c_Type,$A405)&amp;"")</f>
        <v/>
      </c>
      <c r="E405" s="15" t="str">
        <f aca="false">IF($A405="","",INDEX(c_Email,$A405)&amp;"")</f>
        <v/>
      </c>
      <c r="F405" s="36" t="str">
        <f aca="false">IF($A405="","",INDEX(c_Met,$A405)&amp;"")</f>
        <v/>
      </c>
      <c r="G405" s="26" t="str">
        <f aca="false">IF($A405="","",IF(INDEX(c_Date,$A405)="","",INDEX(c_Date,$A405)))</f>
        <v/>
      </c>
      <c r="H405" s="35" t="str">
        <f aca="false">IF($A405="","",IF(INDEX(c_Days,$A405)="","",INDEX(c_Days,$A405)))</f>
        <v/>
      </c>
      <c r="I405" s="41" t="str">
        <f aca="false">IF($A405="","",IF(INDEX(c_Mtgs,$A405)="","",INDEX(c_Mtgs,$A405)))</f>
        <v/>
      </c>
      <c r="J405" s="15" t="str">
        <f aca="false">IF($A405="","",INDEX(c_EvtNames,$A405)&amp;"")</f>
        <v/>
      </c>
      <c r="K405" s="36" t="str">
        <f aca="false">IF($A405="","",INDEX(c_Invested,$A405)&amp;"")</f>
        <v/>
      </c>
      <c r="L405" s="16" t="str">
        <f aca="false">IF($A405="","",IF(INDEX(c_AUM,$A405)="","",INDEX(c_AUM,$A405)))</f>
        <v/>
      </c>
      <c r="M405" s="15" t="str">
        <f aca="false">IF($A405="","",INDEX(c_Source,$A405)&amp;"")</f>
        <v/>
      </c>
      <c r="N405" s="15" t="str">
        <f aca="false">IF($A405="","",INDEX(c_Notes,$A405)&amp;"")</f>
        <v/>
      </c>
    </row>
    <row r="406" customFormat="false" ht="15" hidden="false" customHeight="false" outlineLevel="0" collapsed="false">
      <c r="A406" s="32" t="str">
        <f aca="false">IFERROR(MATCH(ROW()-5,c_Seq,0),"")</f>
        <v/>
      </c>
      <c r="B406" s="11" t="str">
        <f aca="false">IF($A406="","",INDEX(c_Name,$A406)&amp;"")</f>
        <v/>
      </c>
      <c r="C406" s="11" t="str">
        <f aca="false">IF($A406="","",INDEX(c_Firm,$A406)&amp;"")</f>
        <v/>
      </c>
      <c r="D406" s="11" t="str">
        <f aca="false">IF($A406="","",INDEX(c_Type,$A406)&amp;"")</f>
        <v/>
      </c>
      <c r="E406" s="11" t="str">
        <f aca="false">IF($A406="","",INDEX(c_Email,$A406)&amp;"")</f>
        <v/>
      </c>
      <c r="F406" s="34" t="str">
        <f aca="false">IF($A406="","",INDEX(c_Met,$A406)&amp;"")</f>
        <v/>
      </c>
      <c r="G406" s="25" t="str">
        <f aca="false">IF($A406="","",IF(INDEX(c_Date,$A406)="","",INDEX(c_Date,$A406)))</f>
        <v/>
      </c>
      <c r="H406" s="33" t="str">
        <f aca="false">IF($A406="","",IF(INDEX(c_Days,$A406)="","",INDEX(c_Days,$A406)))</f>
        <v/>
      </c>
      <c r="I406" s="40" t="str">
        <f aca="false">IF($A406="","",IF(INDEX(c_Mtgs,$A406)="","",INDEX(c_Mtgs,$A406)))</f>
        <v/>
      </c>
      <c r="J406" s="11" t="str">
        <f aca="false">IF($A406="","",INDEX(c_EvtNames,$A406)&amp;"")</f>
        <v/>
      </c>
      <c r="K406" s="34" t="str">
        <f aca="false">IF($A406="","",INDEX(c_Invested,$A406)&amp;"")</f>
        <v/>
      </c>
      <c r="L406" s="12" t="str">
        <f aca="false">IF($A406="","",IF(INDEX(c_AUM,$A406)="","",INDEX(c_AUM,$A406)))</f>
        <v/>
      </c>
      <c r="M406" s="11" t="str">
        <f aca="false">IF($A406="","",INDEX(c_Source,$A406)&amp;"")</f>
        <v/>
      </c>
      <c r="N406" s="11" t="str">
        <f aca="false">IF($A406="","",INDEX(c_Notes,$A406)&amp;"")</f>
        <v/>
      </c>
    </row>
    <row r="407" customFormat="false" ht="15" hidden="false" customHeight="false" outlineLevel="0" collapsed="false">
      <c r="A407" s="32" t="str">
        <f aca="false">IFERROR(MATCH(ROW()-5,c_Seq,0),"")</f>
        <v/>
      </c>
      <c r="B407" s="15" t="str">
        <f aca="false">IF($A407="","",INDEX(c_Name,$A407)&amp;"")</f>
        <v/>
      </c>
      <c r="C407" s="15" t="str">
        <f aca="false">IF($A407="","",INDEX(c_Firm,$A407)&amp;"")</f>
        <v/>
      </c>
      <c r="D407" s="15" t="str">
        <f aca="false">IF($A407="","",INDEX(c_Type,$A407)&amp;"")</f>
        <v/>
      </c>
      <c r="E407" s="15" t="str">
        <f aca="false">IF($A407="","",INDEX(c_Email,$A407)&amp;"")</f>
        <v/>
      </c>
      <c r="F407" s="36" t="str">
        <f aca="false">IF($A407="","",INDEX(c_Met,$A407)&amp;"")</f>
        <v/>
      </c>
      <c r="G407" s="26" t="str">
        <f aca="false">IF($A407="","",IF(INDEX(c_Date,$A407)="","",INDEX(c_Date,$A407)))</f>
        <v/>
      </c>
      <c r="H407" s="35" t="str">
        <f aca="false">IF($A407="","",IF(INDEX(c_Days,$A407)="","",INDEX(c_Days,$A407)))</f>
        <v/>
      </c>
      <c r="I407" s="41" t="str">
        <f aca="false">IF($A407="","",IF(INDEX(c_Mtgs,$A407)="","",INDEX(c_Mtgs,$A407)))</f>
        <v/>
      </c>
      <c r="J407" s="15" t="str">
        <f aca="false">IF($A407="","",INDEX(c_EvtNames,$A407)&amp;"")</f>
        <v/>
      </c>
      <c r="K407" s="36" t="str">
        <f aca="false">IF($A407="","",INDEX(c_Invested,$A407)&amp;"")</f>
        <v/>
      </c>
      <c r="L407" s="16" t="str">
        <f aca="false">IF($A407="","",IF(INDEX(c_AUM,$A407)="","",INDEX(c_AUM,$A407)))</f>
        <v/>
      </c>
      <c r="M407" s="15" t="str">
        <f aca="false">IF($A407="","",INDEX(c_Source,$A407)&amp;"")</f>
        <v/>
      </c>
      <c r="N407" s="15" t="str">
        <f aca="false">IF($A407="","",INDEX(c_Notes,$A407)&amp;"")</f>
        <v/>
      </c>
    </row>
    <row r="408" customFormat="false" ht="15" hidden="false" customHeight="false" outlineLevel="0" collapsed="false">
      <c r="A408" s="32" t="str">
        <f aca="false">IFERROR(MATCH(ROW()-5,c_Seq,0),"")</f>
        <v/>
      </c>
      <c r="B408" s="11" t="str">
        <f aca="false">IF($A408="","",INDEX(c_Name,$A408)&amp;"")</f>
        <v/>
      </c>
      <c r="C408" s="11" t="str">
        <f aca="false">IF($A408="","",INDEX(c_Firm,$A408)&amp;"")</f>
        <v/>
      </c>
      <c r="D408" s="11" t="str">
        <f aca="false">IF($A408="","",INDEX(c_Type,$A408)&amp;"")</f>
        <v/>
      </c>
      <c r="E408" s="11" t="str">
        <f aca="false">IF($A408="","",INDEX(c_Email,$A408)&amp;"")</f>
        <v/>
      </c>
      <c r="F408" s="34" t="str">
        <f aca="false">IF($A408="","",INDEX(c_Met,$A408)&amp;"")</f>
        <v/>
      </c>
      <c r="G408" s="25" t="str">
        <f aca="false">IF($A408="","",IF(INDEX(c_Date,$A408)="","",INDEX(c_Date,$A408)))</f>
        <v/>
      </c>
      <c r="H408" s="33" t="str">
        <f aca="false">IF($A408="","",IF(INDEX(c_Days,$A408)="","",INDEX(c_Days,$A408)))</f>
        <v/>
      </c>
      <c r="I408" s="40" t="str">
        <f aca="false">IF($A408="","",IF(INDEX(c_Mtgs,$A408)="","",INDEX(c_Mtgs,$A408)))</f>
        <v/>
      </c>
      <c r="J408" s="11" t="str">
        <f aca="false">IF($A408="","",INDEX(c_EvtNames,$A408)&amp;"")</f>
        <v/>
      </c>
      <c r="K408" s="34" t="str">
        <f aca="false">IF($A408="","",INDEX(c_Invested,$A408)&amp;"")</f>
        <v/>
      </c>
      <c r="L408" s="12" t="str">
        <f aca="false">IF($A408="","",IF(INDEX(c_AUM,$A408)="","",INDEX(c_AUM,$A408)))</f>
        <v/>
      </c>
      <c r="M408" s="11" t="str">
        <f aca="false">IF($A408="","",INDEX(c_Source,$A408)&amp;"")</f>
        <v/>
      </c>
      <c r="N408" s="11" t="str">
        <f aca="false">IF($A408="","",INDEX(c_Notes,$A408)&amp;"")</f>
        <v/>
      </c>
    </row>
    <row r="409" customFormat="false" ht="15" hidden="false" customHeight="false" outlineLevel="0" collapsed="false">
      <c r="A409" s="32" t="str">
        <f aca="false">IFERROR(MATCH(ROW()-5,c_Seq,0),"")</f>
        <v/>
      </c>
      <c r="B409" s="15" t="str">
        <f aca="false">IF($A409="","",INDEX(c_Name,$A409)&amp;"")</f>
        <v/>
      </c>
      <c r="C409" s="15" t="str">
        <f aca="false">IF($A409="","",INDEX(c_Firm,$A409)&amp;"")</f>
        <v/>
      </c>
      <c r="D409" s="15" t="str">
        <f aca="false">IF($A409="","",INDEX(c_Type,$A409)&amp;"")</f>
        <v/>
      </c>
      <c r="E409" s="15" t="str">
        <f aca="false">IF($A409="","",INDEX(c_Email,$A409)&amp;"")</f>
        <v/>
      </c>
      <c r="F409" s="36" t="str">
        <f aca="false">IF($A409="","",INDEX(c_Met,$A409)&amp;"")</f>
        <v/>
      </c>
      <c r="G409" s="26" t="str">
        <f aca="false">IF($A409="","",IF(INDEX(c_Date,$A409)="","",INDEX(c_Date,$A409)))</f>
        <v/>
      </c>
      <c r="H409" s="35" t="str">
        <f aca="false">IF($A409="","",IF(INDEX(c_Days,$A409)="","",INDEX(c_Days,$A409)))</f>
        <v/>
      </c>
      <c r="I409" s="41" t="str">
        <f aca="false">IF($A409="","",IF(INDEX(c_Mtgs,$A409)="","",INDEX(c_Mtgs,$A409)))</f>
        <v/>
      </c>
      <c r="J409" s="15" t="str">
        <f aca="false">IF($A409="","",INDEX(c_EvtNames,$A409)&amp;"")</f>
        <v/>
      </c>
      <c r="K409" s="36" t="str">
        <f aca="false">IF($A409="","",INDEX(c_Invested,$A409)&amp;"")</f>
        <v/>
      </c>
      <c r="L409" s="16" t="str">
        <f aca="false">IF($A409="","",IF(INDEX(c_AUM,$A409)="","",INDEX(c_AUM,$A409)))</f>
        <v/>
      </c>
      <c r="M409" s="15" t="str">
        <f aca="false">IF($A409="","",INDEX(c_Source,$A409)&amp;"")</f>
        <v/>
      </c>
      <c r="N409" s="15" t="str">
        <f aca="false">IF($A409="","",INDEX(c_Notes,$A409)&amp;"")</f>
        <v/>
      </c>
    </row>
    <row r="410" customFormat="false" ht="15" hidden="false" customHeight="false" outlineLevel="0" collapsed="false">
      <c r="A410" s="32" t="str">
        <f aca="false">IFERROR(MATCH(ROW()-5,c_Seq,0),"")</f>
        <v/>
      </c>
      <c r="B410" s="11" t="str">
        <f aca="false">IF($A410="","",INDEX(c_Name,$A410)&amp;"")</f>
        <v/>
      </c>
      <c r="C410" s="11" t="str">
        <f aca="false">IF($A410="","",INDEX(c_Firm,$A410)&amp;"")</f>
        <v/>
      </c>
      <c r="D410" s="11" t="str">
        <f aca="false">IF($A410="","",INDEX(c_Type,$A410)&amp;"")</f>
        <v/>
      </c>
      <c r="E410" s="11" t="str">
        <f aca="false">IF($A410="","",INDEX(c_Email,$A410)&amp;"")</f>
        <v/>
      </c>
      <c r="F410" s="34" t="str">
        <f aca="false">IF($A410="","",INDEX(c_Met,$A410)&amp;"")</f>
        <v/>
      </c>
      <c r="G410" s="25" t="str">
        <f aca="false">IF($A410="","",IF(INDEX(c_Date,$A410)="","",INDEX(c_Date,$A410)))</f>
        <v/>
      </c>
      <c r="H410" s="33" t="str">
        <f aca="false">IF($A410="","",IF(INDEX(c_Days,$A410)="","",INDEX(c_Days,$A410)))</f>
        <v/>
      </c>
      <c r="I410" s="40" t="str">
        <f aca="false">IF($A410="","",IF(INDEX(c_Mtgs,$A410)="","",INDEX(c_Mtgs,$A410)))</f>
        <v/>
      </c>
      <c r="J410" s="11" t="str">
        <f aca="false">IF($A410="","",INDEX(c_EvtNames,$A410)&amp;"")</f>
        <v/>
      </c>
      <c r="K410" s="34" t="str">
        <f aca="false">IF($A410="","",INDEX(c_Invested,$A410)&amp;"")</f>
        <v/>
      </c>
      <c r="L410" s="12" t="str">
        <f aca="false">IF($A410="","",IF(INDEX(c_AUM,$A410)="","",INDEX(c_AUM,$A410)))</f>
        <v/>
      </c>
      <c r="M410" s="11" t="str">
        <f aca="false">IF($A410="","",INDEX(c_Source,$A410)&amp;"")</f>
        <v/>
      </c>
      <c r="N410" s="11" t="str">
        <f aca="false">IF($A410="","",INDEX(c_Notes,$A410)&amp;"")</f>
        <v/>
      </c>
    </row>
    <row r="411" customFormat="false" ht="15" hidden="false" customHeight="false" outlineLevel="0" collapsed="false">
      <c r="A411" s="32" t="str">
        <f aca="false">IFERROR(MATCH(ROW()-5,c_Seq,0),"")</f>
        <v/>
      </c>
      <c r="B411" s="15" t="str">
        <f aca="false">IF($A411="","",INDEX(c_Name,$A411)&amp;"")</f>
        <v/>
      </c>
      <c r="C411" s="15" t="str">
        <f aca="false">IF($A411="","",INDEX(c_Firm,$A411)&amp;"")</f>
        <v/>
      </c>
      <c r="D411" s="15" t="str">
        <f aca="false">IF($A411="","",INDEX(c_Type,$A411)&amp;"")</f>
        <v/>
      </c>
      <c r="E411" s="15" t="str">
        <f aca="false">IF($A411="","",INDEX(c_Email,$A411)&amp;"")</f>
        <v/>
      </c>
      <c r="F411" s="36" t="str">
        <f aca="false">IF($A411="","",INDEX(c_Met,$A411)&amp;"")</f>
        <v/>
      </c>
      <c r="G411" s="26" t="str">
        <f aca="false">IF($A411="","",IF(INDEX(c_Date,$A411)="","",INDEX(c_Date,$A411)))</f>
        <v/>
      </c>
      <c r="H411" s="35" t="str">
        <f aca="false">IF($A411="","",IF(INDEX(c_Days,$A411)="","",INDEX(c_Days,$A411)))</f>
        <v/>
      </c>
      <c r="I411" s="41" t="str">
        <f aca="false">IF($A411="","",IF(INDEX(c_Mtgs,$A411)="","",INDEX(c_Mtgs,$A411)))</f>
        <v/>
      </c>
      <c r="J411" s="15" t="str">
        <f aca="false">IF($A411="","",INDEX(c_EvtNames,$A411)&amp;"")</f>
        <v/>
      </c>
      <c r="K411" s="36" t="str">
        <f aca="false">IF($A411="","",INDEX(c_Invested,$A411)&amp;"")</f>
        <v/>
      </c>
      <c r="L411" s="16" t="str">
        <f aca="false">IF($A411="","",IF(INDEX(c_AUM,$A411)="","",INDEX(c_AUM,$A411)))</f>
        <v/>
      </c>
      <c r="M411" s="15" t="str">
        <f aca="false">IF($A411="","",INDEX(c_Source,$A411)&amp;"")</f>
        <v/>
      </c>
      <c r="N411" s="15" t="str">
        <f aca="false">IF($A411="","",INDEX(c_Notes,$A411)&amp;"")</f>
        <v/>
      </c>
    </row>
    <row r="412" customFormat="false" ht="15" hidden="false" customHeight="false" outlineLevel="0" collapsed="false">
      <c r="A412" s="32" t="str">
        <f aca="false">IFERROR(MATCH(ROW()-5,c_Seq,0),"")</f>
        <v/>
      </c>
      <c r="B412" s="11" t="str">
        <f aca="false">IF($A412="","",INDEX(c_Name,$A412)&amp;"")</f>
        <v/>
      </c>
      <c r="C412" s="11" t="str">
        <f aca="false">IF($A412="","",INDEX(c_Firm,$A412)&amp;"")</f>
        <v/>
      </c>
      <c r="D412" s="11" t="str">
        <f aca="false">IF($A412="","",INDEX(c_Type,$A412)&amp;"")</f>
        <v/>
      </c>
      <c r="E412" s="11" t="str">
        <f aca="false">IF($A412="","",INDEX(c_Email,$A412)&amp;"")</f>
        <v/>
      </c>
      <c r="F412" s="34" t="str">
        <f aca="false">IF($A412="","",INDEX(c_Met,$A412)&amp;"")</f>
        <v/>
      </c>
      <c r="G412" s="25" t="str">
        <f aca="false">IF($A412="","",IF(INDEX(c_Date,$A412)="","",INDEX(c_Date,$A412)))</f>
        <v/>
      </c>
      <c r="H412" s="33" t="str">
        <f aca="false">IF($A412="","",IF(INDEX(c_Days,$A412)="","",INDEX(c_Days,$A412)))</f>
        <v/>
      </c>
      <c r="I412" s="40" t="str">
        <f aca="false">IF($A412="","",IF(INDEX(c_Mtgs,$A412)="","",INDEX(c_Mtgs,$A412)))</f>
        <v/>
      </c>
      <c r="J412" s="11" t="str">
        <f aca="false">IF($A412="","",INDEX(c_EvtNames,$A412)&amp;"")</f>
        <v/>
      </c>
      <c r="K412" s="34" t="str">
        <f aca="false">IF($A412="","",INDEX(c_Invested,$A412)&amp;"")</f>
        <v/>
      </c>
      <c r="L412" s="12" t="str">
        <f aca="false">IF($A412="","",IF(INDEX(c_AUM,$A412)="","",INDEX(c_AUM,$A412)))</f>
        <v/>
      </c>
      <c r="M412" s="11" t="str">
        <f aca="false">IF($A412="","",INDEX(c_Source,$A412)&amp;"")</f>
        <v/>
      </c>
      <c r="N412" s="11" t="str">
        <f aca="false">IF($A412="","",INDEX(c_Notes,$A412)&amp;"")</f>
        <v/>
      </c>
    </row>
    <row r="413" customFormat="false" ht="15" hidden="false" customHeight="false" outlineLevel="0" collapsed="false">
      <c r="A413" s="32" t="str">
        <f aca="false">IFERROR(MATCH(ROW()-5,c_Seq,0),"")</f>
        <v/>
      </c>
      <c r="B413" s="15" t="str">
        <f aca="false">IF($A413="","",INDEX(c_Name,$A413)&amp;"")</f>
        <v/>
      </c>
      <c r="C413" s="15" t="str">
        <f aca="false">IF($A413="","",INDEX(c_Firm,$A413)&amp;"")</f>
        <v/>
      </c>
      <c r="D413" s="15" t="str">
        <f aca="false">IF($A413="","",INDEX(c_Type,$A413)&amp;"")</f>
        <v/>
      </c>
      <c r="E413" s="15" t="str">
        <f aca="false">IF($A413="","",INDEX(c_Email,$A413)&amp;"")</f>
        <v/>
      </c>
      <c r="F413" s="36" t="str">
        <f aca="false">IF($A413="","",INDEX(c_Met,$A413)&amp;"")</f>
        <v/>
      </c>
      <c r="G413" s="26" t="str">
        <f aca="false">IF($A413="","",IF(INDEX(c_Date,$A413)="","",INDEX(c_Date,$A413)))</f>
        <v/>
      </c>
      <c r="H413" s="35" t="str">
        <f aca="false">IF($A413="","",IF(INDEX(c_Days,$A413)="","",INDEX(c_Days,$A413)))</f>
        <v/>
      </c>
      <c r="I413" s="41" t="str">
        <f aca="false">IF($A413="","",IF(INDEX(c_Mtgs,$A413)="","",INDEX(c_Mtgs,$A413)))</f>
        <v/>
      </c>
      <c r="J413" s="15" t="str">
        <f aca="false">IF($A413="","",INDEX(c_EvtNames,$A413)&amp;"")</f>
        <v/>
      </c>
      <c r="K413" s="36" t="str">
        <f aca="false">IF($A413="","",INDEX(c_Invested,$A413)&amp;"")</f>
        <v/>
      </c>
      <c r="L413" s="16" t="str">
        <f aca="false">IF($A413="","",IF(INDEX(c_AUM,$A413)="","",INDEX(c_AUM,$A413)))</f>
        <v/>
      </c>
      <c r="M413" s="15" t="str">
        <f aca="false">IF($A413="","",INDEX(c_Source,$A413)&amp;"")</f>
        <v/>
      </c>
      <c r="N413" s="15" t="str">
        <f aca="false">IF($A413="","",INDEX(c_Notes,$A413)&amp;"")</f>
        <v/>
      </c>
    </row>
    <row r="414" customFormat="false" ht="15" hidden="false" customHeight="false" outlineLevel="0" collapsed="false">
      <c r="A414" s="32" t="str">
        <f aca="false">IFERROR(MATCH(ROW()-5,c_Seq,0),"")</f>
        <v/>
      </c>
      <c r="B414" s="11" t="str">
        <f aca="false">IF($A414="","",INDEX(c_Name,$A414)&amp;"")</f>
        <v/>
      </c>
      <c r="C414" s="11" t="str">
        <f aca="false">IF($A414="","",INDEX(c_Firm,$A414)&amp;"")</f>
        <v/>
      </c>
      <c r="D414" s="11" t="str">
        <f aca="false">IF($A414="","",INDEX(c_Type,$A414)&amp;"")</f>
        <v/>
      </c>
      <c r="E414" s="11" t="str">
        <f aca="false">IF($A414="","",INDEX(c_Email,$A414)&amp;"")</f>
        <v/>
      </c>
      <c r="F414" s="34" t="str">
        <f aca="false">IF($A414="","",INDEX(c_Met,$A414)&amp;"")</f>
        <v/>
      </c>
      <c r="G414" s="25" t="str">
        <f aca="false">IF($A414="","",IF(INDEX(c_Date,$A414)="","",INDEX(c_Date,$A414)))</f>
        <v/>
      </c>
      <c r="H414" s="33" t="str">
        <f aca="false">IF($A414="","",IF(INDEX(c_Days,$A414)="","",INDEX(c_Days,$A414)))</f>
        <v/>
      </c>
      <c r="I414" s="40" t="str">
        <f aca="false">IF($A414="","",IF(INDEX(c_Mtgs,$A414)="","",INDEX(c_Mtgs,$A414)))</f>
        <v/>
      </c>
      <c r="J414" s="11" t="str">
        <f aca="false">IF($A414="","",INDEX(c_EvtNames,$A414)&amp;"")</f>
        <v/>
      </c>
      <c r="K414" s="34" t="str">
        <f aca="false">IF($A414="","",INDEX(c_Invested,$A414)&amp;"")</f>
        <v/>
      </c>
      <c r="L414" s="12" t="str">
        <f aca="false">IF($A414="","",IF(INDEX(c_AUM,$A414)="","",INDEX(c_AUM,$A414)))</f>
        <v/>
      </c>
      <c r="M414" s="11" t="str">
        <f aca="false">IF($A414="","",INDEX(c_Source,$A414)&amp;"")</f>
        <v/>
      </c>
      <c r="N414" s="11" t="str">
        <f aca="false">IF($A414="","",INDEX(c_Notes,$A414)&amp;"")</f>
        <v/>
      </c>
    </row>
    <row r="415" customFormat="false" ht="15" hidden="false" customHeight="false" outlineLevel="0" collapsed="false">
      <c r="A415" s="32" t="str">
        <f aca="false">IFERROR(MATCH(ROW()-5,c_Seq,0),"")</f>
        <v/>
      </c>
      <c r="B415" s="15" t="str">
        <f aca="false">IF($A415="","",INDEX(c_Name,$A415)&amp;"")</f>
        <v/>
      </c>
      <c r="C415" s="15" t="str">
        <f aca="false">IF($A415="","",INDEX(c_Firm,$A415)&amp;"")</f>
        <v/>
      </c>
      <c r="D415" s="15" t="str">
        <f aca="false">IF($A415="","",INDEX(c_Type,$A415)&amp;"")</f>
        <v/>
      </c>
      <c r="E415" s="15" t="str">
        <f aca="false">IF($A415="","",INDEX(c_Email,$A415)&amp;"")</f>
        <v/>
      </c>
      <c r="F415" s="36" t="str">
        <f aca="false">IF($A415="","",INDEX(c_Met,$A415)&amp;"")</f>
        <v/>
      </c>
      <c r="G415" s="26" t="str">
        <f aca="false">IF($A415="","",IF(INDEX(c_Date,$A415)="","",INDEX(c_Date,$A415)))</f>
        <v/>
      </c>
      <c r="H415" s="35" t="str">
        <f aca="false">IF($A415="","",IF(INDEX(c_Days,$A415)="","",INDEX(c_Days,$A415)))</f>
        <v/>
      </c>
      <c r="I415" s="41" t="str">
        <f aca="false">IF($A415="","",IF(INDEX(c_Mtgs,$A415)="","",INDEX(c_Mtgs,$A415)))</f>
        <v/>
      </c>
      <c r="J415" s="15" t="str">
        <f aca="false">IF($A415="","",INDEX(c_EvtNames,$A415)&amp;"")</f>
        <v/>
      </c>
      <c r="K415" s="36" t="str">
        <f aca="false">IF($A415="","",INDEX(c_Invested,$A415)&amp;"")</f>
        <v/>
      </c>
      <c r="L415" s="16" t="str">
        <f aca="false">IF($A415="","",IF(INDEX(c_AUM,$A415)="","",INDEX(c_AUM,$A415)))</f>
        <v/>
      </c>
      <c r="M415" s="15" t="str">
        <f aca="false">IF($A415="","",INDEX(c_Source,$A415)&amp;"")</f>
        <v/>
      </c>
      <c r="N415" s="15" t="str">
        <f aca="false">IF($A415="","",INDEX(c_Notes,$A415)&amp;"")</f>
        <v/>
      </c>
    </row>
    <row r="416" customFormat="false" ht="15" hidden="false" customHeight="false" outlineLevel="0" collapsed="false">
      <c r="A416" s="32" t="str">
        <f aca="false">IFERROR(MATCH(ROW()-5,c_Seq,0),"")</f>
        <v/>
      </c>
      <c r="B416" s="11" t="str">
        <f aca="false">IF($A416="","",INDEX(c_Name,$A416)&amp;"")</f>
        <v/>
      </c>
      <c r="C416" s="11" t="str">
        <f aca="false">IF($A416="","",INDEX(c_Firm,$A416)&amp;"")</f>
        <v/>
      </c>
      <c r="D416" s="11" t="str">
        <f aca="false">IF($A416="","",INDEX(c_Type,$A416)&amp;"")</f>
        <v/>
      </c>
      <c r="E416" s="11" t="str">
        <f aca="false">IF($A416="","",INDEX(c_Email,$A416)&amp;"")</f>
        <v/>
      </c>
      <c r="F416" s="34" t="str">
        <f aca="false">IF($A416="","",INDEX(c_Met,$A416)&amp;"")</f>
        <v/>
      </c>
      <c r="G416" s="25" t="str">
        <f aca="false">IF($A416="","",IF(INDEX(c_Date,$A416)="","",INDEX(c_Date,$A416)))</f>
        <v/>
      </c>
      <c r="H416" s="33" t="str">
        <f aca="false">IF($A416="","",IF(INDEX(c_Days,$A416)="","",INDEX(c_Days,$A416)))</f>
        <v/>
      </c>
      <c r="I416" s="40" t="str">
        <f aca="false">IF($A416="","",IF(INDEX(c_Mtgs,$A416)="","",INDEX(c_Mtgs,$A416)))</f>
        <v/>
      </c>
      <c r="J416" s="11" t="str">
        <f aca="false">IF($A416="","",INDEX(c_EvtNames,$A416)&amp;"")</f>
        <v/>
      </c>
      <c r="K416" s="34" t="str">
        <f aca="false">IF($A416="","",INDEX(c_Invested,$A416)&amp;"")</f>
        <v/>
      </c>
      <c r="L416" s="12" t="str">
        <f aca="false">IF($A416="","",IF(INDEX(c_AUM,$A416)="","",INDEX(c_AUM,$A416)))</f>
        <v/>
      </c>
      <c r="M416" s="11" t="str">
        <f aca="false">IF($A416="","",INDEX(c_Source,$A416)&amp;"")</f>
        <v/>
      </c>
      <c r="N416" s="11" t="str">
        <f aca="false">IF($A416="","",INDEX(c_Notes,$A416)&amp;"")</f>
        <v/>
      </c>
    </row>
    <row r="417" customFormat="false" ht="15" hidden="false" customHeight="false" outlineLevel="0" collapsed="false">
      <c r="A417" s="32" t="str">
        <f aca="false">IFERROR(MATCH(ROW()-5,c_Seq,0),"")</f>
        <v/>
      </c>
      <c r="B417" s="15" t="str">
        <f aca="false">IF($A417="","",INDEX(c_Name,$A417)&amp;"")</f>
        <v/>
      </c>
      <c r="C417" s="15" t="str">
        <f aca="false">IF($A417="","",INDEX(c_Firm,$A417)&amp;"")</f>
        <v/>
      </c>
      <c r="D417" s="15" t="str">
        <f aca="false">IF($A417="","",INDEX(c_Type,$A417)&amp;"")</f>
        <v/>
      </c>
      <c r="E417" s="15" t="str">
        <f aca="false">IF($A417="","",INDEX(c_Email,$A417)&amp;"")</f>
        <v/>
      </c>
      <c r="F417" s="36" t="str">
        <f aca="false">IF($A417="","",INDEX(c_Met,$A417)&amp;"")</f>
        <v/>
      </c>
      <c r="G417" s="26" t="str">
        <f aca="false">IF($A417="","",IF(INDEX(c_Date,$A417)="","",INDEX(c_Date,$A417)))</f>
        <v/>
      </c>
      <c r="H417" s="35" t="str">
        <f aca="false">IF($A417="","",IF(INDEX(c_Days,$A417)="","",INDEX(c_Days,$A417)))</f>
        <v/>
      </c>
      <c r="I417" s="41" t="str">
        <f aca="false">IF($A417="","",IF(INDEX(c_Mtgs,$A417)="","",INDEX(c_Mtgs,$A417)))</f>
        <v/>
      </c>
      <c r="J417" s="15" t="str">
        <f aca="false">IF($A417="","",INDEX(c_EvtNames,$A417)&amp;"")</f>
        <v/>
      </c>
      <c r="K417" s="36" t="str">
        <f aca="false">IF($A417="","",INDEX(c_Invested,$A417)&amp;"")</f>
        <v/>
      </c>
      <c r="L417" s="16" t="str">
        <f aca="false">IF($A417="","",IF(INDEX(c_AUM,$A417)="","",INDEX(c_AUM,$A417)))</f>
        <v/>
      </c>
      <c r="M417" s="15" t="str">
        <f aca="false">IF($A417="","",INDEX(c_Source,$A417)&amp;"")</f>
        <v/>
      </c>
      <c r="N417" s="15" t="str">
        <f aca="false">IF($A417="","",INDEX(c_Notes,$A417)&amp;"")</f>
        <v/>
      </c>
    </row>
    <row r="418" customFormat="false" ht="15" hidden="false" customHeight="false" outlineLevel="0" collapsed="false">
      <c r="A418" s="32" t="str">
        <f aca="false">IFERROR(MATCH(ROW()-5,c_Seq,0),"")</f>
        <v/>
      </c>
      <c r="B418" s="11" t="str">
        <f aca="false">IF($A418="","",INDEX(c_Name,$A418)&amp;"")</f>
        <v/>
      </c>
      <c r="C418" s="11" t="str">
        <f aca="false">IF($A418="","",INDEX(c_Firm,$A418)&amp;"")</f>
        <v/>
      </c>
      <c r="D418" s="11" t="str">
        <f aca="false">IF($A418="","",INDEX(c_Type,$A418)&amp;"")</f>
        <v/>
      </c>
      <c r="E418" s="11" t="str">
        <f aca="false">IF($A418="","",INDEX(c_Email,$A418)&amp;"")</f>
        <v/>
      </c>
      <c r="F418" s="34" t="str">
        <f aca="false">IF($A418="","",INDEX(c_Met,$A418)&amp;"")</f>
        <v/>
      </c>
      <c r="G418" s="25" t="str">
        <f aca="false">IF($A418="","",IF(INDEX(c_Date,$A418)="","",INDEX(c_Date,$A418)))</f>
        <v/>
      </c>
      <c r="H418" s="33" t="str">
        <f aca="false">IF($A418="","",IF(INDEX(c_Days,$A418)="","",INDEX(c_Days,$A418)))</f>
        <v/>
      </c>
      <c r="I418" s="40" t="str">
        <f aca="false">IF($A418="","",IF(INDEX(c_Mtgs,$A418)="","",INDEX(c_Mtgs,$A418)))</f>
        <v/>
      </c>
      <c r="J418" s="11" t="str">
        <f aca="false">IF($A418="","",INDEX(c_EvtNames,$A418)&amp;"")</f>
        <v/>
      </c>
      <c r="K418" s="34" t="str">
        <f aca="false">IF($A418="","",INDEX(c_Invested,$A418)&amp;"")</f>
        <v/>
      </c>
      <c r="L418" s="12" t="str">
        <f aca="false">IF($A418="","",IF(INDEX(c_AUM,$A418)="","",INDEX(c_AUM,$A418)))</f>
        <v/>
      </c>
      <c r="M418" s="11" t="str">
        <f aca="false">IF($A418="","",INDEX(c_Source,$A418)&amp;"")</f>
        <v/>
      </c>
      <c r="N418" s="11" t="str">
        <f aca="false">IF($A418="","",INDEX(c_Notes,$A418)&amp;"")</f>
        <v/>
      </c>
    </row>
    <row r="419" customFormat="false" ht="15" hidden="false" customHeight="false" outlineLevel="0" collapsed="false">
      <c r="A419" s="32" t="str">
        <f aca="false">IFERROR(MATCH(ROW()-5,c_Seq,0),"")</f>
        <v/>
      </c>
      <c r="B419" s="15" t="str">
        <f aca="false">IF($A419="","",INDEX(c_Name,$A419)&amp;"")</f>
        <v/>
      </c>
      <c r="C419" s="15" t="str">
        <f aca="false">IF($A419="","",INDEX(c_Firm,$A419)&amp;"")</f>
        <v/>
      </c>
      <c r="D419" s="15" t="str">
        <f aca="false">IF($A419="","",INDEX(c_Type,$A419)&amp;"")</f>
        <v/>
      </c>
      <c r="E419" s="15" t="str">
        <f aca="false">IF($A419="","",INDEX(c_Email,$A419)&amp;"")</f>
        <v/>
      </c>
      <c r="F419" s="36" t="str">
        <f aca="false">IF($A419="","",INDEX(c_Met,$A419)&amp;"")</f>
        <v/>
      </c>
      <c r="G419" s="26" t="str">
        <f aca="false">IF($A419="","",IF(INDEX(c_Date,$A419)="","",INDEX(c_Date,$A419)))</f>
        <v/>
      </c>
      <c r="H419" s="35" t="str">
        <f aca="false">IF($A419="","",IF(INDEX(c_Days,$A419)="","",INDEX(c_Days,$A419)))</f>
        <v/>
      </c>
      <c r="I419" s="41" t="str">
        <f aca="false">IF($A419="","",IF(INDEX(c_Mtgs,$A419)="","",INDEX(c_Mtgs,$A419)))</f>
        <v/>
      </c>
      <c r="J419" s="15" t="str">
        <f aca="false">IF($A419="","",INDEX(c_EvtNames,$A419)&amp;"")</f>
        <v/>
      </c>
      <c r="K419" s="36" t="str">
        <f aca="false">IF($A419="","",INDEX(c_Invested,$A419)&amp;"")</f>
        <v/>
      </c>
      <c r="L419" s="16" t="str">
        <f aca="false">IF($A419="","",IF(INDEX(c_AUM,$A419)="","",INDEX(c_AUM,$A419)))</f>
        <v/>
      </c>
      <c r="M419" s="15" t="str">
        <f aca="false">IF($A419="","",INDEX(c_Source,$A419)&amp;"")</f>
        <v/>
      </c>
      <c r="N419" s="15" t="str">
        <f aca="false">IF($A419="","",INDEX(c_Notes,$A419)&amp;"")</f>
        <v/>
      </c>
    </row>
    <row r="420" customFormat="false" ht="15" hidden="false" customHeight="false" outlineLevel="0" collapsed="false">
      <c r="A420" s="32" t="str">
        <f aca="false">IFERROR(MATCH(ROW()-5,c_Seq,0),"")</f>
        <v/>
      </c>
      <c r="B420" s="11" t="str">
        <f aca="false">IF($A420="","",INDEX(c_Name,$A420)&amp;"")</f>
        <v/>
      </c>
      <c r="C420" s="11" t="str">
        <f aca="false">IF($A420="","",INDEX(c_Firm,$A420)&amp;"")</f>
        <v/>
      </c>
      <c r="D420" s="11" t="str">
        <f aca="false">IF($A420="","",INDEX(c_Type,$A420)&amp;"")</f>
        <v/>
      </c>
      <c r="E420" s="11" t="str">
        <f aca="false">IF($A420="","",INDEX(c_Email,$A420)&amp;"")</f>
        <v/>
      </c>
      <c r="F420" s="34" t="str">
        <f aca="false">IF($A420="","",INDEX(c_Met,$A420)&amp;"")</f>
        <v/>
      </c>
      <c r="G420" s="25" t="str">
        <f aca="false">IF($A420="","",IF(INDEX(c_Date,$A420)="","",INDEX(c_Date,$A420)))</f>
        <v/>
      </c>
      <c r="H420" s="33" t="str">
        <f aca="false">IF($A420="","",IF(INDEX(c_Days,$A420)="","",INDEX(c_Days,$A420)))</f>
        <v/>
      </c>
      <c r="I420" s="40" t="str">
        <f aca="false">IF($A420="","",IF(INDEX(c_Mtgs,$A420)="","",INDEX(c_Mtgs,$A420)))</f>
        <v/>
      </c>
      <c r="J420" s="11" t="str">
        <f aca="false">IF($A420="","",INDEX(c_EvtNames,$A420)&amp;"")</f>
        <v/>
      </c>
      <c r="K420" s="34" t="str">
        <f aca="false">IF($A420="","",INDEX(c_Invested,$A420)&amp;"")</f>
        <v/>
      </c>
      <c r="L420" s="12" t="str">
        <f aca="false">IF($A420="","",IF(INDEX(c_AUM,$A420)="","",INDEX(c_AUM,$A420)))</f>
        <v/>
      </c>
      <c r="M420" s="11" t="str">
        <f aca="false">IF($A420="","",INDEX(c_Source,$A420)&amp;"")</f>
        <v/>
      </c>
      <c r="N420" s="11" t="str">
        <f aca="false">IF($A420="","",INDEX(c_Notes,$A420)&amp;"")</f>
        <v/>
      </c>
    </row>
    <row r="421" customFormat="false" ht="15" hidden="false" customHeight="false" outlineLevel="0" collapsed="false">
      <c r="A421" s="32" t="str">
        <f aca="false">IFERROR(MATCH(ROW()-5,c_Seq,0),"")</f>
        <v/>
      </c>
      <c r="B421" s="15" t="str">
        <f aca="false">IF($A421="","",INDEX(c_Name,$A421)&amp;"")</f>
        <v/>
      </c>
      <c r="C421" s="15" t="str">
        <f aca="false">IF($A421="","",INDEX(c_Firm,$A421)&amp;"")</f>
        <v/>
      </c>
      <c r="D421" s="15" t="str">
        <f aca="false">IF($A421="","",INDEX(c_Type,$A421)&amp;"")</f>
        <v/>
      </c>
      <c r="E421" s="15" t="str">
        <f aca="false">IF($A421="","",INDEX(c_Email,$A421)&amp;"")</f>
        <v/>
      </c>
      <c r="F421" s="36" t="str">
        <f aca="false">IF($A421="","",INDEX(c_Met,$A421)&amp;"")</f>
        <v/>
      </c>
      <c r="G421" s="26" t="str">
        <f aca="false">IF($A421="","",IF(INDEX(c_Date,$A421)="","",INDEX(c_Date,$A421)))</f>
        <v/>
      </c>
      <c r="H421" s="35" t="str">
        <f aca="false">IF($A421="","",IF(INDEX(c_Days,$A421)="","",INDEX(c_Days,$A421)))</f>
        <v/>
      </c>
      <c r="I421" s="41" t="str">
        <f aca="false">IF($A421="","",IF(INDEX(c_Mtgs,$A421)="","",INDEX(c_Mtgs,$A421)))</f>
        <v/>
      </c>
      <c r="J421" s="15" t="str">
        <f aca="false">IF($A421="","",INDEX(c_EvtNames,$A421)&amp;"")</f>
        <v/>
      </c>
      <c r="K421" s="36" t="str">
        <f aca="false">IF($A421="","",INDEX(c_Invested,$A421)&amp;"")</f>
        <v/>
      </c>
      <c r="L421" s="16" t="str">
        <f aca="false">IF($A421="","",IF(INDEX(c_AUM,$A421)="","",INDEX(c_AUM,$A421)))</f>
        <v/>
      </c>
      <c r="M421" s="15" t="str">
        <f aca="false">IF($A421="","",INDEX(c_Source,$A421)&amp;"")</f>
        <v/>
      </c>
      <c r="N421" s="15" t="str">
        <f aca="false">IF($A421="","",INDEX(c_Notes,$A421)&amp;"")</f>
        <v/>
      </c>
    </row>
    <row r="422" customFormat="false" ht="15" hidden="false" customHeight="false" outlineLevel="0" collapsed="false">
      <c r="A422" s="32" t="str">
        <f aca="false">IFERROR(MATCH(ROW()-5,c_Seq,0),"")</f>
        <v/>
      </c>
      <c r="B422" s="11" t="str">
        <f aca="false">IF($A422="","",INDEX(c_Name,$A422)&amp;"")</f>
        <v/>
      </c>
      <c r="C422" s="11" t="str">
        <f aca="false">IF($A422="","",INDEX(c_Firm,$A422)&amp;"")</f>
        <v/>
      </c>
      <c r="D422" s="11" t="str">
        <f aca="false">IF($A422="","",INDEX(c_Type,$A422)&amp;"")</f>
        <v/>
      </c>
      <c r="E422" s="11" t="str">
        <f aca="false">IF($A422="","",INDEX(c_Email,$A422)&amp;"")</f>
        <v/>
      </c>
      <c r="F422" s="34" t="str">
        <f aca="false">IF($A422="","",INDEX(c_Met,$A422)&amp;"")</f>
        <v/>
      </c>
      <c r="G422" s="25" t="str">
        <f aca="false">IF($A422="","",IF(INDEX(c_Date,$A422)="","",INDEX(c_Date,$A422)))</f>
        <v/>
      </c>
      <c r="H422" s="33" t="str">
        <f aca="false">IF($A422="","",IF(INDEX(c_Days,$A422)="","",INDEX(c_Days,$A422)))</f>
        <v/>
      </c>
      <c r="I422" s="40" t="str">
        <f aca="false">IF($A422="","",IF(INDEX(c_Mtgs,$A422)="","",INDEX(c_Mtgs,$A422)))</f>
        <v/>
      </c>
      <c r="J422" s="11" t="str">
        <f aca="false">IF($A422="","",INDEX(c_EvtNames,$A422)&amp;"")</f>
        <v/>
      </c>
      <c r="K422" s="34" t="str">
        <f aca="false">IF($A422="","",INDEX(c_Invested,$A422)&amp;"")</f>
        <v/>
      </c>
      <c r="L422" s="12" t="str">
        <f aca="false">IF($A422="","",IF(INDEX(c_AUM,$A422)="","",INDEX(c_AUM,$A422)))</f>
        <v/>
      </c>
      <c r="M422" s="11" t="str">
        <f aca="false">IF($A422="","",INDEX(c_Source,$A422)&amp;"")</f>
        <v/>
      </c>
      <c r="N422" s="11" t="str">
        <f aca="false">IF($A422="","",INDEX(c_Notes,$A422)&amp;"")</f>
        <v/>
      </c>
    </row>
    <row r="423" customFormat="false" ht="15" hidden="false" customHeight="false" outlineLevel="0" collapsed="false">
      <c r="A423" s="32" t="str">
        <f aca="false">IFERROR(MATCH(ROW()-5,c_Seq,0),"")</f>
        <v/>
      </c>
      <c r="B423" s="15" t="str">
        <f aca="false">IF($A423="","",INDEX(c_Name,$A423)&amp;"")</f>
        <v/>
      </c>
      <c r="C423" s="15" t="str">
        <f aca="false">IF($A423="","",INDEX(c_Firm,$A423)&amp;"")</f>
        <v/>
      </c>
      <c r="D423" s="15" t="str">
        <f aca="false">IF($A423="","",INDEX(c_Type,$A423)&amp;"")</f>
        <v/>
      </c>
      <c r="E423" s="15" t="str">
        <f aca="false">IF($A423="","",INDEX(c_Email,$A423)&amp;"")</f>
        <v/>
      </c>
      <c r="F423" s="36" t="str">
        <f aca="false">IF($A423="","",INDEX(c_Met,$A423)&amp;"")</f>
        <v/>
      </c>
      <c r="G423" s="26" t="str">
        <f aca="false">IF($A423="","",IF(INDEX(c_Date,$A423)="","",INDEX(c_Date,$A423)))</f>
        <v/>
      </c>
      <c r="H423" s="35" t="str">
        <f aca="false">IF($A423="","",IF(INDEX(c_Days,$A423)="","",INDEX(c_Days,$A423)))</f>
        <v/>
      </c>
      <c r="I423" s="41" t="str">
        <f aca="false">IF($A423="","",IF(INDEX(c_Mtgs,$A423)="","",INDEX(c_Mtgs,$A423)))</f>
        <v/>
      </c>
      <c r="J423" s="15" t="str">
        <f aca="false">IF($A423="","",INDEX(c_EvtNames,$A423)&amp;"")</f>
        <v/>
      </c>
      <c r="K423" s="36" t="str">
        <f aca="false">IF($A423="","",INDEX(c_Invested,$A423)&amp;"")</f>
        <v/>
      </c>
      <c r="L423" s="16" t="str">
        <f aca="false">IF($A423="","",IF(INDEX(c_AUM,$A423)="","",INDEX(c_AUM,$A423)))</f>
        <v/>
      </c>
      <c r="M423" s="15" t="str">
        <f aca="false">IF($A423="","",INDEX(c_Source,$A423)&amp;"")</f>
        <v/>
      </c>
      <c r="N423" s="15" t="str">
        <f aca="false">IF($A423="","",INDEX(c_Notes,$A423)&amp;"")</f>
        <v/>
      </c>
    </row>
    <row r="424" customFormat="false" ht="15" hidden="false" customHeight="false" outlineLevel="0" collapsed="false">
      <c r="A424" s="32" t="str">
        <f aca="false">IFERROR(MATCH(ROW()-5,c_Seq,0),"")</f>
        <v/>
      </c>
      <c r="B424" s="11" t="str">
        <f aca="false">IF($A424="","",INDEX(c_Name,$A424)&amp;"")</f>
        <v/>
      </c>
      <c r="C424" s="11" t="str">
        <f aca="false">IF($A424="","",INDEX(c_Firm,$A424)&amp;"")</f>
        <v/>
      </c>
      <c r="D424" s="11" t="str">
        <f aca="false">IF($A424="","",INDEX(c_Type,$A424)&amp;"")</f>
        <v/>
      </c>
      <c r="E424" s="11" t="str">
        <f aca="false">IF($A424="","",INDEX(c_Email,$A424)&amp;"")</f>
        <v/>
      </c>
      <c r="F424" s="34" t="str">
        <f aca="false">IF($A424="","",INDEX(c_Met,$A424)&amp;"")</f>
        <v/>
      </c>
      <c r="G424" s="25" t="str">
        <f aca="false">IF($A424="","",IF(INDEX(c_Date,$A424)="","",INDEX(c_Date,$A424)))</f>
        <v/>
      </c>
      <c r="H424" s="33" t="str">
        <f aca="false">IF($A424="","",IF(INDEX(c_Days,$A424)="","",INDEX(c_Days,$A424)))</f>
        <v/>
      </c>
      <c r="I424" s="40" t="str">
        <f aca="false">IF($A424="","",IF(INDEX(c_Mtgs,$A424)="","",INDEX(c_Mtgs,$A424)))</f>
        <v/>
      </c>
      <c r="J424" s="11" t="str">
        <f aca="false">IF($A424="","",INDEX(c_EvtNames,$A424)&amp;"")</f>
        <v/>
      </c>
      <c r="K424" s="34" t="str">
        <f aca="false">IF($A424="","",INDEX(c_Invested,$A424)&amp;"")</f>
        <v/>
      </c>
      <c r="L424" s="12" t="str">
        <f aca="false">IF($A424="","",IF(INDEX(c_AUM,$A424)="","",INDEX(c_AUM,$A424)))</f>
        <v/>
      </c>
      <c r="M424" s="11" t="str">
        <f aca="false">IF($A424="","",INDEX(c_Source,$A424)&amp;"")</f>
        <v/>
      </c>
      <c r="N424" s="11" t="str">
        <f aca="false">IF($A424="","",INDEX(c_Notes,$A424)&amp;"")</f>
        <v/>
      </c>
    </row>
    <row r="425" customFormat="false" ht="15" hidden="false" customHeight="false" outlineLevel="0" collapsed="false">
      <c r="A425" s="32" t="str">
        <f aca="false">IFERROR(MATCH(ROW()-5,c_Seq,0),"")</f>
        <v/>
      </c>
      <c r="B425" s="15" t="str">
        <f aca="false">IF($A425="","",INDEX(c_Name,$A425)&amp;"")</f>
        <v/>
      </c>
      <c r="C425" s="15" t="str">
        <f aca="false">IF($A425="","",INDEX(c_Firm,$A425)&amp;"")</f>
        <v/>
      </c>
      <c r="D425" s="15" t="str">
        <f aca="false">IF($A425="","",INDEX(c_Type,$A425)&amp;"")</f>
        <v/>
      </c>
      <c r="E425" s="15" t="str">
        <f aca="false">IF($A425="","",INDEX(c_Email,$A425)&amp;"")</f>
        <v/>
      </c>
      <c r="F425" s="36" t="str">
        <f aca="false">IF($A425="","",INDEX(c_Met,$A425)&amp;"")</f>
        <v/>
      </c>
      <c r="G425" s="26" t="str">
        <f aca="false">IF($A425="","",IF(INDEX(c_Date,$A425)="","",INDEX(c_Date,$A425)))</f>
        <v/>
      </c>
      <c r="H425" s="35" t="str">
        <f aca="false">IF($A425="","",IF(INDEX(c_Days,$A425)="","",INDEX(c_Days,$A425)))</f>
        <v/>
      </c>
      <c r="I425" s="41" t="str">
        <f aca="false">IF($A425="","",IF(INDEX(c_Mtgs,$A425)="","",INDEX(c_Mtgs,$A425)))</f>
        <v/>
      </c>
      <c r="J425" s="15" t="str">
        <f aca="false">IF($A425="","",INDEX(c_EvtNames,$A425)&amp;"")</f>
        <v/>
      </c>
      <c r="K425" s="36" t="str">
        <f aca="false">IF($A425="","",INDEX(c_Invested,$A425)&amp;"")</f>
        <v/>
      </c>
      <c r="L425" s="16" t="str">
        <f aca="false">IF($A425="","",IF(INDEX(c_AUM,$A425)="","",INDEX(c_AUM,$A425)))</f>
        <v/>
      </c>
      <c r="M425" s="15" t="str">
        <f aca="false">IF($A425="","",INDEX(c_Source,$A425)&amp;"")</f>
        <v/>
      </c>
      <c r="N425" s="15" t="str">
        <f aca="false">IF($A425="","",INDEX(c_Notes,$A425)&amp;"")</f>
        <v/>
      </c>
    </row>
    <row r="426" customFormat="false" ht="15" hidden="false" customHeight="false" outlineLevel="0" collapsed="false">
      <c r="A426" s="32" t="str">
        <f aca="false">IFERROR(MATCH(ROW()-5,c_Seq,0),"")</f>
        <v/>
      </c>
      <c r="B426" s="11" t="str">
        <f aca="false">IF($A426="","",INDEX(c_Name,$A426)&amp;"")</f>
        <v/>
      </c>
      <c r="C426" s="11" t="str">
        <f aca="false">IF($A426="","",INDEX(c_Firm,$A426)&amp;"")</f>
        <v/>
      </c>
      <c r="D426" s="11" t="str">
        <f aca="false">IF($A426="","",INDEX(c_Type,$A426)&amp;"")</f>
        <v/>
      </c>
      <c r="E426" s="11" t="str">
        <f aca="false">IF($A426="","",INDEX(c_Email,$A426)&amp;"")</f>
        <v/>
      </c>
      <c r="F426" s="34" t="str">
        <f aca="false">IF($A426="","",INDEX(c_Met,$A426)&amp;"")</f>
        <v/>
      </c>
      <c r="G426" s="25" t="str">
        <f aca="false">IF($A426="","",IF(INDEX(c_Date,$A426)="","",INDEX(c_Date,$A426)))</f>
        <v/>
      </c>
      <c r="H426" s="33" t="str">
        <f aca="false">IF($A426="","",IF(INDEX(c_Days,$A426)="","",INDEX(c_Days,$A426)))</f>
        <v/>
      </c>
      <c r="I426" s="40" t="str">
        <f aca="false">IF($A426="","",IF(INDEX(c_Mtgs,$A426)="","",INDEX(c_Mtgs,$A426)))</f>
        <v/>
      </c>
      <c r="J426" s="11" t="str">
        <f aca="false">IF($A426="","",INDEX(c_EvtNames,$A426)&amp;"")</f>
        <v/>
      </c>
      <c r="K426" s="34" t="str">
        <f aca="false">IF($A426="","",INDEX(c_Invested,$A426)&amp;"")</f>
        <v/>
      </c>
      <c r="L426" s="12" t="str">
        <f aca="false">IF($A426="","",IF(INDEX(c_AUM,$A426)="","",INDEX(c_AUM,$A426)))</f>
        <v/>
      </c>
      <c r="M426" s="11" t="str">
        <f aca="false">IF($A426="","",INDEX(c_Source,$A426)&amp;"")</f>
        <v/>
      </c>
      <c r="N426" s="11" t="str">
        <f aca="false">IF($A426="","",INDEX(c_Notes,$A426)&amp;"")</f>
        <v/>
      </c>
    </row>
    <row r="427" customFormat="false" ht="15" hidden="false" customHeight="false" outlineLevel="0" collapsed="false">
      <c r="A427" s="32" t="str">
        <f aca="false">IFERROR(MATCH(ROW()-5,c_Seq,0),"")</f>
        <v/>
      </c>
      <c r="B427" s="15" t="str">
        <f aca="false">IF($A427="","",INDEX(c_Name,$A427)&amp;"")</f>
        <v/>
      </c>
      <c r="C427" s="15" t="str">
        <f aca="false">IF($A427="","",INDEX(c_Firm,$A427)&amp;"")</f>
        <v/>
      </c>
      <c r="D427" s="15" t="str">
        <f aca="false">IF($A427="","",INDEX(c_Type,$A427)&amp;"")</f>
        <v/>
      </c>
      <c r="E427" s="15" t="str">
        <f aca="false">IF($A427="","",INDEX(c_Email,$A427)&amp;"")</f>
        <v/>
      </c>
      <c r="F427" s="36" t="str">
        <f aca="false">IF($A427="","",INDEX(c_Met,$A427)&amp;"")</f>
        <v/>
      </c>
      <c r="G427" s="26" t="str">
        <f aca="false">IF($A427="","",IF(INDEX(c_Date,$A427)="","",INDEX(c_Date,$A427)))</f>
        <v/>
      </c>
      <c r="H427" s="35" t="str">
        <f aca="false">IF($A427="","",IF(INDEX(c_Days,$A427)="","",INDEX(c_Days,$A427)))</f>
        <v/>
      </c>
      <c r="I427" s="41" t="str">
        <f aca="false">IF($A427="","",IF(INDEX(c_Mtgs,$A427)="","",INDEX(c_Mtgs,$A427)))</f>
        <v/>
      </c>
      <c r="J427" s="15" t="str">
        <f aca="false">IF($A427="","",INDEX(c_EvtNames,$A427)&amp;"")</f>
        <v/>
      </c>
      <c r="K427" s="36" t="str">
        <f aca="false">IF($A427="","",INDEX(c_Invested,$A427)&amp;"")</f>
        <v/>
      </c>
      <c r="L427" s="16" t="str">
        <f aca="false">IF($A427="","",IF(INDEX(c_AUM,$A427)="","",INDEX(c_AUM,$A427)))</f>
        <v/>
      </c>
      <c r="M427" s="15" t="str">
        <f aca="false">IF($A427="","",INDEX(c_Source,$A427)&amp;"")</f>
        <v/>
      </c>
      <c r="N427" s="15" t="str">
        <f aca="false">IF($A427="","",INDEX(c_Notes,$A427)&amp;"")</f>
        <v/>
      </c>
    </row>
    <row r="428" customFormat="false" ht="15" hidden="false" customHeight="false" outlineLevel="0" collapsed="false">
      <c r="A428" s="32" t="str">
        <f aca="false">IFERROR(MATCH(ROW()-5,c_Seq,0),"")</f>
        <v/>
      </c>
      <c r="B428" s="11" t="str">
        <f aca="false">IF($A428="","",INDEX(c_Name,$A428)&amp;"")</f>
        <v/>
      </c>
      <c r="C428" s="11" t="str">
        <f aca="false">IF($A428="","",INDEX(c_Firm,$A428)&amp;"")</f>
        <v/>
      </c>
      <c r="D428" s="11" t="str">
        <f aca="false">IF($A428="","",INDEX(c_Type,$A428)&amp;"")</f>
        <v/>
      </c>
      <c r="E428" s="11" t="str">
        <f aca="false">IF($A428="","",INDEX(c_Email,$A428)&amp;"")</f>
        <v/>
      </c>
      <c r="F428" s="34" t="str">
        <f aca="false">IF($A428="","",INDEX(c_Met,$A428)&amp;"")</f>
        <v/>
      </c>
      <c r="G428" s="25" t="str">
        <f aca="false">IF($A428="","",IF(INDEX(c_Date,$A428)="","",INDEX(c_Date,$A428)))</f>
        <v/>
      </c>
      <c r="H428" s="33" t="str">
        <f aca="false">IF($A428="","",IF(INDEX(c_Days,$A428)="","",INDEX(c_Days,$A428)))</f>
        <v/>
      </c>
      <c r="I428" s="40" t="str">
        <f aca="false">IF($A428="","",IF(INDEX(c_Mtgs,$A428)="","",INDEX(c_Mtgs,$A428)))</f>
        <v/>
      </c>
      <c r="J428" s="11" t="str">
        <f aca="false">IF($A428="","",INDEX(c_EvtNames,$A428)&amp;"")</f>
        <v/>
      </c>
      <c r="K428" s="34" t="str">
        <f aca="false">IF($A428="","",INDEX(c_Invested,$A428)&amp;"")</f>
        <v/>
      </c>
      <c r="L428" s="12" t="str">
        <f aca="false">IF($A428="","",IF(INDEX(c_AUM,$A428)="","",INDEX(c_AUM,$A428)))</f>
        <v/>
      </c>
      <c r="M428" s="11" t="str">
        <f aca="false">IF($A428="","",INDEX(c_Source,$A428)&amp;"")</f>
        <v/>
      </c>
      <c r="N428" s="11" t="str">
        <f aca="false">IF($A428="","",INDEX(c_Notes,$A428)&amp;"")</f>
        <v/>
      </c>
    </row>
    <row r="429" customFormat="false" ht="15" hidden="false" customHeight="false" outlineLevel="0" collapsed="false">
      <c r="A429" s="32" t="str">
        <f aca="false">IFERROR(MATCH(ROW()-5,c_Seq,0),"")</f>
        <v/>
      </c>
      <c r="B429" s="15" t="str">
        <f aca="false">IF($A429="","",INDEX(c_Name,$A429)&amp;"")</f>
        <v/>
      </c>
      <c r="C429" s="15" t="str">
        <f aca="false">IF($A429="","",INDEX(c_Firm,$A429)&amp;"")</f>
        <v/>
      </c>
      <c r="D429" s="15" t="str">
        <f aca="false">IF($A429="","",INDEX(c_Type,$A429)&amp;"")</f>
        <v/>
      </c>
      <c r="E429" s="15" t="str">
        <f aca="false">IF($A429="","",INDEX(c_Email,$A429)&amp;"")</f>
        <v/>
      </c>
      <c r="F429" s="36" t="str">
        <f aca="false">IF($A429="","",INDEX(c_Met,$A429)&amp;"")</f>
        <v/>
      </c>
      <c r="G429" s="26" t="str">
        <f aca="false">IF($A429="","",IF(INDEX(c_Date,$A429)="","",INDEX(c_Date,$A429)))</f>
        <v/>
      </c>
      <c r="H429" s="35" t="str">
        <f aca="false">IF($A429="","",IF(INDEX(c_Days,$A429)="","",INDEX(c_Days,$A429)))</f>
        <v/>
      </c>
      <c r="I429" s="41" t="str">
        <f aca="false">IF($A429="","",IF(INDEX(c_Mtgs,$A429)="","",INDEX(c_Mtgs,$A429)))</f>
        <v/>
      </c>
      <c r="J429" s="15" t="str">
        <f aca="false">IF($A429="","",INDEX(c_EvtNames,$A429)&amp;"")</f>
        <v/>
      </c>
      <c r="K429" s="36" t="str">
        <f aca="false">IF($A429="","",INDEX(c_Invested,$A429)&amp;"")</f>
        <v/>
      </c>
      <c r="L429" s="16" t="str">
        <f aca="false">IF($A429="","",IF(INDEX(c_AUM,$A429)="","",INDEX(c_AUM,$A429)))</f>
        <v/>
      </c>
      <c r="M429" s="15" t="str">
        <f aca="false">IF($A429="","",INDEX(c_Source,$A429)&amp;"")</f>
        <v/>
      </c>
      <c r="N429" s="15" t="str">
        <f aca="false">IF($A429="","",INDEX(c_Notes,$A429)&amp;"")</f>
        <v/>
      </c>
    </row>
    <row r="430" customFormat="false" ht="15" hidden="false" customHeight="false" outlineLevel="0" collapsed="false">
      <c r="A430" s="32" t="str">
        <f aca="false">IFERROR(MATCH(ROW()-5,c_Seq,0),"")</f>
        <v/>
      </c>
      <c r="B430" s="11" t="str">
        <f aca="false">IF($A430="","",INDEX(c_Name,$A430)&amp;"")</f>
        <v/>
      </c>
      <c r="C430" s="11" t="str">
        <f aca="false">IF($A430="","",INDEX(c_Firm,$A430)&amp;"")</f>
        <v/>
      </c>
      <c r="D430" s="11" t="str">
        <f aca="false">IF($A430="","",INDEX(c_Type,$A430)&amp;"")</f>
        <v/>
      </c>
      <c r="E430" s="11" t="str">
        <f aca="false">IF($A430="","",INDEX(c_Email,$A430)&amp;"")</f>
        <v/>
      </c>
      <c r="F430" s="34" t="str">
        <f aca="false">IF($A430="","",INDEX(c_Met,$A430)&amp;"")</f>
        <v/>
      </c>
      <c r="G430" s="25" t="str">
        <f aca="false">IF($A430="","",IF(INDEX(c_Date,$A430)="","",INDEX(c_Date,$A430)))</f>
        <v/>
      </c>
      <c r="H430" s="33" t="str">
        <f aca="false">IF($A430="","",IF(INDEX(c_Days,$A430)="","",INDEX(c_Days,$A430)))</f>
        <v/>
      </c>
      <c r="I430" s="40" t="str">
        <f aca="false">IF($A430="","",IF(INDEX(c_Mtgs,$A430)="","",INDEX(c_Mtgs,$A430)))</f>
        <v/>
      </c>
      <c r="J430" s="11" t="str">
        <f aca="false">IF($A430="","",INDEX(c_EvtNames,$A430)&amp;"")</f>
        <v/>
      </c>
      <c r="K430" s="34" t="str">
        <f aca="false">IF($A430="","",INDEX(c_Invested,$A430)&amp;"")</f>
        <v/>
      </c>
      <c r="L430" s="12" t="str">
        <f aca="false">IF($A430="","",IF(INDEX(c_AUM,$A430)="","",INDEX(c_AUM,$A430)))</f>
        <v/>
      </c>
      <c r="M430" s="11" t="str">
        <f aca="false">IF($A430="","",INDEX(c_Source,$A430)&amp;"")</f>
        <v/>
      </c>
      <c r="N430" s="11" t="str">
        <f aca="false">IF($A430="","",INDEX(c_Notes,$A430)&amp;"")</f>
        <v/>
      </c>
    </row>
    <row r="431" customFormat="false" ht="15" hidden="false" customHeight="false" outlineLevel="0" collapsed="false">
      <c r="A431" s="32" t="str">
        <f aca="false">IFERROR(MATCH(ROW()-5,c_Seq,0),"")</f>
        <v/>
      </c>
      <c r="B431" s="15" t="str">
        <f aca="false">IF($A431="","",INDEX(c_Name,$A431)&amp;"")</f>
        <v/>
      </c>
      <c r="C431" s="15" t="str">
        <f aca="false">IF($A431="","",INDEX(c_Firm,$A431)&amp;"")</f>
        <v/>
      </c>
      <c r="D431" s="15" t="str">
        <f aca="false">IF($A431="","",INDEX(c_Type,$A431)&amp;"")</f>
        <v/>
      </c>
      <c r="E431" s="15" t="str">
        <f aca="false">IF($A431="","",INDEX(c_Email,$A431)&amp;"")</f>
        <v/>
      </c>
      <c r="F431" s="36" t="str">
        <f aca="false">IF($A431="","",INDEX(c_Met,$A431)&amp;"")</f>
        <v/>
      </c>
      <c r="G431" s="26" t="str">
        <f aca="false">IF($A431="","",IF(INDEX(c_Date,$A431)="","",INDEX(c_Date,$A431)))</f>
        <v/>
      </c>
      <c r="H431" s="35" t="str">
        <f aca="false">IF($A431="","",IF(INDEX(c_Days,$A431)="","",INDEX(c_Days,$A431)))</f>
        <v/>
      </c>
      <c r="I431" s="41" t="str">
        <f aca="false">IF($A431="","",IF(INDEX(c_Mtgs,$A431)="","",INDEX(c_Mtgs,$A431)))</f>
        <v/>
      </c>
      <c r="J431" s="15" t="str">
        <f aca="false">IF($A431="","",INDEX(c_EvtNames,$A431)&amp;"")</f>
        <v/>
      </c>
      <c r="K431" s="36" t="str">
        <f aca="false">IF($A431="","",INDEX(c_Invested,$A431)&amp;"")</f>
        <v/>
      </c>
      <c r="L431" s="16" t="str">
        <f aca="false">IF($A431="","",IF(INDEX(c_AUM,$A431)="","",INDEX(c_AUM,$A431)))</f>
        <v/>
      </c>
      <c r="M431" s="15" t="str">
        <f aca="false">IF($A431="","",INDEX(c_Source,$A431)&amp;"")</f>
        <v/>
      </c>
      <c r="N431" s="15" t="str">
        <f aca="false">IF($A431="","",INDEX(c_Notes,$A431)&amp;"")</f>
        <v/>
      </c>
    </row>
    <row r="432" customFormat="false" ht="15" hidden="false" customHeight="false" outlineLevel="0" collapsed="false">
      <c r="A432" s="32" t="str">
        <f aca="false">IFERROR(MATCH(ROW()-5,c_Seq,0),"")</f>
        <v/>
      </c>
      <c r="B432" s="11" t="str">
        <f aca="false">IF($A432="","",INDEX(c_Name,$A432)&amp;"")</f>
        <v/>
      </c>
      <c r="C432" s="11" t="str">
        <f aca="false">IF($A432="","",INDEX(c_Firm,$A432)&amp;"")</f>
        <v/>
      </c>
      <c r="D432" s="11" t="str">
        <f aca="false">IF($A432="","",INDEX(c_Type,$A432)&amp;"")</f>
        <v/>
      </c>
      <c r="E432" s="11" t="str">
        <f aca="false">IF($A432="","",INDEX(c_Email,$A432)&amp;"")</f>
        <v/>
      </c>
      <c r="F432" s="34" t="str">
        <f aca="false">IF($A432="","",INDEX(c_Met,$A432)&amp;"")</f>
        <v/>
      </c>
      <c r="G432" s="25" t="str">
        <f aca="false">IF($A432="","",IF(INDEX(c_Date,$A432)="","",INDEX(c_Date,$A432)))</f>
        <v/>
      </c>
      <c r="H432" s="33" t="str">
        <f aca="false">IF($A432="","",IF(INDEX(c_Days,$A432)="","",INDEX(c_Days,$A432)))</f>
        <v/>
      </c>
      <c r="I432" s="40" t="str">
        <f aca="false">IF($A432="","",IF(INDEX(c_Mtgs,$A432)="","",INDEX(c_Mtgs,$A432)))</f>
        <v/>
      </c>
      <c r="J432" s="11" t="str">
        <f aca="false">IF($A432="","",INDEX(c_EvtNames,$A432)&amp;"")</f>
        <v/>
      </c>
      <c r="K432" s="34" t="str">
        <f aca="false">IF($A432="","",INDEX(c_Invested,$A432)&amp;"")</f>
        <v/>
      </c>
      <c r="L432" s="12" t="str">
        <f aca="false">IF($A432="","",IF(INDEX(c_AUM,$A432)="","",INDEX(c_AUM,$A432)))</f>
        <v/>
      </c>
      <c r="M432" s="11" t="str">
        <f aca="false">IF($A432="","",INDEX(c_Source,$A432)&amp;"")</f>
        <v/>
      </c>
      <c r="N432" s="11" t="str">
        <f aca="false">IF($A432="","",INDEX(c_Notes,$A432)&amp;"")</f>
        <v/>
      </c>
    </row>
    <row r="433" customFormat="false" ht="15" hidden="false" customHeight="false" outlineLevel="0" collapsed="false">
      <c r="A433" s="32" t="str">
        <f aca="false">IFERROR(MATCH(ROW()-5,c_Seq,0),"")</f>
        <v/>
      </c>
      <c r="B433" s="15" t="str">
        <f aca="false">IF($A433="","",INDEX(c_Name,$A433)&amp;"")</f>
        <v/>
      </c>
      <c r="C433" s="15" t="str">
        <f aca="false">IF($A433="","",INDEX(c_Firm,$A433)&amp;"")</f>
        <v/>
      </c>
      <c r="D433" s="15" t="str">
        <f aca="false">IF($A433="","",INDEX(c_Type,$A433)&amp;"")</f>
        <v/>
      </c>
      <c r="E433" s="15" t="str">
        <f aca="false">IF($A433="","",INDEX(c_Email,$A433)&amp;"")</f>
        <v/>
      </c>
      <c r="F433" s="36" t="str">
        <f aca="false">IF($A433="","",INDEX(c_Met,$A433)&amp;"")</f>
        <v/>
      </c>
      <c r="G433" s="26" t="str">
        <f aca="false">IF($A433="","",IF(INDEX(c_Date,$A433)="","",INDEX(c_Date,$A433)))</f>
        <v/>
      </c>
      <c r="H433" s="35" t="str">
        <f aca="false">IF($A433="","",IF(INDEX(c_Days,$A433)="","",INDEX(c_Days,$A433)))</f>
        <v/>
      </c>
      <c r="I433" s="41" t="str">
        <f aca="false">IF($A433="","",IF(INDEX(c_Mtgs,$A433)="","",INDEX(c_Mtgs,$A433)))</f>
        <v/>
      </c>
      <c r="J433" s="15" t="str">
        <f aca="false">IF($A433="","",INDEX(c_EvtNames,$A433)&amp;"")</f>
        <v/>
      </c>
      <c r="K433" s="36" t="str">
        <f aca="false">IF($A433="","",INDEX(c_Invested,$A433)&amp;"")</f>
        <v/>
      </c>
      <c r="L433" s="16" t="str">
        <f aca="false">IF($A433="","",IF(INDEX(c_AUM,$A433)="","",INDEX(c_AUM,$A433)))</f>
        <v/>
      </c>
      <c r="M433" s="15" t="str">
        <f aca="false">IF($A433="","",INDEX(c_Source,$A433)&amp;"")</f>
        <v/>
      </c>
      <c r="N433" s="15" t="str">
        <f aca="false">IF($A433="","",INDEX(c_Notes,$A433)&amp;"")</f>
        <v/>
      </c>
    </row>
    <row r="434" customFormat="false" ht="15" hidden="false" customHeight="false" outlineLevel="0" collapsed="false">
      <c r="A434" s="32" t="str">
        <f aca="false">IFERROR(MATCH(ROW()-5,c_Seq,0),"")</f>
        <v/>
      </c>
      <c r="B434" s="11" t="str">
        <f aca="false">IF($A434="","",INDEX(c_Name,$A434)&amp;"")</f>
        <v/>
      </c>
      <c r="C434" s="11" t="str">
        <f aca="false">IF($A434="","",INDEX(c_Firm,$A434)&amp;"")</f>
        <v/>
      </c>
      <c r="D434" s="11" t="str">
        <f aca="false">IF($A434="","",INDEX(c_Type,$A434)&amp;"")</f>
        <v/>
      </c>
      <c r="E434" s="11" t="str">
        <f aca="false">IF($A434="","",INDEX(c_Email,$A434)&amp;"")</f>
        <v/>
      </c>
      <c r="F434" s="34" t="str">
        <f aca="false">IF($A434="","",INDEX(c_Met,$A434)&amp;"")</f>
        <v/>
      </c>
      <c r="G434" s="25" t="str">
        <f aca="false">IF($A434="","",IF(INDEX(c_Date,$A434)="","",INDEX(c_Date,$A434)))</f>
        <v/>
      </c>
      <c r="H434" s="33" t="str">
        <f aca="false">IF($A434="","",IF(INDEX(c_Days,$A434)="","",INDEX(c_Days,$A434)))</f>
        <v/>
      </c>
      <c r="I434" s="40" t="str">
        <f aca="false">IF($A434="","",IF(INDEX(c_Mtgs,$A434)="","",INDEX(c_Mtgs,$A434)))</f>
        <v/>
      </c>
      <c r="J434" s="11" t="str">
        <f aca="false">IF($A434="","",INDEX(c_EvtNames,$A434)&amp;"")</f>
        <v/>
      </c>
      <c r="K434" s="34" t="str">
        <f aca="false">IF($A434="","",INDEX(c_Invested,$A434)&amp;"")</f>
        <v/>
      </c>
      <c r="L434" s="12" t="str">
        <f aca="false">IF($A434="","",IF(INDEX(c_AUM,$A434)="","",INDEX(c_AUM,$A434)))</f>
        <v/>
      </c>
      <c r="M434" s="11" t="str">
        <f aca="false">IF($A434="","",INDEX(c_Source,$A434)&amp;"")</f>
        <v/>
      </c>
      <c r="N434" s="11" t="str">
        <f aca="false">IF($A434="","",INDEX(c_Notes,$A434)&amp;"")</f>
        <v/>
      </c>
    </row>
    <row r="435" customFormat="false" ht="15" hidden="false" customHeight="false" outlineLevel="0" collapsed="false">
      <c r="A435" s="32" t="str">
        <f aca="false">IFERROR(MATCH(ROW()-5,c_Seq,0),"")</f>
        <v/>
      </c>
      <c r="B435" s="15" t="str">
        <f aca="false">IF($A435="","",INDEX(c_Name,$A435)&amp;"")</f>
        <v/>
      </c>
      <c r="C435" s="15" t="str">
        <f aca="false">IF($A435="","",INDEX(c_Firm,$A435)&amp;"")</f>
        <v/>
      </c>
      <c r="D435" s="15" t="str">
        <f aca="false">IF($A435="","",INDEX(c_Type,$A435)&amp;"")</f>
        <v/>
      </c>
      <c r="E435" s="15" t="str">
        <f aca="false">IF($A435="","",INDEX(c_Email,$A435)&amp;"")</f>
        <v/>
      </c>
      <c r="F435" s="36" t="str">
        <f aca="false">IF($A435="","",INDEX(c_Met,$A435)&amp;"")</f>
        <v/>
      </c>
      <c r="G435" s="26" t="str">
        <f aca="false">IF($A435="","",IF(INDEX(c_Date,$A435)="","",INDEX(c_Date,$A435)))</f>
        <v/>
      </c>
      <c r="H435" s="35" t="str">
        <f aca="false">IF($A435="","",IF(INDEX(c_Days,$A435)="","",INDEX(c_Days,$A435)))</f>
        <v/>
      </c>
      <c r="I435" s="41" t="str">
        <f aca="false">IF($A435="","",IF(INDEX(c_Mtgs,$A435)="","",INDEX(c_Mtgs,$A435)))</f>
        <v/>
      </c>
      <c r="J435" s="15" t="str">
        <f aca="false">IF($A435="","",INDEX(c_EvtNames,$A435)&amp;"")</f>
        <v/>
      </c>
      <c r="K435" s="36" t="str">
        <f aca="false">IF($A435="","",INDEX(c_Invested,$A435)&amp;"")</f>
        <v/>
      </c>
      <c r="L435" s="16" t="str">
        <f aca="false">IF($A435="","",IF(INDEX(c_AUM,$A435)="","",INDEX(c_AUM,$A435)))</f>
        <v/>
      </c>
      <c r="M435" s="15" t="str">
        <f aca="false">IF($A435="","",INDEX(c_Source,$A435)&amp;"")</f>
        <v/>
      </c>
      <c r="N435" s="15" t="str">
        <f aca="false">IF($A435="","",INDEX(c_Notes,$A435)&amp;"")</f>
        <v/>
      </c>
    </row>
    <row r="436" customFormat="false" ht="15" hidden="false" customHeight="false" outlineLevel="0" collapsed="false">
      <c r="A436" s="32" t="str">
        <f aca="false">IFERROR(MATCH(ROW()-5,c_Seq,0),"")</f>
        <v/>
      </c>
      <c r="B436" s="11" t="str">
        <f aca="false">IF($A436="","",INDEX(c_Name,$A436)&amp;"")</f>
        <v/>
      </c>
      <c r="C436" s="11" t="str">
        <f aca="false">IF($A436="","",INDEX(c_Firm,$A436)&amp;"")</f>
        <v/>
      </c>
      <c r="D436" s="11" t="str">
        <f aca="false">IF($A436="","",INDEX(c_Type,$A436)&amp;"")</f>
        <v/>
      </c>
      <c r="E436" s="11" t="str">
        <f aca="false">IF($A436="","",INDEX(c_Email,$A436)&amp;"")</f>
        <v/>
      </c>
      <c r="F436" s="34" t="str">
        <f aca="false">IF($A436="","",INDEX(c_Met,$A436)&amp;"")</f>
        <v/>
      </c>
      <c r="G436" s="25" t="str">
        <f aca="false">IF($A436="","",IF(INDEX(c_Date,$A436)="","",INDEX(c_Date,$A436)))</f>
        <v/>
      </c>
      <c r="H436" s="33" t="str">
        <f aca="false">IF($A436="","",IF(INDEX(c_Days,$A436)="","",INDEX(c_Days,$A436)))</f>
        <v/>
      </c>
      <c r="I436" s="40" t="str">
        <f aca="false">IF($A436="","",IF(INDEX(c_Mtgs,$A436)="","",INDEX(c_Mtgs,$A436)))</f>
        <v/>
      </c>
      <c r="J436" s="11" t="str">
        <f aca="false">IF($A436="","",INDEX(c_EvtNames,$A436)&amp;"")</f>
        <v/>
      </c>
      <c r="K436" s="34" t="str">
        <f aca="false">IF($A436="","",INDEX(c_Invested,$A436)&amp;"")</f>
        <v/>
      </c>
      <c r="L436" s="12" t="str">
        <f aca="false">IF($A436="","",IF(INDEX(c_AUM,$A436)="","",INDEX(c_AUM,$A436)))</f>
        <v/>
      </c>
      <c r="M436" s="11" t="str">
        <f aca="false">IF($A436="","",INDEX(c_Source,$A436)&amp;"")</f>
        <v/>
      </c>
      <c r="N436" s="11" t="str">
        <f aca="false">IF($A436="","",INDEX(c_Notes,$A436)&amp;"")</f>
        <v/>
      </c>
    </row>
    <row r="437" customFormat="false" ht="15" hidden="false" customHeight="false" outlineLevel="0" collapsed="false">
      <c r="A437" s="32" t="str">
        <f aca="false">IFERROR(MATCH(ROW()-5,c_Seq,0),"")</f>
        <v/>
      </c>
      <c r="B437" s="15" t="str">
        <f aca="false">IF($A437="","",INDEX(c_Name,$A437)&amp;"")</f>
        <v/>
      </c>
      <c r="C437" s="15" t="str">
        <f aca="false">IF($A437="","",INDEX(c_Firm,$A437)&amp;"")</f>
        <v/>
      </c>
      <c r="D437" s="15" t="str">
        <f aca="false">IF($A437="","",INDEX(c_Type,$A437)&amp;"")</f>
        <v/>
      </c>
      <c r="E437" s="15" t="str">
        <f aca="false">IF($A437="","",INDEX(c_Email,$A437)&amp;"")</f>
        <v/>
      </c>
      <c r="F437" s="36" t="str">
        <f aca="false">IF($A437="","",INDEX(c_Met,$A437)&amp;"")</f>
        <v/>
      </c>
      <c r="G437" s="26" t="str">
        <f aca="false">IF($A437="","",IF(INDEX(c_Date,$A437)="","",INDEX(c_Date,$A437)))</f>
        <v/>
      </c>
      <c r="H437" s="35" t="str">
        <f aca="false">IF($A437="","",IF(INDEX(c_Days,$A437)="","",INDEX(c_Days,$A437)))</f>
        <v/>
      </c>
      <c r="I437" s="41" t="str">
        <f aca="false">IF($A437="","",IF(INDEX(c_Mtgs,$A437)="","",INDEX(c_Mtgs,$A437)))</f>
        <v/>
      </c>
      <c r="J437" s="15" t="str">
        <f aca="false">IF($A437="","",INDEX(c_EvtNames,$A437)&amp;"")</f>
        <v/>
      </c>
      <c r="K437" s="36" t="str">
        <f aca="false">IF($A437="","",INDEX(c_Invested,$A437)&amp;"")</f>
        <v/>
      </c>
      <c r="L437" s="16" t="str">
        <f aca="false">IF($A437="","",IF(INDEX(c_AUM,$A437)="","",INDEX(c_AUM,$A437)))</f>
        <v/>
      </c>
      <c r="M437" s="15" t="str">
        <f aca="false">IF($A437="","",INDEX(c_Source,$A437)&amp;"")</f>
        <v/>
      </c>
      <c r="N437" s="15" t="str">
        <f aca="false">IF($A437="","",INDEX(c_Notes,$A437)&amp;"")</f>
        <v/>
      </c>
    </row>
    <row r="438" customFormat="false" ht="15" hidden="false" customHeight="false" outlineLevel="0" collapsed="false">
      <c r="A438" s="32" t="str">
        <f aca="false">IFERROR(MATCH(ROW()-5,c_Seq,0),"")</f>
        <v/>
      </c>
      <c r="B438" s="11" t="str">
        <f aca="false">IF($A438="","",INDEX(c_Name,$A438)&amp;"")</f>
        <v/>
      </c>
      <c r="C438" s="11" t="str">
        <f aca="false">IF($A438="","",INDEX(c_Firm,$A438)&amp;"")</f>
        <v/>
      </c>
      <c r="D438" s="11" t="str">
        <f aca="false">IF($A438="","",INDEX(c_Type,$A438)&amp;"")</f>
        <v/>
      </c>
      <c r="E438" s="11" t="str">
        <f aca="false">IF($A438="","",INDEX(c_Email,$A438)&amp;"")</f>
        <v/>
      </c>
      <c r="F438" s="34" t="str">
        <f aca="false">IF($A438="","",INDEX(c_Met,$A438)&amp;"")</f>
        <v/>
      </c>
      <c r="G438" s="25" t="str">
        <f aca="false">IF($A438="","",IF(INDEX(c_Date,$A438)="","",INDEX(c_Date,$A438)))</f>
        <v/>
      </c>
      <c r="H438" s="33" t="str">
        <f aca="false">IF($A438="","",IF(INDEX(c_Days,$A438)="","",INDEX(c_Days,$A438)))</f>
        <v/>
      </c>
      <c r="I438" s="40" t="str">
        <f aca="false">IF($A438="","",IF(INDEX(c_Mtgs,$A438)="","",INDEX(c_Mtgs,$A438)))</f>
        <v/>
      </c>
      <c r="J438" s="11" t="str">
        <f aca="false">IF($A438="","",INDEX(c_EvtNames,$A438)&amp;"")</f>
        <v/>
      </c>
      <c r="K438" s="34" t="str">
        <f aca="false">IF($A438="","",INDEX(c_Invested,$A438)&amp;"")</f>
        <v/>
      </c>
      <c r="L438" s="12" t="str">
        <f aca="false">IF($A438="","",IF(INDEX(c_AUM,$A438)="","",INDEX(c_AUM,$A438)))</f>
        <v/>
      </c>
      <c r="M438" s="11" t="str">
        <f aca="false">IF($A438="","",INDEX(c_Source,$A438)&amp;"")</f>
        <v/>
      </c>
      <c r="N438" s="11" t="str">
        <f aca="false">IF($A438="","",INDEX(c_Notes,$A438)&amp;"")</f>
        <v/>
      </c>
    </row>
    <row r="439" customFormat="false" ht="15" hidden="false" customHeight="false" outlineLevel="0" collapsed="false">
      <c r="A439" s="32" t="str">
        <f aca="false">IFERROR(MATCH(ROW()-5,c_Seq,0),"")</f>
        <v/>
      </c>
      <c r="B439" s="15" t="str">
        <f aca="false">IF($A439="","",INDEX(c_Name,$A439)&amp;"")</f>
        <v/>
      </c>
      <c r="C439" s="15" t="str">
        <f aca="false">IF($A439="","",INDEX(c_Firm,$A439)&amp;"")</f>
        <v/>
      </c>
      <c r="D439" s="15" t="str">
        <f aca="false">IF($A439="","",INDEX(c_Type,$A439)&amp;"")</f>
        <v/>
      </c>
      <c r="E439" s="15" t="str">
        <f aca="false">IF($A439="","",INDEX(c_Email,$A439)&amp;"")</f>
        <v/>
      </c>
      <c r="F439" s="36" t="str">
        <f aca="false">IF($A439="","",INDEX(c_Met,$A439)&amp;"")</f>
        <v/>
      </c>
      <c r="G439" s="26" t="str">
        <f aca="false">IF($A439="","",IF(INDEX(c_Date,$A439)="","",INDEX(c_Date,$A439)))</f>
        <v/>
      </c>
      <c r="H439" s="35" t="str">
        <f aca="false">IF($A439="","",IF(INDEX(c_Days,$A439)="","",INDEX(c_Days,$A439)))</f>
        <v/>
      </c>
      <c r="I439" s="41" t="str">
        <f aca="false">IF($A439="","",IF(INDEX(c_Mtgs,$A439)="","",INDEX(c_Mtgs,$A439)))</f>
        <v/>
      </c>
      <c r="J439" s="15" t="str">
        <f aca="false">IF($A439="","",INDEX(c_EvtNames,$A439)&amp;"")</f>
        <v/>
      </c>
      <c r="K439" s="36" t="str">
        <f aca="false">IF($A439="","",INDEX(c_Invested,$A439)&amp;"")</f>
        <v/>
      </c>
      <c r="L439" s="16" t="str">
        <f aca="false">IF($A439="","",IF(INDEX(c_AUM,$A439)="","",INDEX(c_AUM,$A439)))</f>
        <v/>
      </c>
      <c r="M439" s="15" t="str">
        <f aca="false">IF($A439="","",INDEX(c_Source,$A439)&amp;"")</f>
        <v/>
      </c>
      <c r="N439" s="15" t="str">
        <f aca="false">IF($A439="","",INDEX(c_Notes,$A439)&amp;"")</f>
        <v/>
      </c>
    </row>
    <row r="440" customFormat="false" ht="15" hidden="false" customHeight="false" outlineLevel="0" collapsed="false">
      <c r="A440" s="32" t="str">
        <f aca="false">IFERROR(MATCH(ROW()-5,c_Seq,0),"")</f>
        <v/>
      </c>
      <c r="B440" s="11" t="str">
        <f aca="false">IF($A440="","",INDEX(c_Name,$A440)&amp;"")</f>
        <v/>
      </c>
      <c r="C440" s="11" t="str">
        <f aca="false">IF($A440="","",INDEX(c_Firm,$A440)&amp;"")</f>
        <v/>
      </c>
      <c r="D440" s="11" t="str">
        <f aca="false">IF($A440="","",INDEX(c_Type,$A440)&amp;"")</f>
        <v/>
      </c>
      <c r="E440" s="11" t="str">
        <f aca="false">IF($A440="","",INDEX(c_Email,$A440)&amp;"")</f>
        <v/>
      </c>
      <c r="F440" s="34" t="str">
        <f aca="false">IF($A440="","",INDEX(c_Met,$A440)&amp;"")</f>
        <v/>
      </c>
      <c r="G440" s="25" t="str">
        <f aca="false">IF($A440="","",IF(INDEX(c_Date,$A440)="","",INDEX(c_Date,$A440)))</f>
        <v/>
      </c>
      <c r="H440" s="33" t="str">
        <f aca="false">IF($A440="","",IF(INDEX(c_Days,$A440)="","",INDEX(c_Days,$A440)))</f>
        <v/>
      </c>
      <c r="I440" s="40" t="str">
        <f aca="false">IF($A440="","",IF(INDEX(c_Mtgs,$A440)="","",INDEX(c_Mtgs,$A440)))</f>
        <v/>
      </c>
      <c r="J440" s="11" t="str">
        <f aca="false">IF($A440="","",INDEX(c_EvtNames,$A440)&amp;"")</f>
        <v/>
      </c>
      <c r="K440" s="34" t="str">
        <f aca="false">IF($A440="","",INDEX(c_Invested,$A440)&amp;"")</f>
        <v/>
      </c>
      <c r="L440" s="12" t="str">
        <f aca="false">IF($A440="","",IF(INDEX(c_AUM,$A440)="","",INDEX(c_AUM,$A440)))</f>
        <v/>
      </c>
      <c r="M440" s="11" t="str">
        <f aca="false">IF($A440="","",INDEX(c_Source,$A440)&amp;"")</f>
        <v/>
      </c>
      <c r="N440" s="11" t="str">
        <f aca="false">IF($A440="","",INDEX(c_Notes,$A440)&amp;"")</f>
        <v/>
      </c>
    </row>
    <row r="441" customFormat="false" ht="15" hidden="false" customHeight="false" outlineLevel="0" collapsed="false">
      <c r="A441" s="32" t="str">
        <f aca="false">IFERROR(MATCH(ROW()-5,c_Seq,0),"")</f>
        <v/>
      </c>
      <c r="B441" s="15" t="str">
        <f aca="false">IF($A441="","",INDEX(c_Name,$A441)&amp;"")</f>
        <v/>
      </c>
      <c r="C441" s="15" t="str">
        <f aca="false">IF($A441="","",INDEX(c_Firm,$A441)&amp;"")</f>
        <v/>
      </c>
      <c r="D441" s="15" t="str">
        <f aca="false">IF($A441="","",INDEX(c_Type,$A441)&amp;"")</f>
        <v/>
      </c>
      <c r="E441" s="15" t="str">
        <f aca="false">IF($A441="","",INDEX(c_Email,$A441)&amp;"")</f>
        <v/>
      </c>
      <c r="F441" s="36" t="str">
        <f aca="false">IF($A441="","",INDEX(c_Met,$A441)&amp;"")</f>
        <v/>
      </c>
      <c r="G441" s="26" t="str">
        <f aca="false">IF($A441="","",IF(INDEX(c_Date,$A441)="","",INDEX(c_Date,$A441)))</f>
        <v/>
      </c>
      <c r="H441" s="35" t="str">
        <f aca="false">IF($A441="","",IF(INDEX(c_Days,$A441)="","",INDEX(c_Days,$A441)))</f>
        <v/>
      </c>
      <c r="I441" s="41" t="str">
        <f aca="false">IF($A441="","",IF(INDEX(c_Mtgs,$A441)="","",INDEX(c_Mtgs,$A441)))</f>
        <v/>
      </c>
      <c r="J441" s="15" t="str">
        <f aca="false">IF($A441="","",INDEX(c_EvtNames,$A441)&amp;"")</f>
        <v/>
      </c>
      <c r="K441" s="36" t="str">
        <f aca="false">IF($A441="","",INDEX(c_Invested,$A441)&amp;"")</f>
        <v/>
      </c>
      <c r="L441" s="16" t="str">
        <f aca="false">IF($A441="","",IF(INDEX(c_AUM,$A441)="","",INDEX(c_AUM,$A441)))</f>
        <v/>
      </c>
      <c r="M441" s="15" t="str">
        <f aca="false">IF($A441="","",INDEX(c_Source,$A441)&amp;"")</f>
        <v/>
      </c>
      <c r="N441" s="15" t="str">
        <f aca="false">IF($A441="","",INDEX(c_Notes,$A441)&amp;"")</f>
        <v/>
      </c>
    </row>
    <row r="442" customFormat="false" ht="15" hidden="false" customHeight="false" outlineLevel="0" collapsed="false">
      <c r="A442" s="32" t="str">
        <f aca="false">IFERROR(MATCH(ROW()-5,c_Seq,0),"")</f>
        <v/>
      </c>
      <c r="B442" s="11" t="str">
        <f aca="false">IF($A442="","",INDEX(c_Name,$A442)&amp;"")</f>
        <v/>
      </c>
      <c r="C442" s="11" t="str">
        <f aca="false">IF($A442="","",INDEX(c_Firm,$A442)&amp;"")</f>
        <v/>
      </c>
      <c r="D442" s="11" t="str">
        <f aca="false">IF($A442="","",INDEX(c_Type,$A442)&amp;"")</f>
        <v/>
      </c>
      <c r="E442" s="11" t="str">
        <f aca="false">IF($A442="","",INDEX(c_Email,$A442)&amp;"")</f>
        <v/>
      </c>
      <c r="F442" s="34" t="str">
        <f aca="false">IF($A442="","",INDEX(c_Met,$A442)&amp;"")</f>
        <v/>
      </c>
      <c r="G442" s="25" t="str">
        <f aca="false">IF($A442="","",IF(INDEX(c_Date,$A442)="","",INDEX(c_Date,$A442)))</f>
        <v/>
      </c>
      <c r="H442" s="33" t="str">
        <f aca="false">IF($A442="","",IF(INDEX(c_Days,$A442)="","",INDEX(c_Days,$A442)))</f>
        <v/>
      </c>
      <c r="I442" s="40" t="str">
        <f aca="false">IF($A442="","",IF(INDEX(c_Mtgs,$A442)="","",INDEX(c_Mtgs,$A442)))</f>
        <v/>
      </c>
      <c r="J442" s="11" t="str">
        <f aca="false">IF($A442="","",INDEX(c_EvtNames,$A442)&amp;"")</f>
        <v/>
      </c>
      <c r="K442" s="34" t="str">
        <f aca="false">IF($A442="","",INDEX(c_Invested,$A442)&amp;"")</f>
        <v/>
      </c>
      <c r="L442" s="12" t="str">
        <f aca="false">IF($A442="","",IF(INDEX(c_AUM,$A442)="","",INDEX(c_AUM,$A442)))</f>
        <v/>
      </c>
      <c r="M442" s="11" t="str">
        <f aca="false">IF($A442="","",INDEX(c_Source,$A442)&amp;"")</f>
        <v/>
      </c>
      <c r="N442" s="11" t="str">
        <f aca="false">IF($A442="","",INDEX(c_Notes,$A442)&amp;"")</f>
        <v/>
      </c>
    </row>
    <row r="443" customFormat="false" ht="15" hidden="false" customHeight="false" outlineLevel="0" collapsed="false">
      <c r="A443" s="32" t="str">
        <f aca="false">IFERROR(MATCH(ROW()-5,c_Seq,0),"")</f>
        <v/>
      </c>
      <c r="B443" s="15" t="str">
        <f aca="false">IF($A443="","",INDEX(c_Name,$A443)&amp;"")</f>
        <v/>
      </c>
      <c r="C443" s="15" t="str">
        <f aca="false">IF($A443="","",INDEX(c_Firm,$A443)&amp;"")</f>
        <v/>
      </c>
      <c r="D443" s="15" t="str">
        <f aca="false">IF($A443="","",INDEX(c_Type,$A443)&amp;"")</f>
        <v/>
      </c>
      <c r="E443" s="15" t="str">
        <f aca="false">IF($A443="","",INDEX(c_Email,$A443)&amp;"")</f>
        <v/>
      </c>
      <c r="F443" s="36" t="str">
        <f aca="false">IF($A443="","",INDEX(c_Met,$A443)&amp;"")</f>
        <v/>
      </c>
      <c r="G443" s="26" t="str">
        <f aca="false">IF($A443="","",IF(INDEX(c_Date,$A443)="","",INDEX(c_Date,$A443)))</f>
        <v/>
      </c>
      <c r="H443" s="35" t="str">
        <f aca="false">IF($A443="","",IF(INDEX(c_Days,$A443)="","",INDEX(c_Days,$A443)))</f>
        <v/>
      </c>
      <c r="I443" s="41" t="str">
        <f aca="false">IF($A443="","",IF(INDEX(c_Mtgs,$A443)="","",INDEX(c_Mtgs,$A443)))</f>
        <v/>
      </c>
      <c r="J443" s="15" t="str">
        <f aca="false">IF($A443="","",INDEX(c_EvtNames,$A443)&amp;"")</f>
        <v/>
      </c>
      <c r="K443" s="36" t="str">
        <f aca="false">IF($A443="","",INDEX(c_Invested,$A443)&amp;"")</f>
        <v/>
      </c>
      <c r="L443" s="16" t="str">
        <f aca="false">IF($A443="","",IF(INDEX(c_AUM,$A443)="","",INDEX(c_AUM,$A443)))</f>
        <v/>
      </c>
      <c r="M443" s="15" t="str">
        <f aca="false">IF($A443="","",INDEX(c_Source,$A443)&amp;"")</f>
        <v/>
      </c>
      <c r="N443" s="15" t="str">
        <f aca="false">IF($A443="","",INDEX(c_Notes,$A443)&amp;"")</f>
        <v/>
      </c>
    </row>
    <row r="444" customFormat="false" ht="15" hidden="false" customHeight="false" outlineLevel="0" collapsed="false">
      <c r="A444" s="32" t="str">
        <f aca="false">IFERROR(MATCH(ROW()-5,c_Seq,0),"")</f>
        <v/>
      </c>
      <c r="B444" s="11" t="str">
        <f aca="false">IF($A444="","",INDEX(c_Name,$A444)&amp;"")</f>
        <v/>
      </c>
      <c r="C444" s="11" t="str">
        <f aca="false">IF($A444="","",INDEX(c_Firm,$A444)&amp;"")</f>
        <v/>
      </c>
      <c r="D444" s="11" t="str">
        <f aca="false">IF($A444="","",INDEX(c_Type,$A444)&amp;"")</f>
        <v/>
      </c>
      <c r="E444" s="11" t="str">
        <f aca="false">IF($A444="","",INDEX(c_Email,$A444)&amp;"")</f>
        <v/>
      </c>
      <c r="F444" s="34" t="str">
        <f aca="false">IF($A444="","",INDEX(c_Met,$A444)&amp;"")</f>
        <v/>
      </c>
      <c r="G444" s="25" t="str">
        <f aca="false">IF($A444="","",IF(INDEX(c_Date,$A444)="","",INDEX(c_Date,$A444)))</f>
        <v/>
      </c>
      <c r="H444" s="33" t="str">
        <f aca="false">IF($A444="","",IF(INDEX(c_Days,$A444)="","",INDEX(c_Days,$A444)))</f>
        <v/>
      </c>
      <c r="I444" s="40" t="str">
        <f aca="false">IF($A444="","",IF(INDEX(c_Mtgs,$A444)="","",INDEX(c_Mtgs,$A444)))</f>
        <v/>
      </c>
      <c r="J444" s="11" t="str">
        <f aca="false">IF($A444="","",INDEX(c_EvtNames,$A444)&amp;"")</f>
        <v/>
      </c>
      <c r="K444" s="34" t="str">
        <f aca="false">IF($A444="","",INDEX(c_Invested,$A444)&amp;"")</f>
        <v/>
      </c>
      <c r="L444" s="12" t="str">
        <f aca="false">IF($A444="","",IF(INDEX(c_AUM,$A444)="","",INDEX(c_AUM,$A444)))</f>
        <v/>
      </c>
      <c r="M444" s="11" t="str">
        <f aca="false">IF($A444="","",INDEX(c_Source,$A444)&amp;"")</f>
        <v/>
      </c>
      <c r="N444" s="11" t="str">
        <f aca="false">IF($A444="","",INDEX(c_Notes,$A444)&amp;"")</f>
        <v/>
      </c>
    </row>
    <row r="445" customFormat="false" ht="15" hidden="false" customHeight="false" outlineLevel="0" collapsed="false">
      <c r="A445" s="32" t="str">
        <f aca="false">IFERROR(MATCH(ROW()-5,c_Seq,0),"")</f>
        <v/>
      </c>
      <c r="B445" s="15" t="str">
        <f aca="false">IF($A445="","",INDEX(c_Name,$A445)&amp;"")</f>
        <v/>
      </c>
      <c r="C445" s="15" t="str">
        <f aca="false">IF($A445="","",INDEX(c_Firm,$A445)&amp;"")</f>
        <v/>
      </c>
      <c r="D445" s="15" t="str">
        <f aca="false">IF($A445="","",INDEX(c_Type,$A445)&amp;"")</f>
        <v/>
      </c>
      <c r="E445" s="15" t="str">
        <f aca="false">IF($A445="","",INDEX(c_Email,$A445)&amp;"")</f>
        <v/>
      </c>
      <c r="F445" s="36" t="str">
        <f aca="false">IF($A445="","",INDEX(c_Met,$A445)&amp;"")</f>
        <v/>
      </c>
      <c r="G445" s="26" t="str">
        <f aca="false">IF($A445="","",IF(INDEX(c_Date,$A445)="","",INDEX(c_Date,$A445)))</f>
        <v/>
      </c>
      <c r="H445" s="35" t="str">
        <f aca="false">IF($A445="","",IF(INDEX(c_Days,$A445)="","",INDEX(c_Days,$A445)))</f>
        <v/>
      </c>
      <c r="I445" s="41" t="str">
        <f aca="false">IF($A445="","",IF(INDEX(c_Mtgs,$A445)="","",INDEX(c_Mtgs,$A445)))</f>
        <v/>
      </c>
      <c r="J445" s="15" t="str">
        <f aca="false">IF($A445="","",INDEX(c_EvtNames,$A445)&amp;"")</f>
        <v/>
      </c>
      <c r="K445" s="36" t="str">
        <f aca="false">IF($A445="","",INDEX(c_Invested,$A445)&amp;"")</f>
        <v/>
      </c>
      <c r="L445" s="16" t="str">
        <f aca="false">IF($A445="","",IF(INDEX(c_AUM,$A445)="","",INDEX(c_AUM,$A445)))</f>
        <v/>
      </c>
      <c r="M445" s="15" t="str">
        <f aca="false">IF($A445="","",INDEX(c_Source,$A445)&amp;"")</f>
        <v/>
      </c>
      <c r="N445" s="15" t="str">
        <f aca="false">IF($A445="","",INDEX(c_Notes,$A445)&amp;"")</f>
        <v/>
      </c>
    </row>
    <row r="446" customFormat="false" ht="15" hidden="false" customHeight="false" outlineLevel="0" collapsed="false">
      <c r="A446" s="32" t="str">
        <f aca="false">IFERROR(MATCH(ROW()-5,c_Seq,0),"")</f>
        <v/>
      </c>
      <c r="B446" s="11" t="str">
        <f aca="false">IF($A446="","",INDEX(c_Name,$A446)&amp;"")</f>
        <v/>
      </c>
      <c r="C446" s="11" t="str">
        <f aca="false">IF($A446="","",INDEX(c_Firm,$A446)&amp;"")</f>
        <v/>
      </c>
      <c r="D446" s="11" t="str">
        <f aca="false">IF($A446="","",INDEX(c_Type,$A446)&amp;"")</f>
        <v/>
      </c>
      <c r="E446" s="11" t="str">
        <f aca="false">IF($A446="","",INDEX(c_Email,$A446)&amp;"")</f>
        <v/>
      </c>
      <c r="F446" s="34" t="str">
        <f aca="false">IF($A446="","",INDEX(c_Met,$A446)&amp;"")</f>
        <v/>
      </c>
      <c r="G446" s="25" t="str">
        <f aca="false">IF($A446="","",IF(INDEX(c_Date,$A446)="","",INDEX(c_Date,$A446)))</f>
        <v/>
      </c>
      <c r="H446" s="33" t="str">
        <f aca="false">IF($A446="","",IF(INDEX(c_Days,$A446)="","",INDEX(c_Days,$A446)))</f>
        <v/>
      </c>
      <c r="I446" s="40" t="str">
        <f aca="false">IF($A446="","",IF(INDEX(c_Mtgs,$A446)="","",INDEX(c_Mtgs,$A446)))</f>
        <v/>
      </c>
      <c r="J446" s="11" t="str">
        <f aca="false">IF($A446="","",INDEX(c_EvtNames,$A446)&amp;"")</f>
        <v/>
      </c>
      <c r="K446" s="34" t="str">
        <f aca="false">IF($A446="","",INDEX(c_Invested,$A446)&amp;"")</f>
        <v/>
      </c>
      <c r="L446" s="12" t="str">
        <f aca="false">IF($A446="","",IF(INDEX(c_AUM,$A446)="","",INDEX(c_AUM,$A446)))</f>
        <v/>
      </c>
      <c r="M446" s="11" t="str">
        <f aca="false">IF($A446="","",INDEX(c_Source,$A446)&amp;"")</f>
        <v/>
      </c>
      <c r="N446" s="11" t="str">
        <f aca="false">IF($A446="","",INDEX(c_Notes,$A446)&amp;"")</f>
        <v/>
      </c>
    </row>
    <row r="447" customFormat="false" ht="15" hidden="false" customHeight="false" outlineLevel="0" collapsed="false">
      <c r="A447" s="32" t="str">
        <f aca="false">IFERROR(MATCH(ROW()-5,c_Seq,0),"")</f>
        <v/>
      </c>
      <c r="B447" s="15" t="str">
        <f aca="false">IF($A447="","",INDEX(c_Name,$A447)&amp;"")</f>
        <v/>
      </c>
      <c r="C447" s="15" t="str">
        <f aca="false">IF($A447="","",INDEX(c_Firm,$A447)&amp;"")</f>
        <v/>
      </c>
      <c r="D447" s="15" t="str">
        <f aca="false">IF($A447="","",INDEX(c_Type,$A447)&amp;"")</f>
        <v/>
      </c>
      <c r="E447" s="15" t="str">
        <f aca="false">IF($A447="","",INDEX(c_Email,$A447)&amp;"")</f>
        <v/>
      </c>
      <c r="F447" s="36" t="str">
        <f aca="false">IF($A447="","",INDEX(c_Met,$A447)&amp;"")</f>
        <v/>
      </c>
      <c r="G447" s="26" t="str">
        <f aca="false">IF($A447="","",IF(INDEX(c_Date,$A447)="","",INDEX(c_Date,$A447)))</f>
        <v/>
      </c>
      <c r="H447" s="35" t="str">
        <f aca="false">IF($A447="","",IF(INDEX(c_Days,$A447)="","",INDEX(c_Days,$A447)))</f>
        <v/>
      </c>
      <c r="I447" s="41" t="str">
        <f aca="false">IF($A447="","",IF(INDEX(c_Mtgs,$A447)="","",INDEX(c_Mtgs,$A447)))</f>
        <v/>
      </c>
      <c r="J447" s="15" t="str">
        <f aca="false">IF($A447="","",INDEX(c_EvtNames,$A447)&amp;"")</f>
        <v/>
      </c>
      <c r="K447" s="36" t="str">
        <f aca="false">IF($A447="","",INDEX(c_Invested,$A447)&amp;"")</f>
        <v/>
      </c>
      <c r="L447" s="16" t="str">
        <f aca="false">IF($A447="","",IF(INDEX(c_AUM,$A447)="","",INDEX(c_AUM,$A447)))</f>
        <v/>
      </c>
      <c r="M447" s="15" t="str">
        <f aca="false">IF($A447="","",INDEX(c_Source,$A447)&amp;"")</f>
        <v/>
      </c>
      <c r="N447" s="15" t="str">
        <f aca="false">IF($A447="","",INDEX(c_Notes,$A447)&amp;"")</f>
        <v/>
      </c>
    </row>
    <row r="448" customFormat="false" ht="15" hidden="false" customHeight="false" outlineLevel="0" collapsed="false">
      <c r="A448" s="32" t="str">
        <f aca="false">IFERROR(MATCH(ROW()-5,c_Seq,0),"")</f>
        <v/>
      </c>
      <c r="B448" s="11" t="str">
        <f aca="false">IF($A448="","",INDEX(c_Name,$A448)&amp;"")</f>
        <v/>
      </c>
      <c r="C448" s="11" t="str">
        <f aca="false">IF($A448="","",INDEX(c_Firm,$A448)&amp;"")</f>
        <v/>
      </c>
      <c r="D448" s="11" t="str">
        <f aca="false">IF($A448="","",INDEX(c_Type,$A448)&amp;"")</f>
        <v/>
      </c>
      <c r="E448" s="11" t="str">
        <f aca="false">IF($A448="","",INDEX(c_Email,$A448)&amp;"")</f>
        <v/>
      </c>
      <c r="F448" s="34" t="str">
        <f aca="false">IF($A448="","",INDEX(c_Met,$A448)&amp;"")</f>
        <v/>
      </c>
      <c r="G448" s="25" t="str">
        <f aca="false">IF($A448="","",IF(INDEX(c_Date,$A448)="","",INDEX(c_Date,$A448)))</f>
        <v/>
      </c>
      <c r="H448" s="33" t="str">
        <f aca="false">IF($A448="","",IF(INDEX(c_Days,$A448)="","",INDEX(c_Days,$A448)))</f>
        <v/>
      </c>
      <c r="I448" s="40" t="str">
        <f aca="false">IF($A448="","",IF(INDEX(c_Mtgs,$A448)="","",INDEX(c_Mtgs,$A448)))</f>
        <v/>
      </c>
      <c r="J448" s="11" t="str">
        <f aca="false">IF($A448="","",INDEX(c_EvtNames,$A448)&amp;"")</f>
        <v/>
      </c>
      <c r="K448" s="34" t="str">
        <f aca="false">IF($A448="","",INDEX(c_Invested,$A448)&amp;"")</f>
        <v/>
      </c>
      <c r="L448" s="12" t="str">
        <f aca="false">IF($A448="","",IF(INDEX(c_AUM,$A448)="","",INDEX(c_AUM,$A448)))</f>
        <v/>
      </c>
      <c r="M448" s="11" t="str">
        <f aca="false">IF($A448="","",INDEX(c_Source,$A448)&amp;"")</f>
        <v/>
      </c>
      <c r="N448" s="11" t="str">
        <f aca="false">IF($A448="","",INDEX(c_Notes,$A448)&amp;"")</f>
        <v/>
      </c>
    </row>
    <row r="449" customFormat="false" ht="15" hidden="false" customHeight="false" outlineLevel="0" collapsed="false">
      <c r="A449" s="32" t="str">
        <f aca="false">IFERROR(MATCH(ROW()-5,c_Seq,0),"")</f>
        <v/>
      </c>
      <c r="B449" s="15" t="str">
        <f aca="false">IF($A449="","",INDEX(c_Name,$A449)&amp;"")</f>
        <v/>
      </c>
      <c r="C449" s="15" t="str">
        <f aca="false">IF($A449="","",INDEX(c_Firm,$A449)&amp;"")</f>
        <v/>
      </c>
      <c r="D449" s="15" t="str">
        <f aca="false">IF($A449="","",INDEX(c_Type,$A449)&amp;"")</f>
        <v/>
      </c>
      <c r="E449" s="15" t="str">
        <f aca="false">IF($A449="","",INDEX(c_Email,$A449)&amp;"")</f>
        <v/>
      </c>
      <c r="F449" s="36" t="str">
        <f aca="false">IF($A449="","",INDEX(c_Met,$A449)&amp;"")</f>
        <v/>
      </c>
      <c r="G449" s="26" t="str">
        <f aca="false">IF($A449="","",IF(INDEX(c_Date,$A449)="","",INDEX(c_Date,$A449)))</f>
        <v/>
      </c>
      <c r="H449" s="35" t="str">
        <f aca="false">IF($A449="","",IF(INDEX(c_Days,$A449)="","",INDEX(c_Days,$A449)))</f>
        <v/>
      </c>
      <c r="I449" s="41" t="str">
        <f aca="false">IF($A449="","",IF(INDEX(c_Mtgs,$A449)="","",INDEX(c_Mtgs,$A449)))</f>
        <v/>
      </c>
      <c r="J449" s="15" t="str">
        <f aca="false">IF($A449="","",INDEX(c_EvtNames,$A449)&amp;"")</f>
        <v/>
      </c>
      <c r="K449" s="36" t="str">
        <f aca="false">IF($A449="","",INDEX(c_Invested,$A449)&amp;"")</f>
        <v/>
      </c>
      <c r="L449" s="16" t="str">
        <f aca="false">IF($A449="","",IF(INDEX(c_AUM,$A449)="","",INDEX(c_AUM,$A449)))</f>
        <v/>
      </c>
      <c r="M449" s="15" t="str">
        <f aca="false">IF($A449="","",INDEX(c_Source,$A449)&amp;"")</f>
        <v/>
      </c>
      <c r="N449" s="15" t="str">
        <f aca="false">IF($A449="","",INDEX(c_Notes,$A449)&amp;"")</f>
        <v/>
      </c>
    </row>
    <row r="450" customFormat="false" ht="15" hidden="false" customHeight="false" outlineLevel="0" collapsed="false">
      <c r="A450" s="32" t="str">
        <f aca="false">IFERROR(MATCH(ROW()-5,c_Seq,0),"")</f>
        <v/>
      </c>
      <c r="B450" s="11" t="str">
        <f aca="false">IF($A450="","",INDEX(c_Name,$A450)&amp;"")</f>
        <v/>
      </c>
      <c r="C450" s="11" t="str">
        <f aca="false">IF($A450="","",INDEX(c_Firm,$A450)&amp;"")</f>
        <v/>
      </c>
      <c r="D450" s="11" t="str">
        <f aca="false">IF($A450="","",INDEX(c_Type,$A450)&amp;"")</f>
        <v/>
      </c>
      <c r="E450" s="11" t="str">
        <f aca="false">IF($A450="","",INDEX(c_Email,$A450)&amp;"")</f>
        <v/>
      </c>
      <c r="F450" s="34" t="str">
        <f aca="false">IF($A450="","",INDEX(c_Met,$A450)&amp;"")</f>
        <v/>
      </c>
      <c r="G450" s="25" t="str">
        <f aca="false">IF($A450="","",IF(INDEX(c_Date,$A450)="","",INDEX(c_Date,$A450)))</f>
        <v/>
      </c>
      <c r="H450" s="33" t="str">
        <f aca="false">IF($A450="","",IF(INDEX(c_Days,$A450)="","",INDEX(c_Days,$A450)))</f>
        <v/>
      </c>
      <c r="I450" s="40" t="str">
        <f aca="false">IF($A450="","",IF(INDEX(c_Mtgs,$A450)="","",INDEX(c_Mtgs,$A450)))</f>
        <v/>
      </c>
      <c r="J450" s="11" t="str">
        <f aca="false">IF($A450="","",INDEX(c_EvtNames,$A450)&amp;"")</f>
        <v/>
      </c>
      <c r="K450" s="34" t="str">
        <f aca="false">IF($A450="","",INDEX(c_Invested,$A450)&amp;"")</f>
        <v/>
      </c>
      <c r="L450" s="12" t="str">
        <f aca="false">IF($A450="","",IF(INDEX(c_AUM,$A450)="","",INDEX(c_AUM,$A450)))</f>
        <v/>
      </c>
      <c r="M450" s="11" t="str">
        <f aca="false">IF($A450="","",INDEX(c_Source,$A450)&amp;"")</f>
        <v/>
      </c>
      <c r="N450" s="11" t="str">
        <f aca="false">IF($A450="","",INDEX(c_Notes,$A450)&amp;"")</f>
        <v/>
      </c>
    </row>
    <row r="451" customFormat="false" ht="15" hidden="false" customHeight="false" outlineLevel="0" collapsed="false">
      <c r="A451" s="32" t="str">
        <f aca="false">IFERROR(MATCH(ROW()-5,c_Seq,0),"")</f>
        <v/>
      </c>
      <c r="B451" s="15" t="str">
        <f aca="false">IF($A451="","",INDEX(c_Name,$A451)&amp;"")</f>
        <v/>
      </c>
      <c r="C451" s="15" t="str">
        <f aca="false">IF($A451="","",INDEX(c_Firm,$A451)&amp;"")</f>
        <v/>
      </c>
      <c r="D451" s="15" t="str">
        <f aca="false">IF($A451="","",INDEX(c_Type,$A451)&amp;"")</f>
        <v/>
      </c>
      <c r="E451" s="15" t="str">
        <f aca="false">IF($A451="","",INDEX(c_Email,$A451)&amp;"")</f>
        <v/>
      </c>
      <c r="F451" s="36" t="str">
        <f aca="false">IF($A451="","",INDEX(c_Met,$A451)&amp;"")</f>
        <v/>
      </c>
      <c r="G451" s="26" t="str">
        <f aca="false">IF($A451="","",IF(INDEX(c_Date,$A451)="","",INDEX(c_Date,$A451)))</f>
        <v/>
      </c>
      <c r="H451" s="35" t="str">
        <f aca="false">IF($A451="","",IF(INDEX(c_Days,$A451)="","",INDEX(c_Days,$A451)))</f>
        <v/>
      </c>
      <c r="I451" s="41" t="str">
        <f aca="false">IF($A451="","",IF(INDEX(c_Mtgs,$A451)="","",INDEX(c_Mtgs,$A451)))</f>
        <v/>
      </c>
      <c r="J451" s="15" t="str">
        <f aca="false">IF($A451="","",INDEX(c_EvtNames,$A451)&amp;"")</f>
        <v/>
      </c>
      <c r="K451" s="36" t="str">
        <f aca="false">IF($A451="","",INDEX(c_Invested,$A451)&amp;"")</f>
        <v/>
      </c>
      <c r="L451" s="16" t="str">
        <f aca="false">IF($A451="","",IF(INDEX(c_AUM,$A451)="","",INDEX(c_AUM,$A451)))</f>
        <v/>
      </c>
      <c r="M451" s="15" t="str">
        <f aca="false">IF($A451="","",INDEX(c_Source,$A451)&amp;"")</f>
        <v/>
      </c>
      <c r="N451" s="15" t="str">
        <f aca="false">IF($A451="","",INDEX(c_Notes,$A451)&amp;"")</f>
        <v/>
      </c>
    </row>
    <row r="452" customFormat="false" ht="15" hidden="false" customHeight="false" outlineLevel="0" collapsed="false">
      <c r="A452" s="32" t="str">
        <f aca="false">IFERROR(MATCH(ROW()-5,c_Seq,0),"")</f>
        <v/>
      </c>
      <c r="B452" s="11" t="str">
        <f aca="false">IF($A452="","",INDEX(c_Name,$A452)&amp;"")</f>
        <v/>
      </c>
      <c r="C452" s="11" t="str">
        <f aca="false">IF($A452="","",INDEX(c_Firm,$A452)&amp;"")</f>
        <v/>
      </c>
      <c r="D452" s="11" t="str">
        <f aca="false">IF($A452="","",INDEX(c_Type,$A452)&amp;"")</f>
        <v/>
      </c>
      <c r="E452" s="11" t="str">
        <f aca="false">IF($A452="","",INDEX(c_Email,$A452)&amp;"")</f>
        <v/>
      </c>
      <c r="F452" s="34" t="str">
        <f aca="false">IF($A452="","",INDEX(c_Met,$A452)&amp;"")</f>
        <v/>
      </c>
      <c r="G452" s="25" t="str">
        <f aca="false">IF($A452="","",IF(INDEX(c_Date,$A452)="","",INDEX(c_Date,$A452)))</f>
        <v/>
      </c>
      <c r="H452" s="33" t="str">
        <f aca="false">IF($A452="","",IF(INDEX(c_Days,$A452)="","",INDEX(c_Days,$A452)))</f>
        <v/>
      </c>
      <c r="I452" s="40" t="str">
        <f aca="false">IF($A452="","",IF(INDEX(c_Mtgs,$A452)="","",INDEX(c_Mtgs,$A452)))</f>
        <v/>
      </c>
      <c r="J452" s="11" t="str">
        <f aca="false">IF($A452="","",INDEX(c_EvtNames,$A452)&amp;"")</f>
        <v/>
      </c>
      <c r="K452" s="34" t="str">
        <f aca="false">IF($A452="","",INDEX(c_Invested,$A452)&amp;"")</f>
        <v/>
      </c>
      <c r="L452" s="12" t="str">
        <f aca="false">IF($A452="","",IF(INDEX(c_AUM,$A452)="","",INDEX(c_AUM,$A452)))</f>
        <v/>
      </c>
      <c r="M452" s="11" t="str">
        <f aca="false">IF($A452="","",INDEX(c_Source,$A452)&amp;"")</f>
        <v/>
      </c>
      <c r="N452" s="11" t="str">
        <f aca="false">IF($A452="","",INDEX(c_Notes,$A452)&amp;"")</f>
        <v/>
      </c>
    </row>
    <row r="453" customFormat="false" ht="15" hidden="false" customHeight="false" outlineLevel="0" collapsed="false">
      <c r="A453" s="32" t="str">
        <f aca="false">IFERROR(MATCH(ROW()-5,c_Seq,0),"")</f>
        <v/>
      </c>
      <c r="B453" s="15" t="str">
        <f aca="false">IF($A453="","",INDEX(c_Name,$A453)&amp;"")</f>
        <v/>
      </c>
      <c r="C453" s="15" t="str">
        <f aca="false">IF($A453="","",INDEX(c_Firm,$A453)&amp;"")</f>
        <v/>
      </c>
      <c r="D453" s="15" t="str">
        <f aca="false">IF($A453="","",INDEX(c_Type,$A453)&amp;"")</f>
        <v/>
      </c>
      <c r="E453" s="15" t="str">
        <f aca="false">IF($A453="","",INDEX(c_Email,$A453)&amp;"")</f>
        <v/>
      </c>
      <c r="F453" s="36" t="str">
        <f aca="false">IF($A453="","",INDEX(c_Met,$A453)&amp;"")</f>
        <v/>
      </c>
      <c r="G453" s="26" t="str">
        <f aca="false">IF($A453="","",IF(INDEX(c_Date,$A453)="","",INDEX(c_Date,$A453)))</f>
        <v/>
      </c>
      <c r="H453" s="35" t="str">
        <f aca="false">IF($A453="","",IF(INDEX(c_Days,$A453)="","",INDEX(c_Days,$A453)))</f>
        <v/>
      </c>
      <c r="I453" s="41" t="str">
        <f aca="false">IF($A453="","",IF(INDEX(c_Mtgs,$A453)="","",INDEX(c_Mtgs,$A453)))</f>
        <v/>
      </c>
      <c r="J453" s="15" t="str">
        <f aca="false">IF($A453="","",INDEX(c_EvtNames,$A453)&amp;"")</f>
        <v/>
      </c>
      <c r="K453" s="36" t="str">
        <f aca="false">IF($A453="","",INDEX(c_Invested,$A453)&amp;"")</f>
        <v/>
      </c>
      <c r="L453" s="16" t="str">
        <f aca="false">IF($A453="","",IF(INDEX(c_AUM,$A453)="","",INDEX(c_AUM,$A453)))</f>
        <v/>
      </c>
      <c r="M453" s="15" t="str">
        <f aca="false">IF($A453="","",INDEX(c_Source,$A453)&amp;"")</f>
        <v/>
      </c>
      <c r="N453" s="15" t="str">
        <f aca="false">IF($A453="","",INDEX(c_Notes,$A453)&amp;"")</f>
        <v/>
      </c>
    </row>
    <row r="454" customFormat="false" ht="15" hidden="false" customHeight="false" outlineLevel="0" collapsed="false">
      <c r="A454" s="32" t="str">
        <f aca="false">IFERROR(MATCH(ROW()-5,c_Seq,0),"")</f>
        <v/>
      </c>
      <c r="B454" s="11" t="str">
        <f aca="false">IF($A454="","",INDEX(c_Name,$A454)&amp;"")</f>
        <v/>
      </c>
      <c r="C454" s="11" t="str">
        <f aca="false">IF($A454="","",INDEX(c_Firm,$A454)&amp;"")</f>
        <v/>
      </c>
      <c r="D454" s="11" t="str">
        <f aca="false">IF($A454="","",INDEX(c_Type,$A454)&amp;"")</f>
        <v/>
      </c>
      <c r="E454" s="11" t="str">
        <f aca="false">IF($A454="","",INDEX(c_Email,$A454)&amp;"")</f>
        <v/>
      </c>
      <c r="F454" s="34" t="str">
        <f aca="false">IF($A454="","",INDEX(c_Met,$A454)&amp;"")</f>
        <v/>
      </c>
      <c r="G454" s="25" t="str">
        <f aca="false">IF($A454="","",IF(INDEX(c_Date,$A454)="","",INDEX(c_Date,$A454)))</f>
        <v/>
      </c>
      <c r="H454" s="33" t="str">
        <f aca="false">IF($A454="","",IF(INDEX(c_Days,$A454)="","",INDEX(c_Days,$A454)))</f>
        <v/>
      </c>
      <c r="I454" s="40" t="str">
        <f aca="false">IF($A454="","",IF(INDEX(c_Mtgs,$A454)="","",INDEX(c_Mtgs,$A454)))</f>
        <v/>
      </c>
      <c r="J454" s="11" t="str">
        <f aca="false">IF($A454="","",INDEX(c_EvtNames,$A454)&amp;"")</f>
        <v/>
      </c>
      <c r="K454" s="34" t="str">
        <f aca="false">IF($A454="","",INDEX(c_Invested,$A454)&amp;"")</f>
        <v/>
      </c>
      <c r="L454" s="12" t="str">
        <f aca="false">IF($A454="","",IF(INDEX(c_AUM,$A454)="","",INDEX(c_AUM,$A454)))</f>
        <v/>
      </c>
      <c r="M454" s="11" t="str">
        <f aca="false">IF($A454="","",INDEX(c_Source,$A454)&amp;"")</f>
        <v/>
      </c>
      <c r="N454" s="11" t="str">
        <f aca="false">IF($A454="","",INDEX(c_Notes,$A454)&amp;"")</f>
        <v/>
      </c>
    </row>
    <row r="455" customFormat="false" ht="15" hidden="false" customHeight="false" outlineLevel="0" collapsed="false">
      <c r="A455" s="32" t="str">
        <f aca="false">IFERROR(MATCH(ROW()-5,c_Seq,0),"")</f>
        <v/>
      </c>
      <c r="B455" s="15" t="str">
        <f aca="false">IF($A455="","",INDEX(c_Name,$A455)&amp;"")</f>
        <v/>
      </c>
      <c r="C455" s="15" t="str">
        <f aca="false">IF($A455="","",INDEX(c_Firm,$A455)&amp;"")</f>
        <v/>
      </c>
      <c r="D455" s="15" t="str">
        <f aca="false">IF($A455="","",INDEX(c_Type,$A455)&amp;"")</f>
        <v/>
      </c>
      <c r="E455" s="15" t="str">
        <f aca="false">IF($A455="","",INDEX(c_Email,$A455)&amp;"")</f>
        <v/>
      </c>
      <c r="F455" s="36" t="str">
        <f aca="false">IF($A455="","",INDEX(c_Met,$A455)&amp;"")</f>
        <v/>
      </c>
      <c r="G455" s="26" t="str">
        <f aca="false">IF($A455="","",IF(INDEX(c_Date,$A455)="","",INDEX(c_Date,$A455)))</f>
        <v/>
      </c>
      <c r="H455" s="35" t="str">
        <f aca="false">IF($A455="","",IF(INDEX(c_Days,$A455)="","",INDEX(c_Days,$A455)))</f>
        <v/>
      </c>
      <c r="I455" s="41" t="str">
        <f aca="false">IF($A455="","",IF(INDEX(c_Mtgs,$A455)="","",INDEX(c_Mtgs,$A455)))</f>
        <v/>
      </c>
      <c r="J455" s="15" t="str">
        <f aca="false">IF($A455="","",INDEX(c_EvtNames,$A455)&amp;"")</f>
        <v/>
      </c>
      <c r="K455" s="36" t="str">
        <f aca="false">IF($A455="","",INDEX(c_Invested,$A455)&amp;"")</f>
        <v/>
      </c>
      <c r="L455" s="16" t="str">
        <f aca="false">IF($A455="","",IF(INDEX(c_AUM,$A455)="","",INDEX(c_AUM,$A455)))</f>
        <v/>
      </c>
      <c r="M455" s="15" t="str">
        <f aca="false">IF($A455="","",INDEX(c_Source,$A455)&amp;"")</f>
        <v/>
      </c>
      <c r="N455" s="15" t="str">
        <f aca="false">IF($A455="","",INDEX(c_Notes,$A455)&amp;"")</f>
        <v/>
      </c>
    </row>
    <row r="456" customFormat="false" ht="15" hidden="false" customHeight="false" outlineLevel="0" collapsed="false">
      <c r="A456" s="32" t="str">
        <f aca="false">IFERROR(MATCH(ROW()-5,c_Seq,0),"")</f>
        <v/>
      </c>
      <c r="B456" s="11" t="str">
        <f aca="false">IF($A456="","",INDEX(c_Name,$A456)&amp;"")</f>
        <v/>
      </c>
      <c r="C456" s="11" t="str">
        <f aca="false">IF($A456="","",INDEX(c_Firm,$A456)&amp;"")</f>
        <v/>
      </c>
      <c r="D456" s="11" t="str">
        <f aca="false">IF($A456="","",INDEX(c_Type,$A456)&amp;"")</f>
        <v/>
      </c>
      <c r="E456" s="11" t="str">
        <f aca="false">IF($A456="","",INDEX(c_Email,$A456)&amp;"")</f>
        <v/>
      </c>
      <c r="F456" s="34" t="str">
        <f aca="false">IF($A456="","",INDEX(c_Met,$A456)&amp;"")</f>
        <v/>
      </c>
      <c r="G456" s="25" t="str">
        <f aca="false">IF($A456="","",IF(INDEX(c_Date,$A456)="","",INDEX(c_Date,$A456)))</f>
        <v/>
      </c>
      <c r="H456" s="33" t="str">
        <f aca="false">IF($A456="","",IF(INDEX(c_Days,$A456)="","",INDEX(c_Days,$A456)))</f>
        <v/>
      </c>
      <c r="I456" s="40" t="str">
        <f aca="false">IF($A456="","",IF(INDEX(c_Mtgs,$A456)="","",INDEX(c_Mtgs,$A456)))</f>
        <v/>
      </c>
      <c r="J456" s="11" t="str">
        <f aca="false">IF($A456="","",INDEX(c_EvtNames,$A456)&amp;"")</f>
        <v/>
      </c>
      <c r="K456" s="34" t="str">
        <f aca="false">IF($A456="","",INDEX(c_Invested,$A456)&amp;"")</f>
        <v/>
      </c>
      <c r="L456" s="12" t="str">
        <f aca="false">IF($A456="","",IF(INDEX(c_AUM,$A456)="","",INDEX(c_AUM,$A456)))</f>
        <v/>
      </c>
      <c r="M456" s="11" t="str">
        <f aca="false">IF($A456="","",INDEX(c_Source,$A456)&amp;"")</f>
        <v/>
      </c>
      <c r="N456" s="11" t="str">
        <f aca="false">IF($A456="","",INDEX(c_Notes,$A456)&amp;"")</f>
        <v/>
      </c>
    </row>
    <row r="457" customFormat="false" ht="15" hidden="false" customHeight="false" outlineLevel="0" collapsed="false">
      <c r="A457" s="32" t="str">
        <f aca="false">IFERROR(MATCH(ROW()-5,c_Seq,0),"")</f>
        <v/>
      </c>
      <c r="B457" s="15" t="str">
        <f aca="false">IF($A457="","",INDEX(c_Name,$A457)&amp;"")</f>
        <v/>
      </c>
      <c r="C457" s="15" t="str">
        <f aca="false">IF($A457="","",INDEX(c_Firm,$A457)&amp;"")</f>
        <v/>
      </c>
      <c r="D457" s="15" t="str">
        <f aca="false">IF($A457="","",INDEX(c_Type,$A457)&amp;"")</f>
        <v/>
      </c>
      <c r="E457" s="15" t="str">
        <f aca="false">IF($A457="","",INDEX(c_Email,$A457)&amp;"")</f>
        <v/>
      </c>
      <c r="F457" s="36" t="str">
        <f aca="false">IF($A457="","",INDEX(c_Met,$A457)&amp;"")</f>
        <v/>
      </c>
      <c r="G457" s="26" t="str">
        <f aca="false">IF($A457="","",IF(INDEX(c_Date,$A457)="","",INDEX(c_Date,$A457)))</f>
        <v/>
      </c>
      <c r="H457" s="35" t="str">
        <f aca="false">IF($A457="","",IF(INDEX(c_Days,$A457)="","",INDEX(c_Days,$A457)))</f>
        <v/>
      </c>
      <c r="I457" s="41" t="str">
        <f aca="false">IF($A457="","",IF(INDEX(c_Mtgs,$A457)="","",INDEX(c_Mtgs,$A457)))</f>
        <v/>
      </c>
      <c r="J457" s="15" t="str">
        <f aca="false">IF($A457="","",INDEX(c_EvtNames,$A457)&amp;"")</f>
        <v/>
      </c>
      <c r="K457" s="36" t="str">
        <f aca="false">IF($A457="","",INDEX(c_Invested,$A457)&amp;"")</f>
        <v/>
      </c>
      <c r="L457" s="16" t="str">
        <f aca="false">IF($A457="","",IF(INDEX(c_AUM,$A457)="","",INDEX(c_AUM,$A457)))</f>
        <v/>
      </c>
      <c r="M457" s="15" t="str">
        <f aca="false">IF($A457="","",INDEX(c_Source,$A457)&amp;"")</f>
        <v/>
      </c>
      <c r="N457" s="15" t="str">
        <f aca="false">IF($A457="","",INDEX(c_Notes,$A457)&amp;"")</f>
        <v/>
      </c>
    </row>
    <row r="458" customFormat="false" ht="15" hidden="false" customHeight="false" outlineLevel="0" collapsed="false">
      <c r="A458" s="32" t="str">
        <f aca="false">IFERROR(MATCH(ROW()-5,c_Seq,0),"")</f>
        <v/>
      </c>
      <c r="B458" s="11" t="str">
        <f aca="false">IF($A458="","",INDEX(c_Name,$A458)&amp;"")</f>
        <v/>
      </c>
      <c r="C458" s="11" t="str">
        <f aca="false">IF($A458="","",INDEX(c_Firm,$A458)&amp;"")</f>
        <v/>
      </c>
      <c r="D458" s="11" t="str">
        <f aca="false">IF($A458="","",INDEX(c_Type,$A458)&amp;"")</f>
        <v/>
      </c>
      <c r="E458" s="11" t="str">
        <f aca="false">IF($A458="","",INDEX(c_Email,$A458)&amp;"")</f>
        <v/>
      </c>
      <c r="F458" s="34" t="str">
        <f aca="false">IF($A458="","",INDEX(c_Met,$A458)&amp;"")</f>
        <v/>
      </c>
      <c r="G458" s="25" t="str">
        <f aca="false">IF($A458="","",IF(INDEX(c_Date,$A458)="","",INDEX(c_Date,$A458)))</f>
        <v/>
      </c>
      <c r="H458" s="33" t="str">
        <f aca="false">IF($A458="","",IF(INDEX(c_Days,$A458)="","",INDEX(c_Days,$A458)))</f>
        <v/>
      </c>
      <c r="I458" s="40" t="str">
        <f aca="false">IF($A458="","",IF(INDEX(c_Mtgs,$A458)="","",INDEX(c_Mtgs,$A458)))</f>
        <v/>
      </c>
      <c r="J458" s="11" t="str">
        <f aca="false">IF($A458="","",INDEX(c_EvtNames,$A458)&amp;"")</f>
        <v/>
      </c>
      <c r="K458" s="34" t="str">
        <f aca="false">IF($A458="","",INDEX(c_Invested,$A458)&amp;"")</f>
        <v/>
      </c>
      <c r="L458" s="12" t="str">
        <f aca="false">IF($A458="","",IF(INDEX(c_AUM,$A458)="","",INDEX(c_AUM,$A458)))</f>
        <v/>
      </c>
      <c r="M458" s="11" t="str">
        <f aca="false">IF($A458="","",INDEX(c_Source,$A458)&amp;"")</f>
        <v/>
      </c>
      <c r="N458" s="11" t="str">
        <f aca="false">IF($A458="","",INDEX(c_Notes,$A458)&amp;"")</f>
        <v/>
      </c>
    </row>
    <row r="459" customFormat="false" ht="15" hidden="false" customHeight="false" outlineLevel="0" collapsed="false">
      <c r="A459" s="32" t="str">
        <f aca="false">IFERROR(MATCH(ROW()-5,c_Seq,0),"")</f>
        <v/>
      </c>
      <c r="B459" s="15" t="str">
        <f aca="false">IF($A459="","",INDEX(c_Name,$A459)&amp;"")</f>
        <v/>
      </c>
      <c r="C459" s="15" t="str">
        <f aca="false">IF($A459="","",INDEX(c_Firm,$A459)&amp;"")</f>
        <v/>
      </c>
      <c r="D459" s="15" t="str">
        <f aca="false">IF($A459="","",INDEX(c_Type,$A459)&amp;"")</f>
        <v/>
      </c>
      <c r="E459" s="15" t="str">
        <f aca="false">IF($A459="","",INDEX(c_Email,$A459)&amp;"")</f>
        <v/>
      </c>
      <c r="F459" s="36" t="str">
        <f aca="false">IF($A459="","",INDEX(c_Met,$A459)&amp;"")</f>
        <v/>
      </c>
      <c r="G459" s="26" t="str">
        <f aca="false">IF($A459="","",IF(INDEX(c_Date,$A459)="","",INDEX(c_Date,$A459)))</f>
        <v/>
      </c>
      <c r="H459" s="35" t="str">
        <f aca="false">IF($A459="","",IF(INDEX(c_Days,$A459)="","",INDEX(c_Days,$A459)))</f>
        <v/>
      </c>
      <c r="I459" s="41" t="str">
        <f aca="false">IF($A459="","",IF(INDEX(c_Mtgs,$A459)="","",INDEX(c_Mtgs,$A459)))</f>
        <v/>
      </c>
      <c r="J459" s="15" t="str">
        <f aca="false">IF($A459="","",INDEX(c_EvtNames,$A459)&amp;"")</f>
        <v/>
      </c>
      <c r="K459" s="36" t="str">
        <f aca="false">IF($A459="","",INDEX(c_Invested,$A459)&amp;"")</f>
        <v/>
      </c>
      <c r="L459" s="16" t="str">
        <f aca="false">IF($A459="","",IF(INDEX(c_AUM,$A459)="","",INDEX(c_AUM,$A459)))</f>
        <v/>
      </c>
      <c r="M459" s="15" t="str">
        <f aca="false">IF($A459="","",INDEX(c_Source,$A459)&amp;"")</f>
        <v/>
      </c>
      <c r="N459" s="15" t="str">
        <f aca="false">IF($A459="","",INDEX(c_Notes,$A459)&amp;"")</f>
        <v/>
      </c>
    </row>
    <row r="460" customFormat="false" ht="15" hidden="false" customHeight="false" outlineLevel="0" collapsed="false">
      <c r="A460" s="32" t="str">
        <f aca="false">IFERROR(MATCH(ROW()-5,c_Seq,0),"")</f>
        <v/>
      </c>
      <c r="B460" s="11" t="str">
        <f aca="false">IF($A460="","",INDEX(c_Name,$A460)&amp;"")</f>
        <v/>
      </c>
      <c r="C460" s="11" t="str">
        <f aca="false">IF($A460="","",INDEX(c_Firm,$A460)&amp;"")</f>
        <v/>
      </c>
      <c r="D460" s="11" t="str">
        <f aca="false">IF($A460="","",INDEX(c_Type,$A460)&amp;"")</f>
        <v/>
      </c>
      <c r="E460" s="11" t="str">
        <f aca="false">IF($A460="","",INDEX(c_Email,$A460)&amp;"")</f>
        <v/>
      </c>
      <c r="F460" s="34" t="str">
        <f aca="false">IF($A460="","",INDEX(c_Met,$A460)&amp;"")</f>
        <v/>
      </c>
      <c r="G460" s="25" t="str">
        <f aca="false">IF($A460="","",IF(INDEX(c_Date,$A460)="","",INDEX(c_Date,$A460)))</f>
        <v/>
      </c>
      <c r="H460" s="33" t="str">
        <f aca="false">IF($A460="","",IF(INDEX(c_Days,$A460)="","",INDEX(c_Days,$A460)))</f>
        <v/>
      </c>
      <c r="I460" s="40" t="str">
        <f aca="false">IF($A460="","",IF(INDEX(c_Mtgs,$A460)="","",INDEX(c_Mtgs,$A460)))</f>
        <v/>
      </c>
      <c r="J460" s="11" t="str">
        <f aca="false">IF($A460="","",INDEX(c_EvtNames,$A460)&amp;"")</f>
        <v/>
      </c>
      <c r="K460" s="34" t="str">
        <f aca="false">IF($A460="","",INDEX(c_Invested,$A460)&amp;"")</f>
        <v/>
      </c>
      <c r="L460" s="12" t="str">
        <f aca="false">IF($A460="","",IF(INDEX(c_AUM,$A460)="","",INDEX(c_AUM,$A460)))</f>
        <v/>
      </c>
      <c r="M460" s="11" t="str">
        <f aca="false">IF($A460="","",INDEX(c_Source,$A460)&amp;"")</f>
        <v/>
      </c>
      <c r="N460" s="11" t="str">
        <f aca="false">IF($A460="","",INDEX(c_Notes,$A460)&amp;"")</f>
        <v/>
      </c>
    </row>
    <row r="461" customFormat="false" ht="15" hidden="false" customHeight="false" outlineLevel="0" collapsed="false">
      <c r="A461" s="32" t="str">
        <f aca="false">IFERROR(MATCH(ROW()-5,c_Seq,0),"")</f>
        <v/>
      </c>
      <c r="B461" s="15" t="str">
        <f aca="false">IF($A461="","",INDEX(c_Name,$A461)&amp;"")</f>
        <v/>
      </c>
      <c r="C461" s="15" t="str">
        <f aca="false">IF($A461="","",INDEX(c_Firm,$A461)&amp;"")</f>
        <v/>
      </c>
      <c r="D461" s="15" t="str">
        <f aca="false">IF($A461="","",INDEX(c_Type,$A461)&amp;"")</f>
        <v/>
      </c>
      <c r="E461" s="15" t="str">
        <f aca="false">IF($A461="","",INDEX(c_Email,$A461)&amp;"")</f>
        <v/>
      </c>
      <c r="F461" s="36" t="str">
        <f aca="false">IF($A461="","",INDEX(c_Met,$A461)&amp;"")</f>
        <v/>
      </c>
      <c r="G461" s="26" t="str">
        <f aca="false">IF($A461="","",IF(INDEX(c_Date,$A461)="","",INDEX(c_Date,$A461)))</f>
        <v/>
      </c>
      <c r="H461" s="35" t="str">
        <f aca="false">IF($A461="","",IF(INDEX(c_Days,$A461)="","",INDEX(c_Days,$A461)))</f>
        <v/>
      </c>
      <c r="I461" s="41" t="str">
        <f aca="false">IF($A461="","",IF(INDEX(c_Mtgs,$A461)="","",INDEX(c_Mtgs,$A461)))</f>
        <v/>
      </c>
      <c r="J461" s="15" t="str">
        <f aca="false">IF($A461="","",INDEX(c_EvtNames,$A461)&amp;"")</f>
        <v/>
      </c>
      <c r="K461" s="36" t="str">
        <f aca="false">IF($A461="","",INDEX(c_Invested,$A461)&amp;"")</f>
        <v/>
      </c>
      <c r="L461" s="16" t="str">
        <f aca="false">IF($A461="","",IF(INDEX(c_AUM,$A461)="","",INDEX(c_AUM,$A461)))</f>
        <v/>
      </c>
      <c r="M461" s="15" t="str">
        <f aca="false">IF($A461="","",INDEX(c_Source,$A461)&amp;"")</f>
        <v/>
      </c>
      <c r="N461" s="15" t="str">
        <f aca="false">IF($A461="","",INDEX(c_Notes,$A461)&amp;"")</f>
        <v/>
      </c>
    </row>
    <row r="462" customFormat="false" ht="15" hidden="false" customHeight="false" outlineLevel="0" collapsed="false">
      <c r="A462" s="32" t="str">
        <f aca="false">IFERROR(MATCH(ROW()-5,c_Seq,0),"")</f>
        <v/>
      </c>
      <c r="B462" s="11" t="str">
        <f aca="false">IF($A462="","",INDEX(c_Name,$A462)&amp;"")</f>
        <v/>
      </c>
      <c r="C462" s="11" t="str">
        <f aca="false">IF($A462="","",INDEX(c_Firm,$A462)&amp;"")</f>
        <v/>
      </c>
      <c r="D462" s="11" t="str">
        <f aca="false">IF($A462="","",INDEX(c_Type,$A462)&amp;"")</f>
        <v/>
      </c>
      <c r="E462" s="11" t="str">
        <f aca="false">IF($A462="","",INDEX(c_Email,$A462)&amp;"")</f>
        <v/>
      </c>
      <c r="F462" s="34" t="str">
        <f aca="false">IF($A462="","",INDEX(c_Met,$A462)&amp;"")</f>
        <v/>
      </c>
      <c r="G462" s="25" t="str">
        <f aca="false">IF($A462="","",IF(INDEX(c_Date,$A462)="","",INDEX(c_Date,$A462)))</f>
        <v/>
      </c>
      <c r="H462" s="33" t="str">
        <f aca="false">IF($A462="","",IF(INDEX(c_Days,$A462)="","",INDEX(c_Days,$A462)))</f>
        <v/>
      </c>
      <c r="I462" s="40" t="str">
        <f aca="false">IF($A462="","",IF(INDEX(c_Mtgs,$A462)="","",INDEX(c_Mtgs,$A462)))</f>
        <v/>
      </c>
      <c r="J462" s="11" t="str">
        <f aca="false">IF($A462="","",INDEX(c_EvtNames,$A462)&amp;"")</f>
        <v/>
      </c>
      <c r="K462" s="34" t="str">
        <f aca="false">IF($A462="","",INDEX(c_Invested,$A462)&amp;"")</f>
        <v/>
      </c>
      <c r="L462" s="12" t="str">
        <f aca="false">IF($A462="","",IF(INDEX(c_AUM,$A462)="","",INDEX(c_AUM,$A462)))</f>
        <v/>
      </c>
      <c r="M462" s="11" t="str">
        <f aca="false">IF($A462="","",INDEX(c_Source,$A462)&amp;"")</f>
        <v/>
      </c>
      <c r="N462" s="11" t="str">
        <f aca="false">IF($A462="","",INDEX(c_Notes,$A462)&amp;"")</f>
        <v/>
      </c>
    </row>
    <row r="463" customFormat="false" ht="15" hidden="false" customHeight="false" outlineLevel="0" collapsed="false">
      <c r="A463" s="32" t="str">
        <f aca="false">IFERROR(MATCH(ROW()-5,c_Seq,0),"")</f>
        <v/>
      </c>
      <c r="B463" s="15" t="str">
        <f aca="false">IF($A463="","",INDEX(c_Name,$A463)&amp;"")</f>
        <v/>
      </c>
      <c r="C463" s="15" t="str">
        <f aca="false">IF($A463="","",INDEX(c_Firm,$A463)&amp;"")</f>
        <v/>
      </c>
      <c r="D463" s="15" t="str">
        <f aca="false">IF($A463="","",INDEX(c_Type,$A463)&amp;"")</f>
        <v/>
      </c>
      <c r="E463" s="15" t="str">
        <f aca="false">IF($A463="","",INDEX(c_Email,$A463)&amp;"")</f>
        <v/>
      </c>
      <c r="F463" s="36" t="str">
        <f aca="false">IF($A463="","",INDEX(c_Met,$A463)&amp;"")</f>
        <v/>
      </c>
      <c r="G463" s="26" t="str">
        <f aca="false">IF($A463="","",IF(INDEX(c_Date,$A463)="","",INDEX(c_Date,$A463)))</f>
        <v/>
      </c>
      <c r="H463" s="35" t="str">
        <f aca="false">IF($A463="","",IF(INDEX(c_Days,$A463)="","",INDEX(c_Days,$A463)))</f>
        <v/>
      </c>
      <c r="I463" s="41" t="str">
        <f aca="false">IF($A463="","",IF(INDEX(c_Mtgs,$A463)="","",INDEX(c_Mtgs,$A463)))</f>
        <v/>
      </c>
      <c r="J463" s="15" t="str">
        <f aca="false">IF($A463="","",INDEX(c_EvtNames,$A463)&amp;"")</f>
        <v/>
      </c>
      <c r="K463" s="36" t="str">
        <f aca="false">IF($A463="","",INDEX(c_Invested,$A463)&amp;"")</f>
        <v/>
      </c>
      <c r="L463" s="16" t="str">
        <f aca="false">IF($A463="","",IF(INDEX(c_AUM,$A463)="","",INDEX(c_AUM,$A463)))</f>
        <v/>
      </c>
      <c r="M463" s="15" t="str">
        <f aca="false">IF($A463="","",INDEX(c_Source,$A463)&amp;"")</f>
        <v/>
      </c>
      <c r="N463" s="15" t="str">
        <f aca="false">IF($A463="","",INDEX(c_Notes,$A463)&amp;"")</f>
        <v/>
      </c>
    </row>
    <row r="464" customFormat="false" ht="15" hidden="false" customHeight="false" outlineLevel="0" collapsed="false">
      <c r="A464" s="32" t="str">
        <f aca="false">IFERROR(MATCH(ROW()-5,c_Seq,0),"")</f>
        <v/>
      </c>
      <c r="B464" s="11" t="str">
        <f aca="false">IF($A464="","",INDEX(c_Name,$A464)&amp;"")</f>
        <v/>
      </c>
      <c r="C464" s="11" t="str">
        <f aca="false">IF($A464="","",INDEX(c_Firm,$A464)&amp;"")</f>
        <v/>
      </c>
      <c r="D464" s="11" t="str">
        <f aca="false">IF($A464="","",INDEX(c_Type,$A464)&amp;"")</f>
        <v/>
      </c>
      <c r="E464" s="11" t="str">
        <f aca="false">IF($A464="","",INDEX(c_Email,$A464)&amp;"")</f>
        <v/>
      </c>
      <c r="F464" s="34" t="str">
        <f aca="false">IF($A464="","",INDEX(c_Met,$A464)&amp;"")</f>
        <v/>
      </c>
      <c r="G464" s="25" t="str">
        <f aca="false">IF($A464="","",IF(INDEX(c_Date,$A464)="","",INDEX(c_Date,$A464)))</f>
        <v/>
      </c>
      <c r="H464" s="33" t="str">
        <f aca="false">IF($A464="","",IF(INDEX(c_Days,$A464)="","",INDEX(c_Days,$A464)))</f>
        <v/>
      </c>
      <c r="I464" s="40" t="str">
        <f aca="false">IF($A464="","",IF(INDEX(c_Mtgs,$A464)="","",INDEX(c_Mtgs,$A464)))</f>
        <v/>
      </c>
      <c r="J464" s="11" t="str">
        <f aca="false">IF($A464="","",INDEX(c_EvtNames,$A464)&amp;"")</f>
        <v/>
      </c>
      <c r="K464" s="34" t="str">
        <f aca="false">IF($A464="","",INDEX(c_Invested,$A464)&amp;"")</f>
        <v/>
      </c>
      <c r="L464" s="12" t="str">
        <f aca="false">IF($A464="","",IF(INDEX(c_AUM,$A464)="","",INDEX(c_AUM,$A464)))</f>
        <v/>
      </c>
      <c r="M464" s="11" t="str">
        <f aca="false">IF($A464="","",INDEX(c_Source,$A464)&amp;"")</f>
        <v/>
      </c>
      <c r="N464" s="11" t="str">
        <f aca="false">IF($A464="","",INDEX(c_Notes,$A464)&amp;"")</f>
        <v/>
      </c>
    </row>
    <row r="465" customFormat="false" ht="15" hidden="false" customHeight="false" outlineLevel="0" collapsed="false">
      <c r="A465" s="32" t="str">
        <f aca="false">IFERROR(MATCH(ROW()-5,c_Seq,0),"")</f>
        <v/>
      </c>
      <c r="B465" s="15" t="str">
        <f aca="false">IF($A465="","",INDEX(c_Name,$A465)&amp;"")</f>
        <v/>
      </c>
      <c r="C465" s="15" t="str">
        <f aca="false">IF($A465="","",INDEX(c_Firm,$A465)&amp;"")</f>
        <v/>
      </c>
      <c r="D465" s="15" t="str">
        <f aca="false">IF($A465="","",INDEX(c_Type,$A465)&amp;"")</f>
        <v/>
      </c>
      <c r="E465" s="15" t="str">
        <f aca="false">IF($A465="","",INDEX(c_Email,$A465)&amp;"")</f>
        <v/>
      </c>
      <c r="F465" s="36" t="str">
        <f aca="false">IF($A465="","",INDEX(c_Met,$A465)&amp;"")</f>
        <v/>
      </c>
      <c r="G465" s="26" t="str">
        <f aca="false">IF($A465="","",IF(INDEX(c_Date,$A465)="","",INDEX(c_Date,$A465)))</f>
        <v/>
      </c>
      <c r="H465" s="35" t="str">
        <f aca="false">IF($A465="","",IF(INDEX(c_Days,$A465)="","",INDEX(c_Days,$A465)))</f>
        <v/>
      </c>
      <c r="I465" s="41" t="str">
        <f aca="false">IF($A465="","",IF(INDEX(c_Mtgs,$A465)="","",INDEX(c_Mtgs,$A465)))</f>
        <v/>
      </c>
      <c r="J465" s="15" t="str">
        <f aca="false">IF($A465="","",INDEX(c_EvtNames,$A465)&amp;"")</f>
        <v/>
      </c>
      <c r="K465" s="36" t="str">
        <f aca="false">IF($A465="","",INDEX(c_Invested,$A465)&amp;"")</f>
        <v/>
      </c>
      <c r="L465" s="16" t="str">
        <f aca="false">IF($A465="","",IF(INDEX(c_AUM,$A465)="","",INDEX(c_AUM,$A465)))</f>
        <v/>
      </c>
      <c r="M465" s="15" t="str">
        <f aca="false">IF($A465="","",INDEX(c_Source,$A465)&amp;"")</f>
        <v/>
      </c>
      <c r="N465" s="15" t="str">
        <f aca="false">IF($A465="","",INDEX(c_Notes,$A465)&amp;"")</f>
        <v/>
      </c>
    </row>
    <row r="466" customFormat="false" ht="15" hidden="false" customHeight="false" outlineLevel="0" collapsed="false">
      <c r="A466" s="32" t="str">
        <f aca="false">IFERROR(MATCH(ROW()-5,c_Seq,0),"")</f>
        <v/>
      </c>
      <c r="B466" s="11" t="str">
        <f aca="false">IF($A466="","",INDEX(c_Name,$A466)&amp;"")</f>
        <v/>
      </c>
      <c r="C466" s="11" t="str">
        <f aca="false">IF($A466="","",INDEX(c_Firm,$A466)&amp;"")</f>
        <v/>
      </c>
      <c r="D466" s="11" t="str">
        <f aca="false">IF($A466="","",INDEX(c_Type,$A466)&amp;"")</f>
        <v/>
      </c>
      <c r="E466" s="11" t="str">
        <f aca="false">IF($A466="","",INDEX(c_Email,$A466)&amp;"")</f>
        <v/>
      </c>
      <c r="F466" s="34" t="str">
        <f aca="false">IF($A466="","",INDEX(c_Met,$A466)&amp;"")</f>
        <v/>
      </c>
      <c r="G466" s="25" t="str">
        <f aca="false">IF($A466="","",IF(INDEX(c_Date,$A466)="","",INDEX(c_Date,$A466)))</f>
        <v/>
      </c>
      <c r="H466" s="33" t="str">
        <f aca="false">IF($A466="","",IF(INDEX(c_Days,$A466)="","",INDEX(c_Days,$A466)))</f>
        <v/>
      </c>
      <c r="I466" s="40" t="str">
        <f aca="false">IF($A466="","",IF(INDEX(c_Mtgs,$A466)="","",INDEX(c_Mtgs,$A466)))</f>
        <v/>
      </c>
      <c r="J466" s="11" t="str">
        <f aca="false">IF($A466="","",INDEX(c_EvtNames,$A466)&amp;"")</f>
        <v/>
      </c>
      <c r="K466" s="34" t="str">
        <f aca="false">IF($A466="","",INDEX(c_Invested,$A466)&amp;"")</f>
        <v/>
      </c>
      <c r="L466" s="12" t="str">
        <f aca="false">IF($A466="","",IF(INDEX(c_AUM,$A466)="","",INDEX(c_AUM,$A466)))</f>
        <v/>
      </c>
      <c r="M466" s="11" t="str">
        <f aca="false">IF($A466="","",INDEX(c_Source,$A466)&amp;"")</f>
        <v/>
      </c>
      <c r="N466" s="11" t="str">
        <f aca="false">IF($A466="","",INDEX(c_Notes,$A466)&amp;"")</f>
        <v/>
      </c>
    </row>
    <row r="467" customFormat="false" ht="15" hidden="false" customHeight="false" outlineLevel="0" collapsed="false">
      <c r="A467" s="32" t="str">
        <f aca="false">IFERROR(MATCH(ROW()-5,c_Seq,0),"")</f>
        <v/>
      </c>
      <c r="B467" s="15" t="str">
        <f aca="false">IF($A467="","",INDEX(c_Name,$A467)&amp;"")</f>
        <v/>
      </c>
      <c r="C467" s="15" t="str">
        <f aca="false">IF($A467="","",INDEX(c_Firm,$A467)&amp;"")</f>
        <v/>
      </c>
      <c r="D467" s="15" t="str">
        <f aca="false">IF($A467="","",INDEX(c_Type,$A467)&amp;"")</f>
        <v/>
      </c>
      <c r="E467" s="15" t="str">
        <f aca="false">IF($A467="","",INDEX(c_Email,$A467)&amp;"")</f>
        <v/>
      </c>
      <c r="F467" s="36" t="str">
        <f aca="false">IF($A467="","",INDEX(c_Met,$A467)&amp;"")</f>
        <v/>
      </c>
      <c r="G467" s="26" t="str">
        <f aca="false">IF($A467="","",IF(INDEX(c_Date,$A467)="","",INDEX(c_Date,$A467)))</f>
        <v/>
      </c>
      <c r="H467" s="35" t="str">
        <f aca="false">IF($A467="","",IF(INDEX(c_Days,$A467)="","",INDEX(c_Days,$A467)))</f>
        <v/>
      </c>
      <c r="I467" s="41" t="str">
        <f aca="false">IF($A467="","",IF(INDEX(c_Mtgs,$A467)="","",INDEX(c_Mtgs,$A467)))</f>
        <v/>
      </c>
      <c r="J467" s="15" t="str">
        <f aca="false">IF($A467="","",INDEX(c_EvtNames,$A467)&amp;"")</f>
        <v/>
      </c>
      <c r="K467" s="36" t="str">
        <f aca="false">IF($A467="","",INDEX(c_Invested,$A467)&amp;"")</f>
        <v/>
      </c>
      <c r="L467" s="16" t="str">
        <f aca="false">IF($A467="","",IF(INDEX(c_AUM,$A467)="","",INDEX(c_AUM,$A467)))</f>
        <v/>
      </c>
      <c r="M467" s="15" t="str">
        <f aca="false">IF($A467="","",INDEX(c_Source,$A467)&amp;"")</f>
        <v/>
      </c>
      <c r="N467" s="15" t="str">
        <f aca="false">IF($A467="","",INDEX(c_Notes,$A467)&amp;"")</f>
        <v/>
      </c>
    </row>
    <row r="468" customFormat="false" ht="15" hidden="false" customHeight="false" outlineLevel="0" collapsed="false">
      <c r="A468" s="32" t="str">
        <f aca="false">IFERROR(MATCH(ROW()-5,c_Seq,0),"")</f>
        <v/>
      </c>
      <c r="B468" s="11" t="str">
        <f aca="false">IF($A468="","",INDEX(c_Name,$A468)&amp;"")</f>
        <v/>
      </c>
      <c r="C468" s="11" t="str">
        <f aca="false">IF($A468="","",INDEX(c_Firm,$A468)&amp;"")</f>
        <v/>
      </c>
      <c r="D468" s="11" t="str">
        <f aca="false">IF($A468="","",INDEX(c_Type,$A468)&amp;"")</f>
        <v/>
      </c>
      <c r="E468" s="11" t="str">
        <f aca="false">IF($A468="","",INDEX(c_Email,$A468)&amp;"")</f>
        <v/>
      </c>
      <c r="F468" s="34" t="str">
        <f aca="false">IF($A468="","",INDEX(c_Met,$A468)&amp;"")</f>
        <v/>
      </c>
      <c r="G468" s="25" t="str">
        <f aca="false">IF($A468="","",IF(INDEX(c_Date,$A468)="","",INDEX(c_Date,$A468)))</f>
        <v/>
      </c>
      <c r="H468" s="33" t="str">
        <f aca="false">IF($A468="","",IF(INDEX(c_Days,$A468)="","",INDEX(c_Days,$A468)))</f>
        <v/>
      </c>
      <c r="I468" s="40" t="str">
        <f aca="false">IF($A468="","",IF(INDEX(c_Mtgs,$A468)="","",INDEX(c_Mtgs,$A468)))</f>
        <v/>
      </c>
      <c r="J468" s="11" t="str">
        <f aca="false">IF($A468="","",INDEX(c_EvtNames,$A468)&amp;"")</f>
        <v/>
      </c>
      <c r="K468" s="34" t="str">
        <f aca="false">IF($A468="","",INDEX(c_Invested,$A468)&amp;"")</f>
        <v/>
      </c>
      <c r="L468" s="12" t="str">
        <f aca="false">IF($A468="","",IF(INDEX(c_AUM,$A468)="","",INDEX(c_AUM,$A468)))</f>
        <v/>
      </c>
      <c r="M468" s="11" t="str">
        <f aca="false">IF($A468="","",INDEX(c_Source,$A468)&amp;"")</f>
        <v/>
      </c>
      <c r="N468" s="11" t="str">
        <f aca="false">IF($A468="","",INDEX(c_Notes,$A468)&amp;"")</f>
        <v/>
      </c>
    </row>
    <row r="469" customFormat="false" ht="15" hidden="false" customHeight="false" outlineLevel="0" collapsed="false">
      <c r="A469" s="32" t="str">
        <f aca="false">IFERROR(MATCH(ROW()-5,c_Seq,0),"")</f>
        <v/>
      </c>
      <c r="B469" s="15" t="str">
        <f aca="false">IF($A469="","",INDEX(c_Name,$A469)&amp;"")</f>
        <v/>
      </c>
      <c r="C469" s="15" t="str">
        <f aca="false">IF($A469="","",INDEX(c_Firm,$A469)&amp;"")</f>
        <v/>
      </c>
      <c r="D469" s="15" t="str">
        <f aca="false">IF($A469="","",INDEX(c_Type,$A469)&amp;"")</f>
        <v/>
      </c>
      <c r="E469" s="15" t="str">
        <f aca="false">IF($A469="","",INDEX(c_Email,$A469)&amp;"")</f>
        <v/>
      </c>
      <c r="F469" s="36" t="str">
        <f aca="false">IF($A469="","",INDEX(c_Met,$A469)&amp;"")</f>
        <v/>
      </c>
      <c r="G469" s="26" t="str">
        <f aca="false">IF($A469="","",IF(INDEX(c_Date,$A469)="","",INDEX(c_Date,$A469)))</f>
        <v/>
      </c>
      <c r="H469" s="35" t="str">
        <f aca="false">IF($A469="","",IF(INDEX(c_Days,$A469)="","",INDEX(c_Days,$A469)))</f>
        <v/>
      </c>
      <c r="I469" s="41" t="str">
        <f aca="false">IF($A469="","",IF(INDEX(c_Mtgs,$A469)="","",INDEX(c_Mtgs,$A469)))</f>
        <v/>
      </c>
      <c r="J469" s="15" t="str">
        <f aca="false">IF($A469="","",INDEX(c_EvtNames,$A469)&amp;"")</f>
        <v/>
      </c>
      <c r="K469" s="36" t="str">
        <f aca="false">IF($A469="","",INDEX(c_Invested,$A469)&amp;"")</f>
        <v/>
      </c>
      <c r="L469" s="16" t="str">
        <f aca="false">IF($A469="","",IF(INDEX(c_AUM,$A469)="","",INDEX(c_AUM,$A469)))</f>
        <v/>
      </c>
      <c r="M469" s="15" t="str">
        <f aca="false">IF($A469="","",INDEX(c_Source,$A469)&amp;"")</f>
        <v/>
      </c>
      <c r="N469" s="15" t="str">
        <f aca="false">IF($A469="","",INDEX(c_Notes,$A469)&amp;"")</f>
        <v/>
      </c>
    </row>
    <row r="470" customFormat="false" ht="15" hidden="false" customHeight="false" outlineLevel="0" collapsed="false">
      <c r="A470" s="32" t="str">
        <f aca="false">IFERROR(MATCH(ROW()-5,c_Seq,0),"")</f>
        <v/>
      </c>
      <c r="B470" s="11" t="str">
        <f aca="false">IF($A470="","",INDEX(c_Name,$A470)&amp;"")</f>
        <v/>
      </c>
      <c r="C470" s="11" t="str">
        <f aca="false">IF($A470="","",INDEX(c_Firm,$A470)&amp;"")</f>
        <v/>
      </c>
      <c r="D470" s="11" t="str">
        <f aca="false">IF($A470="","",INDEX(c_Type,$A470)&amp;"")</f>
        <v/>
      </c>
      <c r="E470" s="11" t="str">
        <f aca="false">IF($A470="","",INDEX(c_Email,$A470)&amp;"")</f>
        <v/>
      </c>
      <c r="F470" s="34" t="str">
        <f aca="false">IF($A470="","",INDEX(c_Met,$A470)&amp;"")</f>
        <v/>
      </c>
      <c r="G470" s="25" t="str">
        <f aca="false">IF($A470="","",IF(INDEX(c_Date,$A470)="","",INDEX(c_Date,$A470)))</f>
        <v/>
      </c>
      <c r="H470" s="33" t="str">
        <f aca="false">IF($A470="","",IF(INDEX(c_Days,$A470)="","",INDEX(c_Days,$A470)))</f>
        <v/>
      </c>
      <c r="I470" s="40" t="str">
        <f aca="false">IF($A470="","",IF(INDEX(c_Mtgs,$A470)="","",INDEX(c_Mtgs,$A470)))</f>
        <v/>
      </c>
      <c r="J470" s="11" t="str">
        <f aca="false">IF($A470="","",INDEX(c_EvtNames,$A470)&amp;"")</f>
        <v/>
      </c>
      <c r="K470" s="34" t="str">
        <f aca="false">IF($A470="","",INDEX(c_Invested,$A470)&amp;"")</f>
        <v/>
      </c>
      <c r="L470" s="12" t="str">
        <f aca="false">IF($A470="","",IF(INDEX(c_AUM,$A470)="","",INDEX(c_AUM,$A470)))</f>
        <v/>
      </c>
      <c r="M470" s="11" t="str">
        <f aca="false">IF($A470="","",INDEX(c_Source,$A470)&amp;"")</f>
        <v/>
      </c>
      <c r="N470" s="11" t="str">
        <f aca="false">IF($A470="","",INDEX(c_Notes,$A470)&amp;"")</f>
        <v/>
      </c>
    </row>
    <row r="471" customFormat="false" ht="15" hidden="false" customHeight="false" outlineLevel="0" collapsed="false">
      <c r="A471" s="32" t="str">
        <f aca="false">IFERROR(MATCH(ROW()-5,c_Seq,0),"")</f>
        <v/>
      </c>
      <c r="B471" s="15" t="str">
        <f aca="false">IF($A471="","",INDEX(c_Name,$A471)&amp;"")</f>
        <v/>
      </c>
      <c r="C471" s="15" t="str">
        <f aca="false">IF($A471="","",INDEX(c_Firm,$A471)&amp;"")</f>
        <v/>
      </c>
      <c r="D471" s="15" t="str">
        <f aca="false">IF($A471="","",INDEX(c_Type,$A471)&amp;"")</f>
        <v/>
      </c>
      <c r="E471" s="15" t="str">
        <f aca="false">IF($A471="","",INDEX(c_Email,$A471)&amp;"")</f>
        <v/>
      </c>
      <c r="F471" s="36" t="str">
        <f aca="false">IF($A471="","",INDEX(c_Met,$A471)&amp;"")</f>
        <v/>
      </c>
      <c r="G471" s="26" t="str">
        <f aca="false">IF($A471="","",IF(INDEX(c_Date,$A471)="","",INDEX(c_Date,$A471)))</f>
        <v/>
      </c>
      <c r="H471" s="35" t="str">
        <f aca="false">IF($A471="","",IF(INDEX(c_Days,$A471)="","",INDEX(c_Days,$A471)))</f>
        <v/>
      </c>
      <c r="I471" s="41" t="str">
        <f aca="false">IF($A471="","",IF(INDEX(c_Mtgs,$A471)="","",INDEX(c_Mtgs,$A471)))</f>
        <v/>
      </c>
      <c r="J471" s="15" t="str">
        <f aca="false">IF($A471="","",INDEX(c_EvtNames,$A471)&amp;"")</f>
        <v/>
      </c>
      <c r="K471" s="36" t="str">
        <f aca="false">IF($A471="","",INDEX(c_Invested,$A471)&amp;"")</f>
        <v/>
      </c>
      <c r="L471" s="16" t="str">
        <f aca="false">IF($A471="","",IF(INDEX(c_AUM,$A471)="","",INDEX(c_AUM,$A471)))</f>
        <v/>
      </c>
      <c r="M471" s="15" t="str">
        <f aca="false">IF($A471="","",INDEX(c_Source,$A471)&amp;"")</f>
        <v/>
      </c>
      <c r="N471" s="15" t="str">
        <f aca="false">IF($A471="","",INDEX(c_Notes,$A471)&amp;"")</f>
        <v/>
      </c>
    </row>
    <row r="472" customFormat="false" ht="15" hidden="false" customHeight="false" outlineLevel="0" collapsed="false">
      <c r="A472" s="32" t="str">
        <f aca="false">IFERROR(MATCH(ROW()-5,c_Seq,0),"")</f>
        <v/>
      </c>
      <c r="B472" s="11" t="str">
        <f aca="false">IF($A472="","",INDEX(c_Name,$A472)&amp;"")</f>
        <v/>
      </c>
      <c r="C472" s="11" t="str">
        <f aca="false">IF($A472="","",INDEX(c_Firm,$A472)&amp;"")</f>
        <v/>
      </c>
      <c r="D472" s="11" t="str">
        <f aca="false">IF($A472="","",INDEX(c_Type,$A472)&amp;"")</f>
        <v/>
      </c>
      <c r="E472" s="11" t="str">
        <f aca="false">IF($A472="","",INDEX(c_Email,$A472)&amp;"")</f>
        <v/>
      </c>
      <c r="F472" s="34" t="str">
        <f aca="false">IF($A472="","",INDEX(c_Met,$A472)&amp;"")</f>
        <v/>
      </c>
      <c r="G472" s="25" t="str">
        <f aca="false">IF($A472="","",IF(INDEX(c_Date,$A472)="","",INDEX(c_Date,$A472)))</f>
        <v/>
      </c>
      <c r="H472" s="33" t="str">
        <f aca="false">IF($A472="","",IF(INDEX(c_Days,$A472)="","",INDEX(c_Days,$A472)))</f>
        <v/>
      </c>
      <c r="I472" s="40" t="str">
        <f aca="false">IF($A472="","",IF(INDEX(c_Mtgs,$A472)="","",INDEX(c_Mtgs,$A472)))</f>
        <v/>
      </c>
      <c r="J472" s="11" t="str">
        <f aca="false">IF($A472="","",INDEX(c_EvtNames,$A472)&amp;"")</f>
        <v/>
      </c>
      <c r="K472" s="34" t="str">
        <f aca="false">IF($A472="","",INDEX(c_Invested,$A472)&amp;"")</f>
        <v/>
      </c>
      <c r="L472" s="12" t="str">
        <f aca="false">IF($A472="","",IF(INDEX(c_AUM,$A472)="","",INDEX(c_AUM,$A472)))</f>
        <v/>
      </c>
      <c r="M472" s="11" t="str">
        <f aca="false">IF($A472="","",INDEX(c_Source,$A472)&amp;"")</f>
        <v/>
      </c>
      <c r="N472" s="11" t="str">
        <f aca="false">IF($A472="","",INDEX(c_Notes,$A472)&amp;"")</f>
        <v/>
      </c>
    </row>
    <row r="473" customFormat="false" ht="15" hidden="false" customHeight="false" outlineLevel="0" collapsed="false">
      <c r="A473" s="32" t="str">
        <f aca="false">IFERROR(MATCH(ROW()-5,c_Seq,0),"")</f>
        <v/>
      </c>
      <c r="B473" s="15" t="str">
        <f aca="false">IF($A473="","",INDEX(c_Name,$A473)&amp;"")</f>
        <v/>
      </c>
      <c r="C473" s="15" t="str">
        <f aca="false">IF($A473="","",INDEX(c_Firm,$A473)&amp;"")</f>
        <v/>
      </c>
      <c r="D473" s="15" t="str">
        <f aca="false">IF($A473="","",INDEX(c_Type,$A473)&amp;"")</f>
        <v/>
      </c>
      <c r="E473" s="15" t="str">
        <f aca="false">IF($A473="","",INDEX(c_Email,$A473)&amp;"")</f>
        <v/>
      </c>
      <c r="F473" s="36" t="str">
        <f aca="false">IF($A473="","",INDEX(c_Met,$A473)&amp;"")</f>
        <v/>
      </c>
      <c r="G473" s="26" t="str">
        <f aca="false">IF($A473="","",IF(INDEX(c_Date,$A473)="","",INDEX(c_Date,$A473)))</f>
        <v/>
      </c>
      <c r="H473" s="35" t="str">
        <f aca="false">IF($A473="","",IF(INDEX(c_Days,$A473)="","",INDEX(c_Days,$A473)))</f>
        <v/>
      </c>
      <c r="I473" s="41" t="str">
        <f aca="false">IF($A473="","",IF(INDEX(c_Mtgs,$A473)="","",INDEX(c_Mtgs,$A473)))</f>
        <v/>
      </c>
      <c r="J473" s="15" t="str">
        <f aca="false">IF($A473="","",INDEX(c_EvtNames,$A473)&amp;"")</f>
        <v/>
      </c>
      <c r="K473" s="36" t="str">
        <f aca="false">IF($A473="","",INDEX(c_Invested,$A473)&amp;"")</f>
        <v/>
      </c>
      <c r="L473" s="16" t="str">
        <f aca="false">IF($A473="","",IF(INDEX(c_AUM,$A473)="","",INDEX(c_AUM,$A473)))</f>
        <v/>
      </c>
      <c r="M473" s="15" t="str">
        <f aca="false">IF($A473="","",INDEX(c_Source,$A473)&amp;"")</f>
        <v/>
      </c>
      <c r="N473" s="15" t="str">
        <f aca="false">IF($A473="","",INDEX(c_Notes,$A473)&amp;"")</f>
        <v/>
      </c>
    </row>
    <row r="474" customFormat="false" ht="15" hidden="false" customHeight="false" outlineLevel="0" collapsed="false">
      <c r="A474" s="32" t="str">
        <f aca="false">IFERROR(MATCH(ROW()-5,c_Seq,0),"")</f>
        <v/>
      </c>
      <c r="B474" s="11" t="str">
        <f aca="false">IF($A474="","",INDEX(c_Name,$A474)&amp;"")</f>
        <v/>
      </c>
      <c r="C474" s="11" t="str">
        <f aca="false">IF($A474="","",INDEX(c_Firm,$A474)&amp;"")</f>
        <v/>
      </c>
      <c r="D474" s="11" t="str">
        <f aca="false">IF($A474="","",INDEX(c_Type,$A474)&amp;"")</f>
        <v/>
      </c>
      <c r="E474" s="11" t="str">
        <f aca="false">IF($A474="","",INDEX(c_Email,$A474)&amp;"")</f>
        <v/>
      </c>
      <c r="F474" s="34" t="str">
        <f aca="false">IF($A474="","",INDEX(c_Met,$A474)&amp;"")</f>
        <v/>
      </c>
      <c r="G474" s="25" t="str">
        <f aca="false">IF($A474="","",IF(INDEX(c_Date,$A474)="","",INDEX(c_Date,$A474)))</f>
        <v/>
      </c>
      <c r="H474" s="33" t="str">
        <f aca="false">IF($A474="","",IF(INDEX(c_Days,$A474)="","",INDEX(c_Days,$A474)))</f>
        <v/>
      </c>
      <c r="I474" s="40" t="str">
        <f aca="false">IF($A474="","",IF(INDEX(c_Mtgs,$A474)="","",INDEX(c_Mtgs,$A474)))</f>
        <v/>
      </c>
      <c r="J474" s="11" t="str">
        <f aca="false">IF($A474="","",INDEX(c_EvtNames,$A474)&amp;"")</f>
        <v/>
      </c>
      <c r="K474" s="34" t="str">
        <f aca="false">IF($A474="","",INDEX(c_Invested,$A474)&amp;"")</f>
        <v/>
      </c>
      <c r="L474" s="12" t="str">
        <f aca="false">IF($A474="","",IF(INDEX(c_AUM,$A474)="","",INDEX(c_AUM,$A474)))</f>
        <v/>
      </c>
      <c r="M474" s="11" t="str">
        <f aca="false">IF($A474="","",INDEX(c_Source,$A474)&amp;"")</f>
        <v/>
      </c>
      <c r="N474" s="11" t="str">
        <f aca="false">IF($A474="","",INDEX(c_Notes,$A474)&amp;"")</f>
        <v/>
      </c>
    </row>
    <row r="475" customFormat="false" ht="15" hidden="false" customHeight="false" outlineLevel="0" collapsed="false">
      <c r="A475" s="32" t="str">
        <f aca="false">IFERROR(MATCH(ROW()-5,c_Seq,0),"")</f>
        <v/>
      </c>
      <c r="B475" s="15" t="str">
        <f aca="false">IF($A475="","",INDEX(c_Name,$A475)&amp;"")</f>
        <v/>
      </c>
      <c r="C475" s="15" t="str">
        <f aca="false">IF($A475="","",INDEX(c_Firm,$A475)&amp;"")</f>
        <v/>
      </c>
      <c r="D475" s="15" t="str">
        <f aca="false">IF($A475="","",INDEX(c_Type,$A475)&amp;"")</f>
        <v/>
      </c>
      <c r="E475" s="15" t="str">
        <f aca="false">IF($A475="","",INDEX(c_Email,$A475)&amp;"")</f>
        <v/>
      </c>
      <c r="F475" s="36" t="str">
        <f aca="false">IF($A475="","",INDEX(c_Met,$A475)&amp;"")</f>
        <v/>
      </c>
      <c r="G475" s="26" t="str">
        <f aca="false">IF($A475="","",IF(INDEX(c_Date,$A475)="","",INDEX(c_Date,$A475)))</f>
        <v/>
      </c>
      <c r="H475" s="35" t="str">
        <f aca="false">IF($A475="","",IF(INDEX(c_Days,$A475)="","",INDEX(c_Days,$A475)))</f>
        <v/>
      </c>
      <c r="I475" s="41" t="str">
        <f aca="false">IF($A475="","",IF(INDEX(c_Mtgs,$A475)="","",INDEX(c_Mtgs,$A475)))</f>
        <v/>
      </c>
      <c r="J475" s="15" t="str">
        <f aca="false">IF($A475="","",INDEX(c_EvtNames,$A475)&amp;"")</f>
        <v/>
      </c>
      <c r="K475" s="36" t="str">
        <f aca="false">IF($A475="","",INDEX(c_Invested,$A475)&amp;"")</f>
        <v/>
      </c>
      <c r="L475" s="16" t="str">
        <f aca="false">IF($A475="","",IF(INDEX(c_AUM,$A475)="","",INDEX(c_AUM,$A475)))</f>
        <v/>
      </c>
      <c r="M475" s="15" t="str">
        <f aca="false">IF($A475="","",INDEX(c_Source,$A475)&amp;"")</f>
        <v/>
      </c>
      <c r="N475" s="15" t="str">
        <f aca="false">IF($A475="","",INDEX(c_Notes,$A475)&amp;"")</f>
        <v/>
      </c>
    </row>
    <row r="476" customFormat="false" ht="15" hidden="false" customHeight="false" outlineLevel="0" collapsed="false">
      <c r="A476" s="32" t="str">
        <f aca="false">IFERROR(MATCH(ROW()-5,c_Seq,0),"")</f>
        <v/>
      </c>
      <c r="B476" s="11" t="str">
        <f aca="false">IF($A476="","",INDEX(c_Name,$A476)&amp;"")</f>
        <v/>
      </c>
      <c r="C476" s="11" t="str">
        <f aca="false">IF($A476="","",INDEX(c_Firm,$A476)&amp;"")</f>
        <v/>
      </c>
      <c r="D476" s="11" t="str">
        <f aca="false">IF($A476="","",INDEX(c_Type,$A476)&amp;"")</f>
        <v/>
      </c>
      <c r="E476" s="11" t="str">
        <f aca="false">IF($A476="","",INDEX(c_Email,$A476)&amp;"")</f>
        <v/>
      </c>
      <c r="F476" s="34" t="str">
        <f aca="false">IF($A476="","",INDEX(c_Met,$A476)&amp;"")</f>
        <v/>
      </c>
      <c r="G476" s="25" t="str">
        <f aca="false">IF($A476="","",IF(INDEX(c_Date,$A476)="","",INDEX(c_Date,$A476)))</f>
        <v/>
      </c>
      <c r="H476" s="33" t="str">
        <f aca="false">IF($A476="","",IF(INDEX(c_Days,$A476)="","",INDEX(c_Days,$A476)))</f>
        <v/>
      </c>
      <c r="I476" s="40" t="str">
        <f aca="false">IF($A476="","",IF(INDEX(c_Mtgs,$A476)="","",INDEX(c_Mtgs,$A476)))</f>
        <v/>
      </c>
      <c r="J476" s="11" t="str">
        <f aca="false">IF($A476="","",INDEX(c_EvtNames,$A476)&amp;"")</f>
        <v/>
      </c>
      <c r="K476" s="34" t="str">
        <f aca="false">IF($A476="","",INDEX(c_Invested,$A476)&amp;"")</f>
        <v/>
      </c>
      <c r="L476" s="12" t="str">
        <f aca="false">IF($A476="","",IF(INDEX(c_AUM,$A476)="","",INDEX(c_AUM,$A476)))</f>
        <v/>
      </c>
      <c r="M476" s="11" t="str">
        <f aca="false">IF($A476="","",INDEX(c_Source,$A476)&amp;"")</f>
        <v/>
      </c>
      <c r="N476" s="11" t="str">
        <f aca="false">IF($A476="","",INDEX(c_Notes,$A476)&amp;"")</f>
        <v/>
      </c>
    </row>
    <row r="477" customFormat="false" ht="15" hidden="false" customHeight="false" outlineLevel="0" collapsed="false">
      <c r="A477" s="32" t="str">
        <f aca="false">IFERROR(MATCH(ROW()-5,c_Seq,0),"")</f>
        <v/>
      </c>
      <c r="B477" s="15" t="str">
        <f aca="false">IF($A477="","",INDEX(c_Name,$A477)&amp;"")</f>
        <v/>
      </c>
      <c r="C477" s="15" t="str">
        <f aca="false">IF($A477="","",INDEX(c_Firm,$A477)&amp;"")</f>
        <v/>
      </c>
      <c r="D477" s="15" t="str">
        <f aca="false">IF($A477="","",INDEX(c_Type,$A477)&amp;"")</f>
        <v/>
      </c>
      <c r="E477" s="15" t="str">
        <f aca="false">IF($A477="","",INDEX(c_Email,$A477)&amp;"")</f>
        <v/>
      </c>
      <c r="F477" s="36" t="str">
        <f aca="false">IF($A477="","",INDEX(c_Met,$A477)&amp;"")</f>
        <v/>
      </c>
      <c r="G477" s="26" t="str">
        <f aca="false">IF($A477="","",IF(INDEX(c_Date,$A477)="","",INDEX(c_Date,$A477)))</f>
        <v/>
      </c>
      <c r="H477" s="35" t="str">
        <f aca="false">IF($A477="","",IF(INDEX(c_Days,$A477)="","",INDEX(c_Days,$A477)))</f>
        <v/>
      </c>
      <c r="I477" s="41" t="str">
        <f aca="false">IF($A477="","",IF(INDEX(c_Mtgs,$A477)="","",INDEX(c_Mtgs,$A477)))</f>
        <v/>
      </c>
      <c r="J477" s="15" t="str">
        <f aca="false">IF($A477="","",INDEX(c_EvtNames,$A477)&amp;"")</f>
        <v/>
      </c>
      <c r="K477" s="36" t="str">
        <f aca="false">IF($A477="","",INDEX(c_Invested,$A477)&amp;"")</f>
        <v/>
      </c>
      <c r="L477" s="16" t="str">
        <f aca="false">IF($A477="","",IF(INDEX(c_AUM,$A477)="","",INDEX(c_AUM,$A477)))</f>
        <v/>
      </c>
      <c r="M477" s="15" t="str">
        <f aca="false">IF($A477="","",INDEX(c_Source,$A477)&amp;"")</f>
        <v/>
      </c>
      <c r="N477" s="15" t="str">
        <f aca="false">IF($A477="","",INDEX(c_Notes,$A477)&amp;"")</f>
        <v/>
      </c>
    </row>
    <row r="478" customFormat="false" ht="15" hidden="false" customHeight="false" outlineLevel="0" collapsed="false">
      <c r="A478" s="32" t="str">
        <f aca="false">IFERROR(MATCH(ROW()-5,c_Seq,0),"")</f>
        <v/>
      </c>
      <c r="B478" s="11" t="str">
        <f aca="false">IF($A478="","",INDEX(c_Name,$A478)&amp;"")</f>
        <v/>
      </c>
      <c r="C478" s="11" t="str">
        <f aca="false">IF($A478="","",INDEX(c_Firm,$A478)&amp;"")</f>
        <v/>
      </c>
      <c r="D478" s="11" t="str">
        <f aca="false">IF($A478="","",INDEX(c_Type,$A478)&amp;"")</f>
        <v/>
      </c>
      <c r="E478" s="11" t="str">
        <f aca="false">IF($A478="","",INDEX(c_Email,$A478)&amp;"")</f>
        <v/>
      </c>
      <c r="F478" s="34" t="str">
        <f aca="false">IF($A478="","",INDEX(c_Met,$A478)&amp;"")</f>
        <v/>
      </c>
      <c r="G478" s="25" t="str">
        <f aca="false">IF($A478="","",IF(INDEX(c_Date,$A478)="","",INDEX(c_Date,$A478)))</f>
        <v/>
      </c>
      <c r="H478" s="33" t="str">
        <f aca="false">IF($A478="","",IF(INDEX(c_Days,$A478)="","",INDEX(c_Days,$A478)))</f>
        <v/>
      </c>
      <c r="I478" s="40" t="str">
        <f aca="false">IF($A478="","",IF(INDEX(c_Mtgs,$A478)="","",INDEX(c_Mtgs,$A478)))</f>
        <v/>
      </c>
      <c r="J478" s="11" t="str">
        <f aca="false">IF($A478="","",INDEX(c_EvtNames,$A478)&amp;"")</f>
        <v/>
      </c>
      <c r="K478" s="34" t="str">
        <f aca="false">IF($A478="","",INDEX(c_Invested,$A478)&amp;"")</f>
        <v/>
      </c>
      <c r="L478" s="12" t="str">
        <f aca="false">IF($A478="","",IF(INDEX(c_AUM,$A478)="","",INDEX(c_AUM,$A478)))</f>
        <v/>
      </c>
      <c r="M478" s="11" t="str">
        <f aca="false">IF($A478="","",INDEX(c_Source,$A478)&amp;"")</f>
        <v/>
      </c>
      <c r="N478" s="11" t="str">
        <f aca="false">IF($A478="","",INDEX(c_Notes,$A478)&amp;"")</f>
        <v/>
      </c>
    </row>
    <row r="479" customFormat="false" ht="15" hidden="false" customHeight="false" outlineLevel="0" collapsed="false">
      <c r="A479" s="32" t="str">
        <f aca="false">IFERROR(MATCH(ROW()-5,c_Seq,0),"")</f>
        <v/>
      </c>
      <c r="B479" s="15" t="str">
        <f aca="false">IF($A479="","",INDEX(c_Name,$A479)&amp;"")</f>
        <v/>
      </c>
      <c r="C479" s="15" t="str">
        <f aca="false">IF($A479="","",INDEX(c_Firm,$A479)&amp;"")</f>
        <v/>
      </c>
      <c r="D479" s="15" t="str">
        <f aca="false">IF($A479="","",INDEX(c_Type,$A479)&amp;"")</f>
        <v/>
      </c>
      <c r="E479" s="15" t="str">
        <f aca="false">IF($A479="","",INDEX(c_Email,$A479)&amp;"")</f>
        <v/>
      </c>
      <c r="F479" s="36" t="str">
        <f aca="false">IF($A479="","",INDEX(c_Met,$A479)&amp;"")</f>
        <v/>
      </c>
      <c r="G479" s="26" t="str">
        <f aca="false">IF($A479="","",IF(INDEX(c_Date,$A479)="","",INDEX(c_Date,$A479)))</f>
        <v/>
      </c>
      <c r="H479" s="35" t="str">
        <f aca="false">IF($A479="","",IF(INDEX(c_Days,$A479)="","",INDEX(c_Days,$A479)))</f>
        <v/>
      </c>
      <c r="I479" s="41" t="str">
        <f aca="false">IF($A479="","",IF(INDEX(c_Mtgs,$A479)="","",INDEX(c_Mtgs,$A479)))</f>
        <v/>
      </c>
      <c r="J479" s="15" t="str">
        <f aca="false">IF($A479="","",INDEX(c_EvtNames,$A479)&amp;"")</f>
        <v/>
      </c>
      <c r="K479" s="36" t="str">
        <f aca="false">IF($A479="","",INDEX(c_Invested,$A479)&amp;"")</f>
        <v/>
      </c>
      <c r="L479" s="16" t="str">
        <f aca="false">IF($A479="","",IF(INDEX(c_AUM,$A479)="","",INDEX(c_AUM,$A479)))</f>
        <v/>
      </c>
      <c r="M479" s="15" t="str">
        <f aca="false">IF($A479="","",INDEX(c_Source,$A479)&amp;"")</f>
        <v/>
      </c>
      <c r="N479" s="15" t="str">
        <f aca="false">IF($A479="","",INDEX(c_Notes,$A479)&amp;"")</f>
        <v/>
      </c>
    </row>
    <row r="480" customFormat="false" ht="15" hidden="false" customHeight="false" outlineLevel="0" collapsed="false">
      <c r="A480" s="32" t="str">
        <f aca="false">IFERROR(MATCH(ROW()-5,c_Seq,0),"")</f>
        <v/>
      </c>
      <c r="B480" s="11" t="str">
        <f aca="false">IF($A480="","",INDEX(c_Name,$A480)&amp;"")</f>
        <v/>
      </c>
      <c r="C480" s="11" t="str">
        <f aca="false">IF($A480="","",INDEX(c_Firm,$A480)&amp;"")</f>
        <v/>
      </c>
      <c r="D480" s="11" t="str">
        <f aca="false">IF($A480="","",INDEX(c_Type,$A480)&amp;"")</f>
        <v/>
      </c>
      <c r="E480" s="11" t="str">
        <f aca="false">IF($A480="","",INDEX(c_Email,$A480)&amp;"")</f>
        <v/>
      </c>
      <c r="F480" s="34" t="str">
        <f aca="false">IF($A480="","",INDEX(c_Met,$A480)&amp;"")</f>
        <v/>
      </c>
      <c r="G480" s="25" t="str">
        <f aca="false">IF($A480="","",IF(INDEX(c_Date,$A480)="","",INDEX(c_Date,$A480)))</f>
        <v/>
      </c>
      <c r="H480" s="33" t="str">
        <f aca="false">IF($A480="","",IF(INDEX(c_Days,$A480)="","",INDEX(c_Days,$A480)))</f>
        <v/>
      </c>
      <c r="I480" s="40" t="str">
        <f aca="false">IF($A480="","",IF(INDEX(c_Mtgs,$A480)="","",INDEX(c_Mtgs,$A480)))</f>
        <v/>
      </c>
      <c r="J480" s="11" t="str">
        <f aca="false">IF($A480="","",INDEX(c_EvtNames,$A480)&amp;"")</f>
        <v/>
      </c>
      <c r="K480" s="34" t="str">
        <f aca="false">IF($A480="","",INDEX(c_Invested,$A480)&amp;"")</f>
        <v/>
      </c>
      <c r="L480" s="12" t="str">
        <f aca="false">IF($A480="","",IF(INDEX(c_AUM,$A480)="","",INDEX(c_AUM,$A480)))</f>
        <v/>
      </c>
      <c r="M480" s="11" t="str">
        <f aca="false">IF($A480="","",INDEX(c_Source,$A480)&amp;"")</f>
        <v/>
      </c>
      <c r="N480" s="11" t="str">
        <f aca="false">IF($A480="","",INDEX(c_Notes,$A480)&amp;"")</f>
        <v/>
      </c>
    </row>
    <row r="481" customFormat="false" ht="15" hidden="false" customHeight="false" outlineLevel="0" collapsed="false">
      <c r="A481" s="32" t="str">
        <f aca="false">IFERROR(MATCH(ROW()-5,c_Seq,0),"")</f>
        <v/>
      </c>
      <c r="B481" s="15" t="str">
        <f aca="false">IF($A481="","",INDEX(c_Name,$A481)&amp;"")</f>
        <v/>
      </c>
      <c r="C481" s="15" t="str">
        <f aca="false">IF($A481="","",INDEX(c_Firm,$A481)&amp;"")</f>
        <v/>
      </c>
      <c r="D481" s="15" t="str">
        <f aca="false">IF($A481="","",INDEX(c_Type,$A481)&amp;"")</f>
        <v/>
      </c>
      <c r="E481" s="15" t="str">
        <f aca="false">IF($A481="","",INDEX(c_Email,$A481)&amp;"")</f>
        <v/>
      </c>
      <c r="F481" s="36" t="str">
        <f aca="false">IF($A481="","",INDEX(c_Met,$A481)&amp;"")</f>
        <v/>
      </c>
      <c r="G481" s="26" t="str">
        <f aca="false">IF($A481="","",IF(INDEX(c_Date,$A481)="","",INDEX(c_Date,$A481)))</f>
        <v/>
      </c>
      <c r="H481" s="35" t="str">
        <f aca="false">IF($A481="","",IF(INDEX(c_Days,$A481)="","",INDEX(c_Days,$A481)))</f>
        <v/>
      </c>
      <c r="I481" s="41" t="str">
        <f aca="false">IF($A481="","",IF(INDEX(c_Mtgs,$A481)="","",INDEX(c_Mtgs,$A481)))</f>
        <v/>
      </c>
      <c r="J481" s="15" t="str">
        <f aca="false">IF($A481="","",INDEX(c_EvtNames,$A481)&amp;"")</f>
        <v/>
      </c>
      <c r="K481" s="36" t="str">
        <f aca="false">IF($A481="","",INDEX(c_Invested,$A481)&amp;"")</f>
        <v/>
      </c>
      <c r="L481" s="16" t="str">
        <f aca="false">IF($A481="","",IF(INDEX(c_AUM,$A481)="","",INDEX(c_AUM,$A481)))</f>
        <v/>
      </c>
      <c r="M481" s="15" t="str">
        <f aca="false">IF($A481="","",INDEX(c_Source,$A481)&amp;"")</f>
        <v/>
      </c>
      <c r="N481" s="15" t="str">
        <f aca="false">IF($A481="","",INDEX(c_Notes,$A481)&amp;"")</f>
        <v/>
      </c>
    </row>
    <row r="482" customFormat="false" ht="15" hidden="false" customHeight="false" outlineLevel="0" collapsed="false">
      <c r="A482" s="32" t="str">
        <f aca="false">IFERROR(MATCH(ROW()-5,c_Seq,0),"")</f>
        <v/>
      </c>
      <c r="B482" s="11" t="str">
        <f aca="false">IF($A482="","",INDEX(c_Name,$A482)&amp;"")</f>
        <v/>
      </c>
      <c r="C482" s="11" t="str">
        <f aca="false">IF($A482="","",INDEX(c_Firm,$A482)&amp;"")</f>
        <v/>
      </c>
      <c r="D482" s="11" t="str">
        <f aca="false">IF($A482="","",INDEX(c_Type,$A482)&amp;"")</f>
        <v/>
      </c>
      <c r="E482" s="11" t="str">
        <f aca="false">IF($A482="","",INDEX(c_Email,$A482)&amp;"")</f>
        <v/>
      </c>
      <c r="F482" s="34" t="str">
        <f aca="false">IF($A482="","",INDEX(c_Met,$A482)&amp;"")</f>
        <v/>
      </c>
      <c r="G482" s="25" t="str">
        <f aca="false">IF($A482="","",IF(INDEX(c_Date,$A482)="","",INDEX(c_Date,$A482)))</f>
        <v/>
      </c>
      <c r="H482" s="33" t="str">
        <f aca="false">IF($A482="","",IF(INDEX(c_Days,$A482)="","",INDEX(c_Days,$A482)))</f>
        <v/>
      </c>
      <c r="I482" s="40" t="str">
        <f aca="false">IF($A482="","",IF(INDEX(c_Mtgs,$A482)="","",INDEX(c_Mtgs,$A482)))</f>
        <v/>
      </c>
      <c r="J482" s="11" t="str">
        <f aca="false">IF($A482="","",INDEX(c_EvtNames,$A482)&amp;"")</f>
        <v/>
      </c>
      <c r="K482" s="34" t="str">
        <f aca="false">IF($A482="","",INDEX(c_Invested,$A482)&amp;"")</f>
        <v/>
      </c>
      <c r="L482" s="12" t="str">
        <f aca="false">IF($A482="","",IF(INDEX(c_AUM,$A482)="","",INDEX(c_AUM,$A482)))</f>
        <v/>
      </c>
      <c r="M482" s="11" t="str">
        <f aca="false">IF($A482="","",INDEX(c_Source,$A482)&amp;"")</f>
        <v/>
      </c>
      <c r="N482" s="11" t="str">
        <f aca="false">IF($A482="","",INDEX(c_Notes,$A482)&amp;"")</f>
        <v/>
      </c>
    </row>
    <row r="483" customFormat="false" ht="15" hidden="false" customHeight="false" outlineLevel="0" collapsed="false">
      <c r="A483" s="32" t="str">
        <f aca="false">IFERROR(MATCH(ROW()-5,c_Seq,0),"")</f>
        <v/>
      </c>
      <c r="B483" s="15" t="str">
        <f aca="false">IF($A483="","",INDEX(c_Name,$A483)&amp;"")</f>
        <v/>
      </c>
      <c r="C483" s="15" t="str">
        <f aca="false">IF($A483="","",INDEX(c_Firm,$A483)&amp;"")</f>
        <v/>
      </c>
      <c r="D483" s="15" t="str">
        <f aca="false">IF($A483="","",INDEX(c_Type,$A483)&amp;"")</f>
        <v/>
      </c>
      <c r="E483" s="15" t="str">
        <f aca="false">IF($A483="","",INDEX(c_Email,$A483)&amp;"")</f>
        <v/>
      </c>
      <c r="F483" s="36" t="str">
        <f aca="false">IF($A483="","",INDEX(c_Met,$A483)&amp;"")</f>
        <v/>
      </c>
      <c r="G483" s="26" t="str">
        <f aca="false">IF($A483="","",IF(INDEX(c_Date,$A483)="","",INDEX(c_Date,$A483)))</f>
        <v/>
      </c>
      <c r="H483" s="35" t="str">
        <f aca="false">IF($A483="","",IF(INDEX(c_Days,$A483)="","",INDEX(c_Days,$A483)))</f>
        <v/>
      </c>
      <c r="I483" s="41" t="str">
        <f aca="false">IF($A483="","",IF(INDEX(c_Mtgs,$A483)="","",INDEX(c_Mtgs,$A483)))</f>
        <v/>
      </c>
      <c r="J483" s="15" t="str">
        <f aca="false">IF($A483="","",INDEX(c_EvtNames,$A483)&amp;"")</f>
        <v/>
      </c>
      <c r="K483" s="36" t="str">
        <f aca="false">IF($A483="","",INDEX(c_Invested,$A483)&amp;"")</f>
        <v/>
      </c>
      <c r="L483" s="16" t="str">
        <f aca="false">IF($A483="","",IF(INDEX(c_AUM,$A483)="","",INDEX(c_AUM,$A483)))</f>
        <v/>
      </c>
      <c r="M483" s="15" t="str">
        <f aca="false">IF($A483="","",INDEX(c_Source,$A483)&amp;"")</f>
        <v/>
      </c>
      <c r="N483" s="15" t="str">
        <f aca="false">IF($A483="","",INDEX(c_Notes,$A483)&amp;"")</f>
        <v/>
      </c>
    </row>
    <row r="484" customFormat="false" ht="15" hidden="false" customHeight="false" outlineLevel="0" collapsed="false">
      <c r="A484" s="32" t="str">
        <f aca="false">IFERROR(MATCH(ROW()-5,c_Seq,0),"")</f>
        <v/>
      </c>
      <c r="B484" s="11" t="str">
        <f aca="false">IF($A484="","",INDEX(c_Name,$A484)&amp;"")</f>
        <v/>
      </c>
      <c r="C484" s="11" t="str">
        <f aca="false">IF($A484="","",INDEX(c_Firm,$A484)&amp;"")</f>
        <v/>
      </c>
      <c r="D484" s="11" t="str">
        <f aca="false">IF($A484="","",INDEX(c_Type,$A484)&amp;"")</f>
        <v/>
      </c>
      <c r="E484" s="11" t="str">
        <f aca="false">IF($A484="","",INDEX(c_Email,$A484)&amp;"")</f>
        <v/>
      </c>
      <c r="F484" s="34" t="str">
        <f aca="false">IF($A484="","",INDEX(c_Met,$A484)&amp;"")</f>
        <v/>
      </c>
      <c r="G484" s="25" t="str">
        <f aca="false">IF($A484="","",IF(INDEX(c_Date,$A484)="","",INDEX(c_Date,$A484)))</f>
        <v/>
      </c>
      <c r="H484" s="33" t="str">
        <f aca="false">IF($A484="","",IF(INDEX(c_Days,$A484)="","",INDEX(c_Days,$A484)))</f>
        <v/>
      </c>
      <c r="I484" s="40" t="str">
        <f aca="false">IF($A484="","",IF(INDEX(c_Mtgs,$A484)="","",INDEX(c_Mtgs,$A484)))</f>
        <v/>
      </c>
      <c r="J484" s="11" t="str">
        <f aca="false">IF($A484="","",INDEX(c_EvtNames,$A484)&amp;"")</f>
        <v/>
      </c>
      <c r="K484" s="34" t="str">
        <f aca="false">IF($A484="","",INDEX(c_Invested,$A484)&amp;"")</f>
        <v/>
      </c>
      <c r="L484" s="12" t="str">
        <f aca="false">IF($A484="","",IF(INDEX(c_AUM,$A484)="","",INDEX(c_AUM,$A484)))</f>
        <v/>
      </c>
      <c r="M484" s="11" t="str">
        <f aca="false">IF($A484="","",INDEX(c_Source,$A484)&amp;"")</f>
        <v/>
      </c>
      <c r="N484" s="11" t="str">
        <f aca="false">IF($A484="","",INDEX(c_Notes,$A484)&amp;"")</f>
        <v/>
      </c>
    </row>
    <row r="485" customFormat="false" ht="15" hidden="false" customHeight="false" outlineLevel="0" collapsed="false">
      <c r="A485" s="32" t="str">
        <f aca="false">IFERROR(MATCH(ROW()-5,c_Seq,0),"")</f>
        <v/>
      </c>
      <c r="B485" s="15" t="str">
        <f aca="false">IF($A485="","",INDEX(c_Name,$A485)&amp;"")</f>
        <v/>
      </c>
      <c r="C485" s="15" t="str">
        <f aca="false">IF($A485="","",INDEX(c_Firm,$A485)&amp;"")</f>
        <v/>
      </c>
      <c r="D485" s="15" t="str">
        <f aca="false">IF($A485="","",INDEX(c_Type,$A485)&amp;"")</f>
        <v/>
      </c>
      <c r="E485" s="15" t="str">
        <f aca="false">IF($A485="","",INDEX(c_Email,$A485)&amp;"")</f>
        <v/>
      </c>
      <c r="F485" s="36" t="str">
        <f aca="false">IF($A485="","",INDEX(c_Met,$A485)&amp;"")</f>
        <v/>
      </c>
      <c r="G485" s="26" t="str">
        <f aca="false">IF($A485="","",IF(INDEX(c_Date,$A485)="","",INDEX(c_Date,$A485)))</f>
        <v/>
      </c>
      <c r="H485" s="35" t="str">
        <f aca="false">IF($A485="","",IF(INDEX(c_Days,$A485)="","",INDEX(c_Days,$A485)))</f>
        <v/>
      </c>
      <c r="I485" s="41" t="str">
        <f aca="false">IF($A485="","",IF(INDEX(c_Mtgs,$A485)="","",INDEX(c_Mtgs,$A485)))</f>
        <v/>
      </c>
      <c r="J485" s="15" t="str">
        <f aca="false">IF($A485="","",INDEX(c_EvtNames,$A485)&amp;"")</f>
        <v/>
      </c>
      <c r="K485" s="36" t="str">
        <f aca="false">IF($A485="","",INDEX(c_Invested,$A485)&amp;"")</f>
        <v/>
      </c>
      <c r="L485" s="16" t="str">
        <f aca="false">IF($A485="","",IF(INDEX(c_AUM,$A485)="","",INDEX(c_AUM,$A485)))</f>
        <v/>
      </c>
      <c r="M485" s="15" t="str">
        <f aca="false">IF($A485="","",INDEX(c_Source,$A485)&amp;"")</f>
        <v/>
      </c>
      <c r="N485" s="15" t="str">
        <f aca="false">IF($A485="","",INDEX(c_Notes,$A485)&amp;"")</f>
        <v/>
      </c>
    </row>
    <row r="486" customFormat="false" ht="15" hidden="false" customHeight="false" outlineLevel="0" collapsed="false">
      <c r="A486" s="32" t="str">
        <f aca="false">IFERROR(MATCH(ROW()-5,c_Seq,0),"")</f>
        <v/>
      </c>
      <c r="B486" s="11" t="str">
        <f aca="false">IF($A486="","",INDEX(c_Name,$A486)&amp;"")</f>
        <v/>
      </c>
      <c r="C486" s="11" t="str">
        <f aca="false">IF($A486="","",INDEX(c_Firm,$A486)&amp;"")</f>
        <v/>
      </c>
      <c r="D486" s="11" t="str">
        <f aca="false">IF($A486="","",INDEX(c_Type,$A486)&amp;"")</f>
        <v/>
      </c>
      <c r="E486" s="11" t="str">
        <f aca="false">IF($A486="","",INDEX(c_Email,$A486)&amp;"")</f>
        <v/>
      </c>
      <c r="F486" s="34" t="str">
        <f aca="false">IF($A486="","",INDEX(c_Met,$A486)&amp;"")</f>
        <v/>
      </c>
      <c r="G486" s="25" t="str">
        <f aca="false">IF($A486="","",IF(INDEX(c_Date,$A486)="","",INDEX(c_Date,$A486)))</f>
        <v/>
      </c>
      <c r="H486" s="33" t="str">
        <f aca="false">IF($A486="","",IF(INDEX(c_Days,$A486)="","",INDEX(c_Days,$A486)))</f>
        <v/>
      </c>
      <c r="I486" s="40" t="str">
        <f aca="false">IF($A486="","",IF(INDEX(c_Mtgs,$A486)="","",INDEX(c_Mtgs,$A486)))</f>
        <v/>
      </c>
      <c r="J486" s="11" t="str">
        <f aca="false">IF($A486="","",INDEX(c_EvtNames,$A486)&amp;"")</f>
        <v/>
      </c>
      <c r="K486" s="34" t="str">
        <f aca="false">IF($A486="","",INDEX(c_Invested,$A486)&amp;"")</f>
        <v/>
      </c>
      <c r="L486" s="12" t="str">
        <f aca="false">IF($A486="","",IF(INDEX(c_AUM,$A486)="","",INDEX(c_AUM,$A486)))</f>
        <v/>
      </c>
      <c r="M486" s="11" t="str">
        <f aca="false">IF($A486="","",INDEX(c_Source,$A486)&amp;"")</f>
        <v/>
      </c>
      <c r="N486" s="11" t="str">
        <f aca="false">IF($A486="","",INDEX(c_Notes,$A486)&amp;"")</f>
        <v/>
      </c>
    </row>
    <row r="487" customFormat="false" ht="15" hidden="false" customHeight="false" outlineLevel="0" collapsed="false">
      <c r="A487" s="32" t="str">
        <f aca="false">IFERROR(MATCH(ROW()-5,c_Seq,0),"")</f>
        <v/>
      </c>
      <c r="B487" s="15" t="str">
        <f aca="false">IF($A487="","",INDEX(c_Name,$A487)&amp;"")</f>
        <v/>
      </c>
      <c r="C487" s="15" t="str">
        <f aca="false">IF($A487="","",INDEX(c_Firm,$A487)&amp;"")</f>
        <v/>
      </c>
      <c r="D487" s="15" t="str">
        <f aca="false">IF($A487="","",INDEX(c_Type,$A487)&amp;"")</f>
        <v/>
      </c>
      <c r="E487" s="15" t="str">
        <f aca="false">IF($A487="","",INDEX(c_Email,$A487)&amp;"")</f>
        <v/>
      </c>
      <c r="F487" s="36" t="str">
        <f aca="false">IF($A487="","",INDEX(c_Met,$A487)&amp;"")</f>
        <v/>
      </c>
      <c r="G487" s="26" t="str">
        <f aca="false">IF($A487="","",IF(INDEX(c_Date,$A487)="","",INDEX(c_Date,$A487)))</f>
        <v/>
      </c>
      <c r="H487" s="35" t="str">
        <f aca="false">IF($A487="","",IF(INDEX(c_Days,$A487)="","",INDEX(c_Days,$A487)))</f>
        <v/>
      </c>
      <c r="I487" s="41" t="str">
        <f aca="false">IF($A487="","",IF(INDEX(c_Mtgs,$A487)="","",INDEX(c_Mtgs,$A487)))</f>
        <v/>
      </c>
      <c r="J487" s="15" t="str">
        <f aca="false">IF($A487="","",INDEX(c_EvtNames,$A487)&amp;"")</f>
        <v/>
      </c>
      <c r="K487" s="36" t="str">
        <f aca="false">IF($A487="","",INDEX(c_Invested,$A487)&amp;"")</f>
        <v/>
      </c>
      <c r="L487" s="16" t="str">
        <f aca="false">IF($A487="","",IF(INDEX(c_AUM,$A487)="","",INDEX(c_AUM,$A487)))</f>
        <v/>
      </c>
      <c r="M487" s="15" t="str">
        <f aca="false">IF($A487="","",INDEX(c_Source,$A487)&amp;"")</f>
        <v/>
      </c>
      <c r="N487" s="15" t="str">
        <f aca="false">IF($A487="","",INDEX(c_Notes,$A487)&amp;"")</f>
        <v/>
      </c>
    </row>
    <row r="488" customFormat="false" ht="15" hidden="false" customHeight="false" outlineLevel="0" collapsed="false">
      <c r="A488" s="32" t="str">
        <f aca="false">IFERROR(MATCH(ROW()-5,c_Seq,0),"")</f>
        <v/>
      </c>
      <c r="B488" s="11" t="str">
        <f aca="false">IF($A488="","",INDEX(c_Name,$A488)&amp;"")</f>
        <v/>
      </c>
      <c r="C488" s="11" t="str">
        <f aca="false">IF($A488="","",INDEX(c_Firm,$A488)&amp;"")</f>
        <v/>
      </c>
      <c r="D488" s="11" t="str">
        <f aca="false">IF($A488="","",INDEX(c_Type,$A488)&amp;"")</f>
        <v/>
      </c>
      <c r="E488" s="11" t="str">
        <f aca="false">IF($A488="","",INDEX(c_Email,$A488)&amp;"")</f>
        <v/>
      </c>
      <c r="F488" s="34" t="str">
        <f aca="false">IF($A488="","",INDEX(c_Met,$A488)&amp;"")</f>
        <v/>
      </c>
      <c r="G488" s="25" t="str">
        <f aca="false">IF($A488="","",IF(INDEX(c_Date,$A488)="","",INDEX(c_Date,$A488)))</f>
        <v/>
      </c>
      <c r="H488" s="33" t="str">
        <f aca="false">IF($A488="","",IF(INDEX(c_Days,$A488)="","",INDEX(c_Days,$A488)))</f>
        <v/>
      </c>
      <c r="I488" s="40" t="str">
        <f aca="false">IF($A488="","",IF(INDEX(c_Mtgs,$A488)="","",INDEX(c_Mtgs,$A488)))</f>
        <v/>
      </c>
      <c r="J488" s="11" t="str">
        <f aca="false">IF($A488="","",INDEX(c_EvtNames,$A488)&amp;"")</f>
        <v/>
      </c>
      <c r="K488" s="34" t="str">
        <f aca="false">IF($A488="","",INDEX(c_Invested,$A488)&amp;"")</f>
        <v/>
      </c>
      <c r="L488" s="12" t="str">
        <f aca="false">IF($A488="","",IF(INDEX(c_AUM,$A488)="","",INDEX(c_AUM,$A488)))</f>
        <v/>
      </c>
      <c r="M488" s="11" t="str">
        <f aca="false">IF($A488="","",INDEX(c_Source,$A488)&amp;"")</f>
        <v/>
      </c>
      <c r="N488" s="11" t="str">
        <f aca="false">IF($A488="","",INDEX(c_Notes,$A488)&amp;"")</f>
        <v/>
      </c>
    </row>
    <row r="489" customFormat="false" ht="15" hidden="false" customHeight="false" outlineLevel="0" collapsed="false">
      <c r="A489" s="32" t="str">
        <f aca="false">IFERROR(MATCH(ROW()-5,c_Seq,0),"")</f>
        <v/>
      </c>
      <c r="B489" s="15" t="str">
        <f aca="false">IF($A489="","",INDEX(c_Name,$A489)&amp;"")</f>
        <v/>
      </c>
      <c r="C489" s="15" t="str">
        <f aca="false">IF($A489="","",INDEX(c_Firm,$A489)&amp;"")</f>
        <v/>
      </c>
      <c r="D489" s="15" t="str">
        <f aca="false">IF($A489="","",INDEX(c_Type,$A489)&amp;"")</f>
        <v/>
      </c>
      <c r="E489" s="15" t="str">
        <f aca="false">IF($A489="","",INDEX(c_Email,$A489)&amp;"")</f>
        <v/>
      </c>
      <c r="F489" s="36" t="str">
        <f aca="false">IF($A489="","",INDEX(c_Met,$A489)&amp;"")</f>
        <v/>
      </c>
      <c r="G489" s="26" t="str">
        <f aca="false">IF($A489="","",IF(INDEX(c_Date,$A489)="","",INDEX(c_Date,$A489)))</f>
        <v/>
      </c>
      <c r="H489" s="35" t="str">
        <f aca="false">IF($A489="","",IF(INDEX(c_Days,$A489)="","",INDEX(c_Days,$A489)))</f>
        <v/>
      </c>
      <c r="I489" s="41" t="str">
        <f aca="false">IF($A489="","",IF(INDEX(c_Mtgs,$A489)="","",INDEX(c_Mtgs,$A489)))</f>
        <v/>
      </c>
      <c r="J489" s="15" t="str">
        <f aca="false">IF($A489="","",INDEX(c_EvtNames,$A489)&amp;"")</f>
        <v/>
      </c>
      <c r="K489" s="36" t="str">
        <f aca="false">IF($A489="","",INDEX(c_Invested,$A489)&amp;"")</f>
        <v/>
      </c>
      <c r="L489" s="16" t="str">
        <f aca="false">IF($A489="","",IF(INDEX(c_AUM,$A489)="","",INDEX(c_AUM,$A489)))</f>
        <v/>
      </c>
      <c r="M489" s="15" t="str">
        <f aca="false">IF($A489="","",INDEX(c_Source,$A489)&amp;"")</f>
        <v/>
      </c>
      <c r="N489" s="15" t="str">
        <f aca="false">IF($A489="","",INDEX(c_Notes,$A489)&amp;"")</f>
        <v/>
      </c>
    </row>
    <row r="490" customFormat="false" ht="15" hidden="false" customHeight="false" outlineLevel="0" collapsed="false">
      <c r="A490" s="32" t="str">
        <f aca="false">IFERROR(MATCH(ROW()-5,c_Seq,0),"")</f>
        <v/>
      </c>
      <c r="B490" s="11" t="str">
        <f aca="false">IF($A490="","",INDEX(c_Name,$A490)&amp;"")</f>
        <v/>
      </c>
      <c r="C490" s="11" t="str">
        <f aca="false">IF($A490="","",INDEX(c_Firm,$A490)&amp;"")</f>
        <v/>
      </c>
      <c r="D490" s="11" t="str">
        <f aca="false">IF($A490="","",INDEX(c_Type,$A490)&amp;"")</f>
        <v/>
      </c>
      <c r="E490" s="11" t="str">
        <f aca="false">IF($A490="","",INDEX(c_Email,$A490)&amp;"")</f>
        <v/>
      </c>
      <c r="F490" s="34" t="str">
        <f aca="false">IF($A490="","",INDEX(c_Met,$A490)&amp;"")</f>
        <v/>
      </c>
      <c r="G490" s="25" t="str">
        <f aca="false">IF($A490="","",IF(INDEX(c_Date,$A490)="","",INDEX(c_Date,$A490)))</f>
        <v/>
      </c>
      <c r="H490" s="33" t="str">
        <f aca="false">IF($A490="","",IF(INDEX(c_Days,$A490)="","",INDEX(c_Days,$A490)))</f>
        <v/>
      </c>
      <c r="I490" s="40" t="str">
        <f aca="false">IF($A490="","",IF(INDEX(c_Mtgs,$A490)="","",INDEX(c_Mtgs,$A490)))</f>
        <v/>
      </c>
      <c r="J490" s="11" t="str">
        <f aca="false">IF($A490="","",INDEX(c_EvtNames,$A490)&amp;"")</f>
        <v/>
      </c>
      <c r="K490" s="34" t="str">
        <f aca="false">IF($A490="","",INDEX(c_Invested,$A490)&amp;"")</f>
        <v/>
      </c>
      <c r="L490" s="12" t="str">
        <f aca="false">IF($A490="","",IF(INDEX(c_AUM,$A490)="","",INDEX(c_AUM,$A490)))</f>
        <v/>
      </c>
      <c r="M490" s="11" t="str">
        <f aca="false">IF($A490="","",INDEX(c_Source,$A490)&amp;"")</f>
        <v/>
      </c>
      <c r="N490" s="11" t="str">
        <f aca="false">IF($A490="","",INDEX(c_Notes,$A490)&amp;"")</f>
        <v/>
      </c>
    </row>
    <row r="491" customFormat="false" ht="15" hidden="false" customHeight="false" outlineLevel="0" collapsed="false">
      <c r="A491" s="32" t="str">
        <f aca="false">IFERROR(MATCH(ROW()-5,c_Seq,0),"")</f>
        <v/>
      </c>
      <c r="B491" s="15" t="str">
        <f aca="false">IF($A491="","",INDEX(c_Name,$A491)&amp;"")</f>
        <v/>
      </c>
      <c r="C491" s="15" t="str">
        <f aca="false">IF($A491="","",INDEX(c_Firm,$A491)&amp;"")</f>
        <v/>
      </c>
      <c r="D491" s="15" t="str">
        <f aca="false">IF($A491="","",INDEX(c_Type,$A491)&amp;"")</f>
        <v/>
      </c>
      <c r="E491" s="15" t="str">
        <f aca="false">IF($A491="","",INDEX(c_Email,$A491)&amp;"")</f>
        <v/>
      </c>
      <c r="F491" s="36" t="str">
        <f aca="false">IF($A491="","",INDEX(c_Met,$A491)&amp;"")</f>
        <v/>
      </c>
      <c r="G491" s="26" t="str">
        <f aca="false">IF($A491="","",IF(INDEX(c_Date,$A491)="","",INDEX(c_Date,$A491)))</f>
        <v/>
      </c>
      <c r="H491" s="35" t="str">
        <f aca="false">IF($A491="","",IF(INDEX(c_Days,$A491)="","",INDEX(c_Days,$A491)))</f>
        <v/>
      </c>
      <c r="I491" s="41" t="str">
        <f aca="false">IF($A491="","",IF(INDEX(c_Mtgs,$A491)="","",INDEX(c_Mtgs,$A491)))</f>
        <v/>
      </c>
      <c r="J491" s="15" t="str">
        <f aca="false">IF($A491="","",INDEX(c_EvtNames,$A491)&amp;"")</f>
        <v/>
      </c>
      <c r="K491" s="36" t="str">
        <f aca="false">IF($A491="","",INDEX(c_Invested,$A491)&amp;"")</f>
        <v/>
      </c>
      <c r="L491" s="16" t="str">
        <f aca="false">IF($A491="","",IF(INDEX(c_AUM,$A491)="","",INDEX(c_AUM,$A491)))</f>
        <v/>
      </c>
      <c r="M491" s="15" t="str">
        <f aca="false">IF($A491="","",INDEX(c_Source,$A491)&amp;"")</f>
        <v/>
      </c>
      <c r="N491" s="15" t="str">
        <f aca="false">IF($A491="","",INDEX(c_Notes,$A491)&amp;"")</f>
        <v/>
      </c>
    </row>
    <row r="492" customFormat="false" ht="15" hidden="false" customHeight="false" outlineLevel="0" collapsed="false">
      <c r="A492" s="32" t="str">
        <f aca="false">IFERROR(MATCH(ROW()-5,c_Seq,0),"")</f>
        <v/>
      </c>
      <c r="B492" s="11" t="str">
        <f aca="false">IF($A492="","",INDEX(c_Name,$A492)&amp;"")</f>
        <v/>
      </c>
      <c r="C492" s="11" t="str">
        <f aca="false">IF($A492="","",INDEX(c_Firm,$A492)&amp;"")</f>
        <v/>
      </c>
      <c r="D492" s="11" t="str">
        <f aca="false">IF($A492="","",INDEX(c_Type,$A492)&amp;"")</f>
        <v/>
      </c>
      <c r="E492" s="11" t="str">
        <f aca="false">IF($A492="","",INDEX(c_Email,$A492)&amp;"")</f>
        <v/>
      </c>
      <c r="F492" s="34" t="str">
        <f aca="false">IF($A492="","",INDEX(c_Met,$A492)&amp;"")</f>
        <v/>
      </c>
      <c r="G492" s="25" t="str">
        <f aca="false">IF($A492="","",IF(INDEX(c_Date,$A492)="","",INDEX(c_Date,$A492)))</f>
        <v/>
      </c>
      <c r="H492" s="33" t="str">
        <f aca="false">IF($A492="","",IF(INDEX(c_Days,$A492)="","",INDEX(c_Days,$A492)))</f>
        <v/>
      </c>
      <c r="I492" s="40" t="str">
        <f aca="false">IF($A492="","",IF(INDEX(c_Mtgs,$A492)="","",INDEX(c_Mtgs,$A492)))</f>
        <v/>
      </c>
      <c r="J492" s="11" t="str">
        <f aca="false">IF($A492="","",INDEX(c_EvtNames,$A492)&amp;"")</f>
        <v/>
      </c>
      <c r="K492" s="34" t="str">
        <f aca="false">IF($A492="","",INDEX(c_Invested,$A492)&amp;"")</f>
        <v/>
      </c>
      <c r="L492" s="12" t="str">
        <f aca="false">IF($A492="","",IF(INDEX(c_AUM,$A492)="","",INDEX(c_AUM,$A492)))</f>
        <v/>
      </c>
      <c r="M492" s="11" t="str">
        <f aca="false">IF($A492="","",INDEX(c_Source,$A492)&amp;"")</f>
        <v/>
      </c>
      <c r="N492" s="11" t="str">
        <f aca="false">IF($A492="","",INDEX(c_Notes,$A492)&amp;"")</f>
        <v/>
      </c>
    </row>
    <row r="493" customFormat="false" ht="15" hidden="false" customHeight="false" outlineLevel="0" collapsed="false">
      <c r="A493" s="32" t="str">
        <f aca="false">IFERROR(MATCH(ROW()-5,c_Seq,0),"")</f>
        <v/>
      </c>
      <c r="B493" s="15" t="str">
        <f aca="false">IF($A493="","",INDEX(c_Name,$A493)&amp;"")</f>
        <v/>
      </c>
      <c r="C493" s="15" t="str">
        <f aca="false">IF($A493="","",INDEX(c_Firm,$A493)&amp;"")</f>
        <v/>
      </c>
      <c r="D493" s="15" t="str">
        <f aca="false">IF($A493="","",INDEX(c_Type,$A493)&amp;"")</f>
        <v/>
      </c>
      <c r="E493" s="15" t="str">
        <f aca="false">IF($A493="","",INDEX(c_Email,$A493)&amp;"")</f>
        <v/>
      </c>
      <c r="F493" s="36" t="str">
        <f aca="false">IF($A493="","",INDEX(c_Met,$A493)&amp;"")</f>
        <v/>
      </c>
      <c r="G493" s="26" t="str">
        <f aca="false">IF($A493="","",IF(INDEX(c_Date,$A493)="","",INDEX(c_Date,$A493)))</f>
        <v/>
      </c>
      <c r="H493" s="35" t="str">
        <f aca="false">IF($A493="","",IF(INDEX(c_Days,$A493)="","",INDEX(c_Days,$A493)))</f>
        <v/>
      </c>
      <c r="I493" s="41" t="str">
        <f aca="false">IF($A493="","",IF(INDEX(c_Mtgs,$A493)="","",INDEX(c_Mtgs,$A493)))</f>
        <v/>
      </c>
      <c r="J493" s="15" t="str">
        <f aca="false">IF($A493="","",INDEX(c_EvtNames,$A493)&amp;"")</f>
        <v/>
      </c>
      <c r="K493" s="36" t="str">
        <f aca="false">IF($A493="","",INDEX(c_Invested,$A493)&amp;"")</f>
        <v/>
      </c>
      <c r="L493" s="16" t="str">
        <f aca="false">IF($A493="","",IF(INDEX(c_AUM,$A493)="","",INDEX(c_AUM,$A493)))</f>
        <v/>
      </c>
      <c r="M493" s="15" t="str">
        <f aca="false">IF($A493="","",INDEX(c_Source,$A493)&amp;"")</f>
        <v/>
      </c>
      <c r="N493" s="15" t="str">
        <f aca="false">IF($A493="","",INDEX(c_Notes,$A493)&amp;"")</f>
        <v/>
      </c>
    </row>
    <row r="494" customFormat="false" ht="15" hidden="false" customHeight="false" outlineLevel="0" collapsed="false">
      <c r="A494" s="32" t="str">
        <f aca="false">IFERROR(MATCH(ROW()-5,c_Seq,0),"")</f>
        <v/>
      </c>
      <c r="B494" s="11" t="str">
        <f aca="false">IF($A494="","",INDEX(c_Name,$A494)&amp;"")</f>
        <v/>
      </c>
      <c r="C494" s="11" t="str">
        <f aca="false">IF($A494="","",INDEX(c_Firm,$A494)&amp;"")</f>
        <v/>
      </c>
      <c r="D494" s="11" t="str">
        <f aca="false">IF($A494="","",INDEX(c_Type,$A494)&amp;"")</f>
        <v/>
      </c>
      <c r="E494" s="11" t="str">
        <f aca="false">IF($A494="","",INDEX(c_Email,$A494)&amp;"")</f>
        <v/>
      </c>
      <c r="F494" s="34" t="str">
        <f aca="false">IF($A494="","",INDEX(c_Met,$A494)&amp;"")</f>
        <v/>
      </c>
      <c r="G494" s="25" t="str">
        <f aca="false">IF($A494="","",IF(INDEX(c_Date,$A494)="","",INDEX(c_Date,$A494)))</f>
        <v/>
      </c>
      <c r="H494" s="33" t="str">
        <f aca="false">IF($A494="","",IF(INDEX(c_Days,$A494)="","",INDEX(c_Days,$A494)))</f>
        <v/>
      </c>
      <c r="I494" s="40" t="str">
        <f aca="false">IF($A494="","",IF(INDEX(c_Mtgs,$A494)="","",INDEX(c_Mtgs,$A494)))</f>
        <v/>
      </c>
      <c r="J494" s="11" t="str">
        <f aca="false">IF($A494="","",INDEX(c_EvtNames,$A494)&amp;"")</f>
        <v/>
      </c>
      <c r="K494" s="34" t="str">
        <f aca="false">IF($A494="","",INDEX(c_Invested,$A494)&amp;"")</f>
        <v/>
      </c>
      <c r="L494" s="12" t="str">
        <f aca="false">IF($A494="","",IF(INDEX(c_AUM,$A494)="","",INDEX(c_AUM,$A494)))</f>
        <v/>
      </c>
      <c r="M494" s="11" t="str">
        <f aca="false">IF($A494="","",INDEX(c_Source,$A494)&amp;"")</f>
        <v/>
      </c>
      <c r="N494" s="11" t="str">
        <f aca="false">IF($A494="","",INDEX(c_Notes,$A494)&amp;"")</f>
        <v/>
      </c>
    </row>
    <row r="495" customFormat="false" ht="15" hidden="false" customHeight="false" outlineLevel="0" collapsed="false">
      <c r="A495" s="32" t="str">
        <f aca="false">IFERROR(MATCH(ROW()-5,c_Seq,0),"")</f>
        <v/>
      </c>
      <c r="B495" s="15" t="str">
        <f aca="false">IF($A495="","",INDEX(c_Name,$A495)&amp;"")</f>
        <v/>
      </c>
      <c r="C495" s="15" t="str">
        <f aca="false">IF($A495="","",INDEX(c_Firm,$A495)&amp;"")</f>
        <v/>
      </c>
      <c r="D495" s="15" t="str">
        <f aca="false">IF($A495="","",INDEX(c_Type,$A495)&amp;"")</f>
        <v/>
      </c>
      <c r="E495" s="15" t="str">
        <f aca="false">IF($A495="","",INDEX(c_Email,$A495)&amp;"")</f>
        <v/>
      </c>
      <c r="F495" s="36" t="str">
        <f aca="false">IF($A495="","",INDEX(c_Met,$A495)&amp;"")</f>
        <v/>
      </c>
      <c r="G495" s="26" t="str">
        <f aca="false">IF($A495="","",IF(INDEX(c_Date,$A495)="","",INDEX(c_Date,$A495)))</f>
        <v/>
      </c>
      <c r="H495" s="35" t="str">
        <f aca="false">IF($A495="","",IF(INDEX(c_Days,$A495)="","",INDEX(c_Days,$A495)))</f>
        <v/>
      </c>
      <c r="I495" s="41" t="str">
        <f aca="false">IF($A495="","",IF(INDEX(c_Mtgs,$A495)="","",INDEX(c_Mtgs,$A495)))</f>
        <v/>
      </c>
      <c r="J495" s="15" t="str">
        <f aca="false">IF($A495="","",INDEX(c_EvtNames,$A495)&amp;"")</f>
        <v/>
      </c>
      <c r="K495" s="36" t="str">
        <f aca="false">IF($A495="","",INDEX(c_Invested,$A495)&amp;"")</f>
        <v/>
      </c>
      <c r="L495" s="16" t="str">
        <f aca="false">IF($A495="","",IF(INDEX(c_AUM,$A495)="","",INDEX(c_AUM,$A495)))</f>
        <v/>
      </c>
      <c r="M495" s="15" t="str">
        <f aca="false">IF($A495="","",INDEX(c_Source,$A495)&amp;"")</f>
        <v/>
      </c>
      <c r="N495" s="15" t="str">
        <f aca="false">IF($A495="","",INDEX(c_Notes,$A495)&amp;"")</f>
        <v/>
      </c>
    </row>
    <row r="496" customFormat="false" ht="15" hidden="false" customHeight="false" outlineLevel="0" collapsed="false">
      <c r="A496" s="32" t="str">
        <f aca="false">IFERROR(MATCH(ROW()-5,c_Seq,0),"")</f>
        <v/>
      </c>
      <c r="B496" s="11" t="str">
        <f aca="false">IF($A496="","",INDEX(c_Name,$A496)&amp;"")</f>
        <v/>
      </c>
      <c r="C496" s="11" t="str">
        <f aca="false">IF($A496="","",INDEX(c_Firm,$A496)&amp;"")</f>
        <v/>
      </c>
      <c r="D496" s="11" t="str">
        <f aca="false">IF($A496="","",INDEX(c_Type,$A496)&amp;"")</f>
        <v/>
      </c>
      <c r="E496" s="11" t="str">
        <f aca="false">IF($A496="","",INDEX(c_Email,$A496)&amp;"")</f>
        <v/>
      </c>
      <c r="F496" s="34" t="str">
        <f aca="false">IF($A496="","",INDEX(c_Met,$A496)&amp;"")</f>
        <v/>
      </c>
      <c r="G496" s="25" t="str">
        <f aca="false">IF($A496="","",IF(INDEX(c_Date,$A496)="","",INDEX(c_Date,$A496)))</f>
        <v/>
      </c>
      <c r="H496" s="33" t="str">
        <f aca="false">IF($A496="","",IF(INDEX(c_Days,$A496)="","",INDEX(c_Days,$A496)))</f>
        <v/>
      </c>
      <c r="I496" s="40" t="str">
        <f aca="false">IF($A496="","",IF(INDEX(c_Mtgs,$A496)="","",INDEX(c_Mtgs,$A496)))</f>
        <v/>
      </c>
      <c r="J496" s="11" t="str">
        <f aca="false">IF($A496="","",INDEX(c_EvtNames,$A496)&amp;"")</f>
        <v/>
      </c>
      <c r="K496" s="34" t="str">
        <f aca="false">IF($A496="","",INDEX(c_Invested,$A496)&amp;"")</f>
        <v/>
      </c>
      <c r="L496" s="12" t="str">
        <f aca="false">IF($A496="","",IF(INDEX(c_AUM,$A496)="","",INDEX(c_AUM,$A496)))</f>
        <v/>
      </c>
      <c r="M496" s="11" t="str">
        <f aca="false">IF($A496="","",INDEX(c_Source,$A496)&amp;"")</f>
        <v/>
      </c>
      <c r="N496" s="11" t="str">
        <f aca="false">IF($A496="","",INDEX(c_Notes,$A496)&amp;"")</f>
        <v/>
      </c>
    </row>
    <row r="497" customFormat="false" ht="15" hidden="false" customHeight="false" outlineLevel="0" collapsed="false">
      <c r="A497" s="32" t="str">
        <f aca="false">IFERROR(MATCH(ROW()-5,c_Seq,0),"")</f>
        <v/>
      </c>
      <c r="B497" s="15" t="str">
        <f aca="false">IF($A497="","",INDEX(c_Name,$A497)&amp;"")</f>
        <v/>
      </c>
      <c r="C497" s="15" t="str">
        <f aca="false">IF($A497="","",INDEX(c_Firm,$A497)&amp;"")</f>
        <v/>
      </c>
      <c r="D497" s="15" t="str">
        <f aca="false">IF($A497="","",INDEX(c_Type,$A497)&amp;"")</f>
        <v/>
      </c>
      <c r="E497" s="15" t="str">
        <f aca="false">IF($A497="","",INDEX(c_Email,$A497)&amp;"")</f>
        <v/>
      </c>
      <c r="F497" s="36" t="str">
        <f aca="false">IF($A497="","",INDEX(c_Met,$A497)&amp;"")</f>
        <v/>
      </c>
      <c r="G497" s="26" t="str">
        <f aca="false">IF($A497="","",IF(INDEX(c_Date,$A497)="","",INDEX(c_Date,$A497)))</f>
        <v/>
      </c>
      <c r="H497" s="35" t="str">
        <f aca="false">IF($A497="","",IF(INDEX(c_Days,$A497)="","",INDEX(c_Days,$A497)))</f>
        <v/>
      </c>
      <c r="I497" s="41" t="str">
        <f aca="false">IF($A497="","",IF(INDEX(c_Mtgs,$A497)="","",INDEX(c_Mtgs,$A497)))</f>
        <v/>
      </c>
      <c r="J497" s="15" t="str">
        <f aca="false">IF($A497="","",INDEX(c_EvtNames,$A497)&amp;"")</f>
        <v/>
      </c>
      <c r="K497" s="36" t="str">
        <f aca="false">IF($A497="","",INDEX(c_Invested,$A497)&amp;"")</f>
        <v/>
      </c>
      <c r="L497" s="16" t="str">
        <f aca="false">IF($A497="","",IF(INDEX(c_AUM,$A497)="","",INDEX(c_AUM,$A497)))</f>
        <v/>
      </c>
      <c r="M497" s="15" t="str">
        <f aca="false">IF($A497="","",INDEX(c_Source,$A497)&amp;"")</f>
        <v/>
      </c>
      <c r="N497" s="15" t="str">
        <f aca="false">IF($A497="","",INDEX(c_Notes,$A497)&amp;"")</f>
        <v/>
      </c>
    </row>
    <row r="498" customFormat="false" ht="15" hidden="false" customHeight="false" outlineLevel="0" collapsed="false">
      <c r="A498" s="32" t="str">
        <f aca="false">IFERROR(MATCH(ROW()-5,c_Seq,0),"")</f>
        <v/>
      </c>
      <c r="B498" s="11" t="str">
        <f aca="false">IF($A498="","",INDEX(c_Name,$A498)&amp;"")</f>
        <v/>
      </c>
      <c r="C498" s="11" t="str">
        <f aca="false">IF($A498="","",INDEX(c_Firm,$A498)&amp;"")</f>
        <v/>
      </c>
      <c r="D498" s="11" t="str">
        <f aca="false">IF($A498="","",INDEX(c_Type,$A498)&amp;"")</f>
        <v/>
      </c>
      <c r="E498" s="11" t="str">
        <f aca="false">IF($A498="","",INDEX(c_Email,$A498)&amp;"")</f>
        <v/>
      </c>
      <c r="F498" s="34" t="str">
        <f aca="false">IF($A498="","",INDEX(c_Met,$A498)&amp;"")</f>
        <v/>
      </c>
      <c r="G498" s="25" t="str">
        <f aca="false">IF($A498="","",IF(INDEX(c_Date,$A498)="","",INDEX(c_Date,$A498)))</f>
        <v/>
      </c>
      <c r="H498" s="33" t="str">
        <f aca="false">IF($A498="","",IF(INDEX(c_Days,$A498)="","",INDEX(c_Days,$A498)))</f>
        <v/>
      </c>
      <c r="I498" s="40" t="str">
        <f aca="false">IF($A498="","",IF(INDEX(c_Mtgs,$A498)="","",INDEX(c_Mtgs,$A498)))</f>
        <v/>
      </c>
      <c r="J498" s="11" t="str">
        <f aca="false">IF($A498="","",INDEX(c_EvtNames,$A498)&amp;"")</f>
        <v/>
      </c>
      <c r="K498" s="34" t="str">
        <f aca="false">IF($A498="","",INDEX(c_Invested,$A498)&amp;"")</f>
        <v/>
      </c>
      <c r="L498" s="12" t="str">
        <f aca="false">IF($A498="","",IF(INDEX(c_AUM,$A498)="","",INDEX(c_AUM,$A498)))</f>
        <v/>
      </c>
      <c r="M498" s="11" t="str">
        <f aca="false">IF($A498="","",INDEX(c_Source,$A498)&amp;"")</f>
        <v/>
      </c>
      <c r="N498" s="11" t="str">
        <f aca="false">IF($A498="","",INDEX(c_Notes,$A498)&amp;"")</f>
        <v/>
      </c>
    </row>
    <row r="499" customFormat="false" ht="15" hidden="false" customHeight="false" outlineLevel="0" collapsed="false">
      <c r="A499" s="32" t="str">
        <f aca="false">IFERROR(MATCH(ROW()-5,c_Seq,0),"")</f>
        <v/>
      </c>
      <c r="B499" s="15" t="str">
        <f aca="false">IF($A499="","",INDEX(c_Name,$A499)&amp;"")</f>
        <v/>
      </c>
      <c r="C499" s="15" t="str">
        <f aca="false">IF($A499="","",INDEX(c_Firm,$A499)&amp;"")</f>
        <v/>
      </c>
      <c r="D499" s="15" t="str">
        <f aca="false">IF($A499="","",INDEX(c_Type,$A499)&amp;"")</f>
        <v/>
      </c>
      <c r="E499" s="15" t="str">
        <f aca="false">IF($A499="","",INDEX(c_Email,$A499)&amp;"")</f>
        <v/>
      </c>
      <c r="F499" s="36" t="str">
        <f aca="false">IF($A499="","",INDEX(c_Met,$A499)&amp;"")</f>
        <v/>
      </c>
      <c r="G499" s="26" t="str">
        <f aca="false">IF($A499="","",IF(INDEX(c_Date,$A499)="","",INDEX(c_Date,$A499)))</f>
        <v/>
      </c>
      <c r="H499" s="35" t="str">
        <f aca="false">IF($A499="","",IF(INDEX(c_Days,$A499)="","",INDEX(c_Days,$A499)))</f>
        <v/>
      </c>
      <c r="I499" s="41" t="str">
        <f aca="false">IF($A499="","",IF(INDEX(c_Mtgs,$A499)="","",INDEX(c_Mtgs,$A499)))</f>
        <v/>
      </c>
      <c r="J499" s="15" t="str">
        <f aca="false">IF($A499="","",INDEX(c_EvtNames,$A499)&amp;"")</f>
        <v/>
      </c>
      <c r="K499" s="36" t="str">
        <f aca="false">IF($A499="","",INDEX(c_Invested,$A499)&amp;"")</f>
        <v/>
      </c>
      <c r="L499" s="16" t="str">
        <f aca="false">IF($A499="","",IF(INDEX(c_AUM,$A499)="","",INDEX(c_AUM,$A499)))</f>
        <v/>
      </c>
      <c r="M499" s="15" t="str">
        <f aca="false">IF($A499="","",INDEX(c_Source,$A499)&amp;"")</f>
        <v/>
      </c>
      <c r="N499" s="15" t="str">
        <f aca="false">IF($A499="","",INDEX(c_Notes,$A499)&amp;"")</f>
        <v/>
      </c>
    </row>
    <row r="500" customFormat="false" ht="15" hidden="false" customHeight="false" outlineLevel="0" collapsed="false">
      <c r="A500" s="32" t="str">
        <f aca="false">IFERROR(MATCH(ROW()-5,c_Seq,0),"")</f>
        <v/>
      </c>
      <c r="B500" s="11" t="str">
        <f aca="false">IF($A500="","",INDEX(c_Name,$A500)&amp;"")</f>
        <v/>
      </c>
      <c r="C500" s="11" t="str">
        <f aca="false">IF($A500="","",INDEX(c_Firm,$A500)&amp;"")</f>
        <v/>
      </c>
      <c r="D500" s="11" t="str">
        <f aca="false">IF($A500="","",INDEX(c_Type,$A500)&amp;"")</f>
        <v/>
      </c>
      <c r="E500" s="11" t="str">
        <f aca="false">IF($A500="","",INDEX(c_Email,$A500)&amp;"")</f>
        <v/>
      </c>
      <c r="F500" s="34" t="str">
        <f aca="false">IF($A500="","",INDEX(c_Met,$A500)&amp;"")</f>
        <v/>
      </c>
      <c r="G500" s="25" t="str">
        <f aca="false">IF($A500="","",IF(INDEX(c_Date,$A500)="","",INDEX(c_Date,$A500)))</f>
        <v/>
      </c>
      <c r="H500" s="33" t="str">
        <f aca="false">IF($A500="","",IF(INDEX(c_Days,$A500)="","",INDEX(c_Days,$A500)))</f>
        <v/>
      </c>
      <c r="I500" s="40" t="str">
        <f aca="false">IF($A500="","",IF(INDEX(c_Mtgs,$A500)="","",INDEX(c_Mtgs,$A500)))</f>
        <v/>
      </c>
      <c r="J500" s="11" t="str">
        <f aca="false">IF($A500="","",INDEX(c_EvtNames,$A500)&amp;"")</f>
        <v/>
      </c>
      <c r="K500" s="34" t="str">
        <f aca="false">IF($A500="","",INDEX(c_Invested,$A500)&amp;"")</f>
        <v/>
      </c>
      <c r="L500" s="12" t="str">
        <f aca="false">IF($A500="","",IF(INDEX(c_AUM,$A500)="","",INDEX(c_AUM,$A500)))</f>
        <v/>
      </c>
      <c r="M500" s="11" t="str">
        <f aca="false">IF($A500="","",INDEX(c_Source,$A500)&amp;"")</f>
        <v/>
      </c>
      <c r="N500" s="11" t="str">
        <f aca="false">IF($A500="","",INDEX(c_Notes,$A500)&amp;"")</f>
        <v/>
      </c>
    </row>
    <row r="501" customFormat="false" ht="15" hidden="false" customHeight="false" outlineLevel="0" collapsed="false">
      <c r="A501" s="32" t="str">
        <f aca="false">IFERROR(MATCH(ROW()-5,c_Seq,0),"")</f>
        <v/>
      </c>
      <c r="B501" s="15" t="str">
        <f aca="false">IF($A501="","",INDEX(c_Name,$A501)&amp;"")</f>
        <v/>
      </c>
      <c r="C501" s="15" t="str">
        <f aca="false">IF($A501="","",INDEX(c_Firm,$A501)&amp;"")</f>
        <v/>
      </c>
      <c r="D501" s="15" t="str">
        <f aca="false">IF($A501="","",INDEX(c_Type,$A501)&amp;"")</f>
        <v/>
      </c>
      <c r="E501" s="15" t="str">
        <f aca="false">IF($A501="","",INDEX(c_Email,$A501)&amp;"")</f>
        <v/>
      </c>
      <c r="F501" s="36" t="str">
        <f aca="false">IF($A501="","",INDEX(c_Met,$A501)&amp;"")</f>
        <v/>
      </c>
      <c r="G501" s="26" t="str">
        <f aca="false">IF($A501="","",IF(INDEX(c_Date,$A501)="","",INDEX(c_Date,$A501)))</f>
        <v/>
      </c>
      <c r="H501" s="35" t="str">
        <f aca="false">IF($A501="","",IF(INDEX(c_Days,$A501)="","",INDEX(c_Days,$A501)))</f>
        <v/>
      </c>
      <c r="I501" s="41" t="str">
        <f aca="false">IF($A501="","",IF(INDEX(c_Mtgs,$A501)="","",INDEX(c_Mtgs,$A501)))</f>
        <v/>
      </c>
      <c r="J501" s="15" t="str">
        <f aca="false">IF($A501="","",INDEX(c_EvtNames,$A501)&amp;"")</f>
        <v/>
      </c>
      <c r="K501" s="36" t="str">
        <f aca="false">IF($A501="","",INDEX(c_Invested,$A501)&amp;"")</f>
        <v/>
      </c>
      <c r="L501" s="16" t="str">
        <f aca="false">IF($A501="","",IF(INDEX(c_AUM,$A501)="","",INDEX(c_AUM,$A501)))</f>
        <v/>
      </c>
      <c r="M501" s="15" t="str">
        <f aca="false">IF($A501="","",INDEX(c_Source,$A501)&amp;"")</f>
        <v/>
      </c>
      <c r="N501" s="15" t="str">
        <f aca="false">IF($A501="","",INDEX(c_Notes,$A501)&amp;"")</f>
        <v/>
      </c>
    </row>
    <row r="502" customFormat="false" ht="15" hidden="false" customHeight="false" outlineLevel="0" collapsed="false">
      <c r="A502" s="32" t="str">
        <f aca="false">IFERROR(MATCH(ROW()-5,c_Seq,0),"")</f>
        <v/>
      </c>
      <c r="B502" s="11" t="str">
        <f aca="false">IF($A502="","",INDEX(c_Name,$A502)&amp;"")</f>
        <v/>
      </c>
      <c r="C502" s="11" t="str">
        <f aca="false">IF($A502="","",INDEX(c_Firm,$A502)&amp;"")</f>
        <v/>
      </c>
      <c r="D502" s="11" t="str">
        <f aca="false">IF($A502="","",INDEX(c_Type,$A502)&amp;"")</f>
        <v/>
      </c>
      <c r="E502" s="11" t="str">
        <f aca="false">IF($A502="","",INDEX(c_Email,$A502)&amp;"")</f>
        <v/>
      </c>
      <c r="F502" s="34" t="str">
        <f aca="false">IF($A502="","",INDEX(c_Met,$A502)&amp;"")</f>
        <v/>
      </c>
      <c r="G502" s="25" t="str">
        <f aca="false">IF($A502="","",IF(INDEX(c_Date,$A502)="","",INDEX(c_Date,$A502)))</f>
        <v/>
      </c>
      <c r="H502" s="33" t="str">
        <f aca="false">IF($A502="","",IF(INDEX(c_Days,$A502)="","",INDEX(c_Days,$A502)))</f>
        <v/>
      </c>
      <c r="I502" s="40" t="str">
        <f aca="false">IF($A502="","",IF(INDEX(c_Mtgs,$A502)="","",INDEX(c_Mtgs,$A502)))</f>
        <v/>
      </c>
      <c r="J502" s="11" t="str">
        <f aca="false">IF($A502="","",INDEX(c_EvtNames,$A502)&amp;"")</f>
        <v/>
      </c>
      <c r="K502" s="34" t="str">
        <f aca="false">IF($A502="","",INDEX(c_Invested,$A502)&amp;"")</f>
        <v/>
      </c>
      <c r="L502" s="12" t="str">
        <f aca="false">IF($A502="","",IF(INDEX(c_AUM,$A502)="","",INDEX(c_AUM,$A502)))</f>
        <v/>
      </c>
      <c r="M502" s="11" t="str">
        <f aca="false">IF($A502="","",INDEX(c_Source,$A502)&amp;"")</f>
        <v/>
      </c>
      <c r="N502" s="11" t="str">
        <f aca="false">IF($A502="","",INDEX(c_Notes,$A502)&amp;"")</f>
        <v/>
      </c>
    </row>
    <row r="503" customFormat="false" ht="15" hidden="false" customHeight="false" outlineLevel="0" collapsed="false">
      <c r="A503" s="32" t="str">
        <f aca="false">IFERROR(MATCH(ROW()-5,c_Seq,0),"")</f>
        <v/>
      </c>
      <c r="B503" s="15" t="str">
        <f aca="false">IF($A503="","",INDEX(c_Name,$A503)&amp;"")</f>
        <v/>
      </c>
      <c r="C503" s="15" t="str">
        <f aca="false">IF($A503="","",INDEX(c_Firm,$A503)&amp;"")</f>
        <v/>
      </c>
      <c r="D503" s="15" t="str">
        <f aca="false">IF($A503="","",INDEX(c_Type,$A503)&amp;"")</f>
        <v/>
      </c>
      <c r="E503" s="15" t="str">
        <f aca="false">IF($A503="","",INDEX(c_Email,$A503)&amp;"")</f>
        <v/>
      </c>
      <c r="F503" s="36" t="str">
        <f aca="false">IF($A503="","",INDEX(c_Met,$A503)&amp;"")</f>
        <v/>
      </c>
      <c r="G503" s="26" t="str">
        <f aca="false">IF($A503="","",IF(INDEX(c_Date,$A503)="","",INDEX(c_Date,$A503)))</f>
        <v/>
      </c>
      <c r="H503" s="35" t="str">
        <f aca="false">IF($A503="","",IF(INDEX(c_Days,$A503)="","",INDEX(c_Days,$A503)))</f>
        <v/>
      </c>
      <c r="I503" s="41" t="str">
        <f aca="false">IF($A503="","",IF(INDEX(c_Mtgs,$A503)="","",INDEX(c_Mtgs,$A503)))</f>
        <v/>
      </c>
      <c r="J503" s="15" t="str">
        <f aca="false">IF($A503="","",INDEX(c_EvtNames,$A503)&amp;"")</f>
        <v/>
      </c>
      <c r="K503" s="36" t="str">
        <f aca="false">IF($A503="","",INDEX(c_Invested,$A503)&amp;"")</f>
        <v/>
      </c>
      <c r="L503" s="16" t="str">
        <f aca="false">IF($A503="","",IF(INDEX(c_AUM,$A503)="","",INDEX(c_AUM,$A503)))</f>
        <v/>
      </c>
      <c r="M503" s="15" t="str">
        <f aca="false">IF($A503="","",INDEX(c_Source,$A503)&amp;"")</f>
        <v/>
      </c>
      <c r="N503" s="15" t="str">
        <f aca="false">IF($A503="","",INDEX(c_Notes,$A503)&amp;"")</f>
        <v/>
      </c>
    </row>
    <row r="504" customFormat="false" ht="15" hidden="false" customHeight="false" outlineLevel="0" collapsed="false">
      <c r="A504" s="32" t="str">
        <f aca="false">IFERROR(MATCH(ROW()-5,c_Seq,0),"")</f>
        <v/>
      </c>
      <c r="B504" s="11" t="str">
        <f aca="false">IF($A504="","",INDEX(c_Name,$A504)&amp;"")</f>
        <v/>
      </c>
      <c r="C504" s="11" t="str">
        <f aca="false">IF($A504="","",INDEX(c_Firm,$A504)&amp;"")</f>
        <v/>
      </c>
      <c r="D504" s="11" t="str">
        <f aca="false">IF($A504="","",INDEX(c_Type,$A504)&amp;"")</f>
        <v/>
      </c>
      <c r="E504" s="11" t="str">
        <f aca="false">IF($A504="","",INDEX(c_Email,$A504)&amp;"")</f>
        <v/>
      </c>
      <c r="F504" s="34" t="str">
        <f aca="false">IF($A504="","",INDEX(c_Met,$A504)&amp;"")</f>
        <v/>
      </c>
      <c r="G504" s="25" t="str">
        <f aca="false">IF($A504="","",IF(INDEX(c_Date,$A504)="","",INDEX(c_Date,$A504)))</f>
        <v/>
      </c>
      <c r="H504" s="33" t="str">
        <f aca="false">IF($A504="","",IF(INDEX(c_Days,$A504)="","",INDEX(c_Days,$A504)))</f>
        <v/>
      </c>
      <c r="I504" s="40" t="str">
        <f aca="false">IF($A504="","",IF(INDEX(c_Mtgs,$A504)="","",INDEX(c_Mtgs,$A504)))</f>
        <v/>
      </c>
      <c r="J504" s="11" t="str">
        <f aca="false">IF($A504="","",INDEX(c_EvtNames,$A504)&amp;"")</f>
        <v/>
      </c>
      <c r="K504" s="34" t="str">
        <f aca="false">IF($A504="","",INDEX(c_Invested,$A504)&amp;"")</f>
        <v/>
      </c>
      <c r="L504" s="12" t="str">
        <f aca="false">IF($A504="","",IF(INDEX(c_AUM,$A504)="","",INDEX(c_AUM,$A504)))</f>
        <v/>
      </c>
      <c r="M504" s="11" t="str">
        <f aca="false">IF($A504="","",INDEX(c_Source,$A504)&amp;"")</f>
        <v/>
      </c>
      <c r="N504" s="11" t="str">
        <f aca="false">IF($A504="","",INDEX(c_Notes,$A504)&amp;"")</f>
        <v/>
      </c>
    </row>
    <row r="505" customFormat="false" ht="15" hidden="false" customHeight="false" outlineLevel="0" collapsed="false">
      <c r="A505" s="32" t="str">
        <f aca="false">IFERROR(MATCH(ROW()-5,c_Seq,0),"")</f>
        <v/>
      </c>
      <c r="B505" s="15" t="str">
        <f aca="false">IF($A505="","",INDEX(c_Name,$A505)&amp;"")</f>
        <v/>
      </c>
      <c r="C505" s="15" t="str">
        <f aca="false">IF($A505="","",INDEX(c_Firm,$A505)&amp;"")</f>
        <v/>
      </c>
      <c r="D505" s="15" t="str">
        <f aca="false">IF($A505="","",INDEX(c_Type,$A505)&amp;"")</f>
        <v/>
      </c>
      <c r="E505" s="15" t="str">
        <f aca="false">IF($A505="","",INDEX(c_Email,$A505)&amp;"")</f>
        <v/>
      </c>
      <c r="F505" s="36" t="str">
        <f aca="false">IF($A505="","",INDEX(c_Met,$A505)&amp;"")</f>
        <v/>
      </c>
      <c r="G505" s="26" t="str">
        <f aca="false">IF($A505="","",IF(INDEX(c_Date,$A505)="","",INDEX(c_Date,$A505)))</f>
        <v/>
      </c>
      <c r="H505" s="35" t="str">
        <f aca="false">IF($A505="","",IF(INDEX(c_Days,$A505)="","",INDEX(c_Days,$A505)))</f>
        <v/>
      </c>
      <c r="I505" s="41" t="str">
        <f aca="false">IF($A505="","",IF(INDEX(c_Mtgs,$A505)="","",INDEX(c_Mtgs,$A505)))</f>
        <v/>
      </c>
      <c r="J505" s="15" t="str">
        <f aca="false">IF($A505="","",INDEX(c_EvtNames,$A505)&amp;"")</f>
        <v/>
      </c>
      <c r="K505" s="36" t="str">
        <f aca="false">IF($A505="","",INDEX(c_Invested,$A505)&amp;"")</f>
        <v/>
      </c>
      <c r="L505" s="16" t="str">
        <f aca="false">IF($A505="","",IF(INDEX(c_AUM,$A505)="","",INDEX(c_AUM,$A505)))</f>
        <v/>
      </c>
      <c r="M505" s="15" t="str">
        <f aca="false">IF($A505="","",INDEX(c_Source,$A505)&amp;"")</f>
        <v/>
      </c>
      <c r="N505" s="15" t="str">
        <f aca="false">IF($A505="","",INDEX(c_Notes,$A505)&amp;"")</f>
        <v/>
      </c>
    </row>
    <row r="506" customFormat="false" ht="15" hidden="false" customHeight="false" outlineLevel="0" collapsed="false">
      <c r="A506" s="32" t="str">
        <f aca="false">IFERROR(MATCH(ROW()-5,c_Seq,0),"")</f>
        <v/>
      </c>
      <c r="B506" s="11" t="str">
        <f aca="false">IF($A506="","",INDEX(c_Name,$A506)&amp;"")</f>
        <v/>
      </c>
      <c r="C506" s="11" t="str">
        <f aca="false">IF($A506="","",INDEX(c_Firm,$A506)&amp;"")</f>
        <v/>
      </c>
      <c r="D506" s="11" t="str">
        <f aca="false">IF($A506="","",INDEX(c_Type,$A506)&amp;"")</f>
        <v/>
      </c>
      <c r="E506" s="11" t="str">
        <f aca="false">IF($A506="","",INDEX(c_Email,$A506)&amp;"")</f>
        <v/>
      </c>
      <c r="F506" s="34" t="str">
        <f aca="false">IF($A506="","",INDEX(c_Met,$A506)&amp;"")</f>
        <v/>
      </c>
      <c r="G506" s="25" t="str">
        <f aca="false">IF($A506="","",IF(INDEX(c_Date,$A506)="","",INDEX(c_Date,$A506)))</f>
        <v/>
      </c>
      <c r="H506" s="33" t="str">
        <f aca="false">IF($A506="","",IF(INDEX(c_Days,$A506)="","",INDEX(c_Days,$A506)))</f>
        <v/>
      </c>
      <c r="I506" s="40" t="str">
        <f aca="false">IF($A506="","",IF(INDEX(c_Mtgs,$A506)="","",INDEX(c_Mtgs,$A506)))</f>
        <v/>
      </c>
      <c r="J506" s="11" t="str">
        <f aca="false">IF($A506="","",INDEX(c_EvtNames,$A506)&amp;"")</f>
        <v/>
      </c>
      <c r="K506" s="34" t="str">
        <f aca="false">IF($A506="","",INDEX(c_Invested,$A506)&amp;"")</f>
        <v/>
      </c>
      <c r="L506" s="12" t="str">
        <f aca="false">IF($A506="","",IF(INDEX(c_AUM,$A506)="","",INDEX(c_AUM,$A506)))</f>
        <v/>
      </c>
      <c r="M506" s="11" t="str">
        <f aca="false">IF($A506="","",INDEX(c_Source,$A506)&amp;"")</f>
        <v/>
      </c>
      <c r="N506" s="11" t="str">
        <f aca="false">IF($A506="","",INDEX(c_Notes,$A506)&amp;"")</f>
        <v/>
      </c>
    </row>
    <row r="507" customFormat="false" ht="15" hidden="false" customHeight="false" outlineLevel="0" collapsed="false">
      <c r="A507" s="32" t="str">
        <f aca="false">IFERROR(MATCH(ROW()-5,c_Seq,0),"")</f>
        <v/>
      </c>
      <c r="B507" s="15" t="str">
        <f aca="false">IF($A507="","",INDEX(c_Name,$A507)&amp;"")</f>
        <v/>
      </c>
      <c r="C507" s="15" t="str">
        <f aca="false">IF($A507="","",INDEX(c_Firm,$A507)&amp;"")</f>
        <v/>
      </c>
      <c r="D507" s="15" t="str">
        <f aca="false">IF($A507="","",INDEX(c_Type,$A507)&amp;"")</f>
        <v/>
      </c>
      <c r="E507" s="15" t="str">
        <f aca="false">IF($A507="","",INDEX(c_Email,$A507)&amp;"")</f>
        <v/>
      </c>
      <c r="F507" s="36" t="str">
        <f aca="false">IF($A507="","",INDEX(c_Met,$A507)&amp;"")</f>
        <v/>
      </c>
      <c r="G507" s="26" t="str">
        <f aca="false">IF($A507="","",IF(INDEX(c_Date,$A507)="","",INDEX(c_Date,$A507)))</f>
        <v/>
      </c>
      <c r="H507" s="35" t="str">
        <f aca="false">IF($A507="","",IF(INDEX(c_Days,$A507)="","",INDEX(c_Days,$A507)))</f>
        <v/>
      </c>
      <c r="I507" s="41" t="str">
        <f aca="false">IF($A507="","",IF(INDEX(c_Mtgs,$A507)="","",INDEX(c_Mtgs,$A507)))</f>
        <v/>
      </c>
      <c r="J507" s="15" t="str">
        <f aca="false">IF($A507="","",INDEX(c_EvtNames,$A507)&amp;"")</f>
        <v/>
      </c>
      <c r="K507" s="36" t="str">
        <f aca="false">IF($A507="","",INDEX(c_Invested,$A507)&amp;"")</f>
        <v/>
      </c>
      <c r="L507" s="16" t="str">
        <f aca="false">IF($A507="","",IF(INDEX(c_AUM,$A507)="","",INDEX(c_AUM,$A507)))</f>
        <v/>
      </c>
      <c r="M507" s="15" t="str">
        <f aca="false">IF($A507="","",INDEX(c_Source,$A507)&amp;"")</f>
        <v/>
      </c>
      <c r="N507" s="15" t="str">
        <f aca="false">IF($A507="","",INDEX(c_Notes,$A507)&amp;"")</f>
        <v/>
      </c>
    </row>
    <row r="508" customFormat="false" ht="15" hidden="false" customHeight="false" outlineLevel="0" collapsed="false">
      <c r="A508" s="32" t="str">
        <f aca="false">IFERROR(MATCH(ROW()-5,c_Seq,0),"")</f>
        <v/>
      </c>
      <c r="B508" s="11" t="str">
        <f aca="false">IF($A508="","",INDEX(c_Name,$A508)&amp;"")</f>
        <v/>
      </c>
      <c r="C508" s="11" t="str">
        <f aca="false">IF($A508="","",INDEX(c_Firm,$A508)&amp;"")</f>
        <v/>
      </c>
      <c r="D508" s="11" t="str">
        <f aca="false">IF($A508="","",INDEX(c_Type,$A508)&amp;"")</f>
        <v/>
      </c>
      <c r="E508" s="11" t="str">
        <f aca="false">IF($A508="","",INDEX(c_Email,$A508)&amp;"")</f>
        <v/>
      </c>
      <c r="F508" s="34" t="str">
        <f aca="false">IF($A508="","",INDEX(c_Met,$A508)&amp;"")</f>
        <v/>
      </c>
      <c r="G508" s="25" t="str">
        <f aca="false">IF($A508="","",IF(INDEX(c_Date,$A508)="","",INDEX(c_Date,$A508)))</f>
        <v/>
      </c>
      <c r="H508" s="33" t="str">
        <f aca="false">IF($A508="","",IF(INDEX(c_Days,$A508)="","",INDEX(c_Days,$A508)))</f>
        <v/>
      </c>
      <c r="I508" s="40" t="str">
        <f aca="false">IF($A508="","",IF(INDEX(c_Mtgs,$A508)="","",INDEX(c_Mtgs,$A508)))</f>
        <v/>
      </c>
      <c r="J508" s="11" t="str">
        <f aca="false">IF($A508="","",INDEX(c_EvtNames,$A508)&amp;"")</f>
        <v/>
      </c>
      <c r="K508" s="34" t="str">
        <f aca="false">IF($A508="","",INDEX(c_Invested,$A508)&amp;"")</f>
        <v/>
      </c>
      <c r="L508" s="12" t="str">
        <f aca="false">IF($A508="","",IF(INDEX(c_AUM,$A508)="","",INDEX(c_AUM,$A508)))</f>
        <v/>
      </c>
      <c r="M508" s="11" t="str">
        <f aca="false">IF($A508="","",INDEX(c_Source,$A508)&amp;"")</f>
        <v/>
      </c>
      <c r="N508" s="11" t="str">
        <f aca="false">IF($A508="","",INDEX(c_Notes,$A508)&amp;"")</f>
        <v/>
      </c>
    </row>
    <row r="509" customFormat="false" ht="15" hidden="false" customHeight="false" outlineLevel="0" collapsed="false">
      <c r="A509" s="32" t="str">
        <f aca="false">IFERROR(MATCH(ROW()-5,c_Seq,0),"")</f>
        <v/>
      </c>
      <c r="B509" s="15" t="str">
        <f aca="false">IF($A509="","",INDEX(c_Name,$A509)&amp;"")</f>
        <v/>
      </c>
      <c r="C509" s="15" t="str">
        <f aca="false">IF($A509="","",INDEX(c_Firm,$A509)&amp;"")</f>
        <v/>
      </c>
      <c r="D509" s="15" t="str">
        <f aca="false">IF($A509="","",INDEX(c_Type,$A509)&amp;"")</f>
        <v/>
      </c>
      <c r="E509" s="15" t="str">
        <f aca="false">IF($A509="","",INDEX(c_Email,$A509)&amp;"")</f>
        <v/>
      </c>
      <c r="F509" s="36" t="str">
        <f aca="false">IF($A509="","",INDEX(c_Met,$A509)&amp;"")</f>
        <v/>
      </c>
      <c r="G509" s="26" t="str">
        <f aca="false">IF($A509="","",IF(INDEX(c_Date,$A509)="","",INDEX(c_Date,$A509)))</f>
        <v/>
      </c>
      <c r="H509" s="35" t="str">
        <f aca="false">IF($A509="","",IF(INDEX(c_Days,$A509)="","",INDEX(c_Days,$A509)))</f>
        <v/>
      </c>
      <c r="I509" s="41" t="str">
        <f aca="false">IF($A509="","",IF(INDEX(c_Mtgs,$A509)="","",INDEX(c_Mtgs,$A509)))</f>
        <v/>
      </c>
      <c r="J509" s="15" t="str">
        <f aca="false">IF($A509="","",INDEX(c_EvtNames,$A509)&amp;"")</f>
        <v/>
      </c>
      <c r="K509" s="36" t="str">
        <f aca="false">IF($A509="","",INDEX(c_Invested,$A509)&amp;"")</f>
        <v/>
      </c>
      <c r="L509" s="16" t="str">
        <f aca="false">IF($A509="","",IF(INDEX(c_AUM,$A509)="","",INDEX(c_AUM,$A509)))</f>
        <v/>
      </c>
      <c r="M509" s="15" t="str">
        <f aca="false">IF($A509="","",INDEX(c_Source,$A509)&amp;"")</f>
        <v/>
      </c>
      <c r="N509" s="15" t="str">
        <f aca="false">IF($A509="","",INDEX(c_Notes,$A509)&amp;"")</f>
        <v/>
      </c>
    </row>
    <row r="510" customFormat="false" ht="15" hidden="false" customHeight="false" outlineLevel="0" collapsed="false">
      <c r="A510" s="32" t="str">
        <f aca="false">IFERROR(MATCH(ROW()-5,c_Seq,0),"")</f>
        <v/>
      </c>
      <c r="B510" s="11" t="str">
        <f aca="false">IF($A510="","",INDEX(c_Name,$A510)&amp;"")</f>
        <v/>
      </c>
      <c r="C510" s="11" t="str">
        <f aca="false">IF($A510="","",INDEX(c_Firm,$A510)&amp;"")</f>
        <v/>
      </c>
      <c r="D510" s="11" t="str">
        <f aca="false">IF($A510="","",INDEX(c_Type,$A510)&amp;"")</f>
        <v/>
      </c>
      <c r="E510" s="11" t="str">
        <f aca="false">IF($A510="","",INDEX(c_Email,$A510)&amp;"")</f>
        <v/>
      </c>
      <c r="F510" s="34" t="str">
        <f aca="false">IF($A510="","",INDEX(c_Met,$A510)&amp;"")</f>
        <v/>
      </c>
      <c r="G510" s="25" t="str">
        <f aca="false">IF($A510="","",IF(INDEX(c_Date,$A510)="","",INDEX(c_Date,$A510)))</f>
        <v/>
      </c>
      <c r="H510" s="33" t="str">
        <f aca="false">IF($A510="","",IF(INDEX(c_Days,$A510)="","",INDEX(c_Days,$A510)))</f>
        <v/>
      </c>
      <c r="I510" s="40" t="str">
        <f aca="false">IF($A510="","",IF(INDEX(c_Mtgs,$A510)="","",INDEX(c_Mtgs,$A510)))</f>
        <v/>
      </c>
      <c r="J510" s="11" t="str">
        <f aca="false">IF($A510="","",INDEX(c_EvtNames,$A510)&amp;"")</f>
        <v/>
      </c>
      <c r="K510" s="34" t="str">
        <f aca="false">IF($A510="","",INDEX(c_Invested,$A510)&amp;"")</f>
        <v/>
      </c>
      <c r="L510" s="12" t="str">
        <f aca="false">IF($A510="","",IF(INDEX(c_AUM,$A510)="","",INDEX(c_AUM,$A510)))</f>
        <v/>
      </c>
      <c r="M510" s="11" t="str">
        <f aca="false">IF($A510="","",INDEX(c_Source,$A510)&amp;"")</f>
        <v/>
      </c>
      <c r="N510" s="11" t="str">
        <f aca="false">IF($A510="","",INDEX(c_Notes,$A510)&amp;"")</f>
        <v/>
      </c>
    </row>
    <row r="511" customFormat="false" ht="15" hidden="false" customHeight="false" outlineLevel="0" collapsed="false">
      <c r="A511" s="32" t="str">
        <f aca="false">IFERROR(MATCH(ROW()-5,c_Seq,0),"")</f>
        <v/>
      </c>
      <c r="B511" s="15" t="str">
        <f aca="false">IF($A511="","",INDEX(c_Name,$A511)&amp;"")</f>
        <v/>
      </c>
      <c r="C511" s="15" t="str">
        <f aca="false">IF($A511="","",INDEX(c_Firm,$A511)&amp;"")</f>
        <v/>
      </c>
      <c r="D511" s="15" t="str">
        <f aca="false">IF($A511="","",INDEX(c_Type,$A511)&amp;"")</f>
        <v/>
      </c>
      <c r="E511" s="15" t="str">
        <f aca="false">IF($A511="","",INDEX(c_Email,$A511)&amp;"")</f>
        <v/>
      </c>
      <c r="F511" s="36" t="str">
        <f aca="false">IF($A511="","",INDEX(c_Met,$A511)&amp;"")</f>
        <v/>
      </c>
      <c r="G511" s="26" t="str">
        <f aca="false">IF($A511="","",IF(INDEX(c_Date,$A511)="","",INDEX(c_Date,$A511)))</f>
        <v/>
      </c>
      <c r="H511" s="35" t="str">
        <f aca="false">IF($A511="","",IF(INDEX(c_Days,$A511)="","",INDEX(c_Days,$A511)))</f>
        <v/>
      </c>
      <c r="I511" s="41" t="str">
        <f aca="false">IF($A511="","",IF(INDEX(c_Mtgs,$A511)="","",INDEX(c_Mtgs,$A511)))</f>
        <v/>
      </c>
      <c r="J511" s="15" t="str">
        <f aca="false">IF($A511="","",INDEX(c_EvtNames,$A511)&amp;"")</f>
        <v/>
      </c>
      <c r="K511" s="36" t="str">
        <f aca="false">IF($A511="","",INDEX(c_Invested,$A511)&amp;"")</f>
        <v/>
      </c>
      <c r="L511" s="16" t="str">
        <f aca="false">IF($A511="","",IF(INDEX(c_AUM,$A511)="","",INDEX(c_AUM,$A511)))</f>
        <v/>
      </c>
      <c r="M511" s="15" t="str">
        <f aca="false">IF($A511="","",INDEX(c_Source,$A511)&amp;"")</f>
        <v/>
      </c>
      <c r="N511" s="15" t="str">
        <f aca="false">IF($A511="","",INDEX(c_Notes,$A511)&amp;"")</f>
        <v/>
      </c>
    </row>
    <row r="512" customFormat="false" ht="15" hidden="false" customHeight="false" outlineLevel="0" collapsed="false">
      <c r="A512" s="32" t="str">
        <f aca="false">IFERROR(MATCH(ROW()-5,c_Seq,0),"")</f>
        <v/>
      </c>
      <c r="B512" s="11" t="str">
        <f aca="false">IF($A512="","",INDEX(c_Name,$A512)&amp;"")</f>
        <v/>
      </c>
      <c r="C512" s="11" t="str">
        <f aca="false">IF($A512="","",INDEX(c_Firm,$A512)&amp;"")</f>
        <v/>
      </c>
      <c r="D512" s="11" t="str">
        <f aca="false">IF($A512="","",INDEX(c_Type,$A512)&amp;"")</f>
        <v/>
      </c>
      <c r="E512" s="11" t="str">
        <f aca="false">IF($A512="","",INDEX(c_Email,$A512)&amp;"")</f>
        <v/>
      </c>
      <c r="F512" s="34" t="str">
        <f aca="false">IF($A512="","",INDEX(c_Met,$A512)&amp;"")</f>
        <v/>
      </c>
      <c r="G512" s="25" t="str">
        <f aca="false">IF($A512="","",IF(INDEX(c_Date,$A512)="","",INDEX(c_Date,$A512)))</f>
        <v/>
      </c>
      <c r="H512" s="33" t="str">
        <f aca="false">IF($A512="","",IF(INDEX(c_Days,$A512)="","",INDEX(c_Days,$A512)))</f>
        <v/>
      </c>
      <c r="I512" s="40" t="str">
        <f aca="false">IF($A512="","",IF(INDEX(c_Mtgs,$A512)="","",INDEX(c_Mtgs,$A512)))</f>
        <v/>
      </c>
      <c r="J512" s="11" t="str">
        <f aca="false">IF($A512="","",INDEX(c_EvtNames,$A512)&amp;"")</f>
        <v/>
      </c>
      <c r="K512" s="34" t="str">
        <f aca="false">IF($A512="","",INDEX(c_Invested,$A512)&amp;"")</f>
        <v/>
      </c>
      <c r="L512" s="12" t="str">
        <f aca="false">IF($A512="","",IF(INDEX(c_AUM,$A512)="","",INDEX(c_AUM,$A512)))</f>
        <v/>
      </c>
      <c r="M512" s="11" t="str">
        <f aca="false">IF($A512="","",INDEX(c_Source,$A512)&amp;"")</f>
        <v/>
      </c>
      <c r="N512" s="11" t="str">
        <f aca="false">IF($A512="","",INDEX(c_Notes,$A512)&amp;"")</f>
        <v/>
      </c>
    </row>
    <row r="513" customFormat="false" ht="15" hidden="false" customHeight="false" outlineLevel="0" collapsed="false">
      <c r="A513" s="32" t="str">
        <f aca="false">IFERROR(MATCH(ROW()-5,c_Seq,0),"")</f>
        <v/>
      </c>
      <c r="B513" s="15" t="str">
        <f aca="false">IF($A513="","",INDEX(c_Name,$A513)&amp;"")</f>
        <v/>
      </c>
      <c r="C513" s="15" t="str">
        <f aca="false">IF($A513="","",INDEX(c_Firm,$A513)&amp;"")</f>
        <v/>
      </c>
      <c r="D513" s="15" t="str">
        <f aca="false">IF($A513="","",INDEX(c_Type,$A513)&amp;"")</f>
        <v/>
      </c>
      <c r="E513" s="15" t="str">
        <f aca="false">IF($A513="","",INDEX(c_Email,$A513)&amp;"")</f>
        <v/>
      </c>
      <c r="F513" s="36" t="str">
        <f aca="false">IF($A513="","",INDEX(c_Met,$A513)&amp;"")</f>
        <v/>
      </c>
      <c r="G513" s="26" t="str">
        <f aca="false">IF($A513="","",IF(INDEX(c_Date,$A513)="","",INDEX(c_Date,$A513)))</f>
        <v/>
      </c>
      <c r="H513" s="35" t="str">
        <f aca="false">IF($A513="","",IF(INDEX(c_Days,$A513)="","",INDEX(c_Days,$A513)))</f>
        <v/>
      </c>
      <c r="I513" s="41" t="str">
        <f aca="false">IF($A513="","",IF(INDEX(c_Mtgs,$A513)="","",INDEX(c_Mtgs,$A513)))</f>
        <v/>
      </c>
      <c r="J513" s="15" t="str">
        <f aca="false">IF($A513="","",INDEX(c_EvtNames,$A513)&amp;"")</f>
        <v/>
      </c>
      <c r="K513" s="36" t="str">
        <f aca="false">IF($A513="","",INDEX(c_Invested,$A513)&amp;"")</f>
        <v/>
      </c>
      <c r="L513" s="16" t="str">
        <f aca="false">IF($A513="","",IF(INDEX(c_AUM,$A513)="","",INDEX(c_AUM,$A513)))</f>
        <v/>
      </c>
      <c r="M513" s="15" t="str">
        <f aca="false">IF($A513="","",INDEX(c_Source,$A513)&amp;"")</f>
        <v/>
      </c>
      <c r="N513" s="15" t="str">
        <f aca="false">IF($A513="","",INDEX(c_Notes,$A513)&amp;"")</f>
        <v/>
      </c>
    </row>
    <row r="514" customFormat="false" ht="15" hidden="false" customHeight="false" outlineLevel="0" collapsed="false">
      <c r="A514" s="32" t="str">
        <f aca="false">IFERROR(MATCH(ROW()-5,c_Seq,0),"")</f>
        <v/>
      </c>
      <c r="B514" s="11" t="str">
        <f aca="false">IF($A514="","",INDEX(c_Name,$A514)&amp;"")</f>
        <v/>
      </c>
      <c r="C514" s="11" t="str">
        <f aca="false">IF($A514="","",INDEX(c_Firm,$A514)&amp;"")</f>
        <v/>
      </c>
      <c r="D514" s="11" t="str">
        <f aca="false">IF($A514="","",INDEX(c_Type,$A514)&amp;"")</f>
        <v/>
      </c>
      <c r="E514" s="11" t="str">
        <f aca="false">IF($A514="","",INDEX(c_Email,$A514)&amp;"")</f>
        <v/>
      </c>
      <c r="F514" s="34" t="str">
        <f aca="false">IF($A514="","",INDEX(c_Met,$A514)&amp;"")</f>
        <v/>
      </c>
      <c r="G514" s="25" t="str">
        <f aca="false">IF($A514="","",IF(INDEX(c_Date,$A514)="","",INDEX(c_Date,$A514)))</f>
        <v/>
      </c>
      <c r="H514" s="33" t="str">
        <f aca="false">IF($A514="","",IF(INDEX(c_Days,$A514)="","",INDEX(c_Days,$A514)))</f>
        <v/>
      </c>
      <c r="I514" s="40" t="str">
        <f aca="false">IF($A514="","",IF(INDEX(c_Mtgs,$A514)="","",INDEX(c_Mtgs,$A514)))</f>
        <v/>
      </c>
      <c r="J514" s="11" t="str">
        <f aca="false">IF($A514="","",INDEX(c_EvtNames,$A514)&amp;"")</f>
        <v/>
      </c>
      <c r="K514" s="34" t="str">
        <f aca="false">IF($A514="","",INDEX(c_Invested,$A514)&amp;"")</f>
        <v/>
      </c>
      <c r="L514" s="12" t="str">
        <f aca="false">IF($A514="","",IF(INDEX(c_AUM,$A514)="","",INDEX(c_AUM,$A514)))</f>
        <v/>
      </c>
      <c r="M514" s="11" t="str">
        <f aca="false">IF($A514="","",INDEX(c_Source,$A514)&amp;"")</f>
        <v/>
      </c>
      <c r="N514" s="11" t="str">
        <f aca="false">IF($A514="","",INDEX(c_Notes,$A514)&amp;"")</f>
        <v/>
      </c>
    </row>
    <row r="515" customFormat="false" ht="15" hidden="false" customHeight="false" outlineLevel="0" collapsed="false">
      <c r="A515" s="32" t="str">
        <f aca="false">IFERROR(MATCH(ROW()-5,c_Seq,0),"")</f>
        <v/>
      </c>
      <c r="B515" s="15" t="str">
        <f aca="false">IF($A515="","",INDEX(c_Name,$A515)&amp;"")</f>
        <v/>
      </c>
      <c r="C515" s="15" t="str">
        <f aca="false">IF($A515="","",INDEX(c_Firm,$A515)&amp;"")</f>
        <v/>
      </c>
      <c r="D515" s="15" t="str">
        <f aca="false">IF($A515="","",INDEX(c_Type,$A515)&amp;"")</f>
        <v/>
      </c>
      <c r="E515" s="15" t="str">
        <f aca="false">IF($A515="","",INDEX(c_Email,$A515)&amp;"")</f>
        <v/>
      </c>
      <c r="F515" s="36" t="str">
        <f aca="false">IF($A515="","",INDEX(c_Met,$A515)&amp;"")</f>
        <v/>
      </c>
      <c r="G515" s="26" t="str">
        <f aca="false">IF($A515="","",IF(INDEX(c_Date,$A515)="","",INDEX(c_Date,$A515)))</f>
        <v/>
      </c>
      <c r="H515" s="35" t="str">
        <f aca="false">IF($A515="","",IF(INDEX(c_Days,$A515)="","",INDEX(c_Days,$A515)))</f>
        <v/>
      </c>
      <c r="I515" s="41" t="str">
        <f aca="false">IF($A515="","",IF(INDEX(c_Mtgs,$A515)="","",INDEX(c_Mtgs,$A515)))</f>
        <v/>
      </c>
      <c r="J515" s="15" t="str">
        <f aca="false">IF($A515="","",INDEX(c_EvtNames,$A515)&amp;"")</f>
        <v/>
      </c>
      <c r="K515" s="36" t="str">
        <f aca="false">IF($A515="","",INDEX(c_Invested,$A515)&amp;"")</f>
        <v/>
      </c>
      <c r="L515" s="16" t="str">
        <f aca="false">IF($A515="","",IF(INDEX(c_AUM,$A515)="","",INDEX(c_AUM,$A515)))</f>
        <v/>
      </c>
      <c r="M515" s="15" t="str">
        <f aca="false">IF($A515="","",INDEX(c_Source,$A515)&amp;"")</f>
        <v/>
      </c>
      <c r="N515" s="15" t="str">
        <f aca="false">IF($A515="","",INDEX(c_Notes,$A515)&amp;"")</f>
        <v/>
      </c>
    </row>
    <row r="516" customFormat="false" ht="15" hidden="false" customHeight="false" outlineLevel="0" collapsed="false">
      <c r="A516" s="32" t="str">
        <f aca="false">IFERROR(MATCH(ROW()-5,c_Seq,0),"")</f>
        <v/>
      </c>
      <c r="B516" s="11" t="str">
        <f aca="false">IF($A516="","",INDEX(c_Name,$A516)&amp;"")</f>
        <v/>
      </c>
      <c r="C516" s="11" t="str">
        <f aca="false">IF($A516="","",INDEX(c_Firm,$A516)&amp;"")</f>
        <v/>
      </c>
      <c r="D516" s="11" t="str">
        <f aca="false">IF($A516="","",INDEX(c_Type,$A516)&amp;"")</f>
        <v/>
      </c>
      <c r="E516" s="11" t="str">
        <f aca="false">IF($A516="","",INDEX(c_Email,$A516)&amp;"")</f>
        <v/>
      </c>
      <c r="F516" s="34" t="str">
        <f aca="false">IF($A516="","",INDEX(c_Met,$A516)&amp;"")</f>
        <v/>
      </c>
      <c r="G516" s="25" t="str">
        <f aca="false">IF($A516="","",IF(INDEX(c_Date,$A516)="","",INDEX(c_Date,$A516)))</f>
        <v/>
      </c>
      <c r="H516" s="33" t="str">
        <f aca="false">IF($A516="","",IF(INDEX(c_Days,$A516)="","",INDEX(c_Days,$A516)))</f>
        <v/>
      </c>
      <c r="I516" s="40" t="str">
        <f aca="false">IF($A516="","",IF(INDEX(c_Mtgs,$A516)="","",INDEX(c_Mtgs,$A516)))</f>
        <v/>
      </c>
      <c r="J516" s="11" t="str">
        <f aca="false">IF($A516="","",INDEX(c_EvtNames,$A516)&amp;"")</f>
        <v/>
      </c>
      <c r="K516" s="34" t="str">
        <f aca="false">IF($A516="","",INDEX(c_Invested,$A516)&amp;"")</f>
        <v/>
      </c>
      <c r="L516" s="12" t="str">
        <f aca="false">IF($A516="","",IF(INDEX(c_AUM,$A516)="","",INDEX(c_AUM,$A516)))</f>
        <v/>
      </c>
      <c r="M516" s="11" t="str">
        <f aca="false">IF($A516="","",INDEX(c_Source,$A516)&amp;"")</f>
        <v/>
      </c>
      <c r="N516" s="11" t="str">
        <f aca="false">IF($A516="","",INDEX(c_Notes,$A516)&amp;"")</f>
        <v/>
      </c>
    </row>
    <row r="517" customFormat="false" ht="15" hidden="false" customHeight="false" outlineLevel="0" collapsed="false">
      <c r="A517" s="32" t="str">
        <f aca="false">IFERROR(MATCH(ROW()-5,c_Seq,0),"")</f>
        <v/>
      </c>
      <c r="B517" s="15" t="str">
        <f aca="false">IF($A517="","",INDEX(c_Name,$A517)&amp;"")</f>
        <v/>
      </c>
      <c r="C517" s="15" t="str">
        <f aca="false">IF($A517="","",INDEX(c_Firm,$A517)&amp;"")</f>
        <v/>
      </c>
      <c r="D517" s="15" t="str">
        <f aca="false">IF($A517="","",INDEX(c_Type,$A517)&amp;"")</f>
        <v/>
      </c>
      <c r="E517" s="15" t="str">
        <f aca="false">IF($A517="","",INDEX(c_Email,$A517)&amp;"")</f>
        <v/>
      </c>
      <c r="F517" s="36" t="str">
        <f aca="false">IF($A517="","",INDEX(c_Met,$A517)&amp;"")</f>
        <v/>
      </c>
      <c r="G517" s="26" t="str">
        <f aca="false">IF($A517="","",IF(INDEX(c_Date,$A517)="","",INDEX(c_Date,$A517)))</f>
        <v/>
      </c>
      <c r="H517" s="35" t="str">
        <f aca="false">IF($A517="","",IF(INDEX(c_Days,$A517)="","",INDEX(c_Days,$A517)))</f>
        <v/>
      </c>
      <c r="I517" s="41" t="str">
        <f aca="false">IF($A517="","",IF(INDEX(c_Mtgs,$A517)="","",INDEX(c_Mtgs,$A517)))</f>
        <v/>
      </c>
      <c r="J517" s="15" t="str">
        <f aca="false">IF($A517="","",INDEX(c_EvtNames,$A517)&amp;"")</f>
        <v/>
      </c>
      <c r="K517" s="36" t="str">
        <f aca="false">IF($A517="","",INDEX(c_Invested,$A517)&amp;"")</f>
        <v/>
      </c>
      <c r="L517" s="16" t="str">
        <f aca="false">IF($A517="","",IF(INDEX(c_AUM,$A517)="","",INDEX(c_AUM,$A517)))</f>
        <v/>
      </c>
      <c r="M517" s="15" t="str">
        <f aca="false">IF($A517="","",INDEX(c_Source,$A517)&amp;"")</f>
        <v/>
      </c>
      <c r="N517" s="15" t="str">
        <f aca="false">IF($A517="","",INDEX(c_Notes,$A517)&amp;"")</f>
        <v/>
      </c>
    </row>
    <row r="518" customFormat="false" ht="15" hidden="false" customHeight="false" outlineLevel="0" collapsed="false">
      <c r="A518" s="32" t="str">
        <f aca="false">IFERROR(MATCH(ROW()-5,c_Seq,0),"")</f>
        <v/>
      </c>
      <c r="B518" s="11" t="str">
        <f aca="false">IF($A518="","",INDEX(c_Name,$A518)&amp;"")</f>
        <v/>
      </c>
      <c r="C518" s="11" t="str">
        <f aca="false">IF($A518="","",INDEX(c_Firm,$A518)&amp;"")</f>
        <v/>
      </c>
      <c r="D518" s="11" t="str">
        <f aca="false">IF($A518="","",INDEX(c_Type,$A518)&amp;"")</f>
        <v/>
      </c>
      <c r="E518" s="11" t="str">
        <f aca="false">IF($A518="","",INDEX(c_Email,$A518)&amp;"")</f>
        <v/>
      </c>
      <c r="F518" s="34" t="str">
        <f aca="false">IF($A518="","",INDEX(c_Met,$A518)&amp;"")</f>
        <v/>
      </c>
      <c r="G518" s="25" t="str">
        <f aca="false">IF($A518="","",IF(INDEX(c_Date,$A518)="","",INDEX(c_Date,$A518)))</f>
        <v/>
      </c>
      <c r="H518" s="33" t="str">
        <f aca="false">IF($A518="","",IF(INDEX(c_Days,$A518)="","",INDEX(c_Days,$A518)))</f>
        <v/>
      </c>
      <c r="I518" s="40" t="str">
        <f aca="false">IF($A518="","",IF(INDEX(c_Mtgs,$A518)="","",INDEX(c_Mtgs,$A518)))</f>
        <v/>
      </c>
      <c r="J518" s="11" t="str">
        <f aca="false">IF($A518="","",INDEX(c_EvtNames,$A518)&amp;"")</f>
        <v/>
      </c>
      <c r="K518" s="34" t="str">
        <f aca="false">IF($A518="","",INDEX(c_Invested,$A518)&amp;"")</f>
        <v/>
      </c>
      <c r="L518" s="12" t="str">
        <f aca="false">IF($A518="","",IF(INDEX(c_AUM,$A518)="","",INDEX(c_AUM,$A518)))</f>
        <v/>
      </c>
      <c r="M518" s="11" t="str">
        <f aca="false">IF($A518="","",INDEX(c_Source,$A518)&amp;"")</f>
        <v/>
      </c>
      <c r="N518" s="11" t="str">
        <f aca="false">IF($A518="","",INDEX(c_Notes,$A518)&amp;"")</f>
        <v/>
      </c>
    </row>
    <row r="519" customFormat="false" ht="15" hidden="false" customHeight="false" outlineLevel="0" collapsed="false">
      <c r="A519" s="32" t="str">
        <f aca="false">IFERROR(MATCH(ROW()-5,c_Seq,0),"")</f>
        <v/>
      </c>
      <c r="B519" s="15" t="str">
        <f aca="false">IF($A519="","",INDEX(c_Name,$A519)&amp;"")</f>
        <v/>
      </c>
      <c r="C519" s="15" t="str">
        <f aca="false">IF($A519="","",INDEX(c_Firm,$A519)&amp;"")</f>
        <v/>
      </c>
      <c r="D519" s="15" t="str">
        <f aca="false">IF($A519="","",INDEX(c_Type,$A519)&amp;"")</f>
        <v/>
      </c>
      <c r="E519" s="15" t="str">
        <f aca="false">IF($A519="","",INDEX(c_Email,$A519)&amp;"")</f>
        <v/>
      </c>
      <c r="F519" s="36" t="str">
        <f aca="false">IF($A519="","",INDEX(c_Met,$A519)&amp;"")</f>
        <v/>
      </c>
      <c r="G519" s="26" t="str">
        <f aca="false">IF($A519="","",IF(INDEX(c_Date,$A519)="","",INDEX(c_Date,$A519)))</f>
        <v/>
      </c>
      <c r="H519" s="35" t="str">
        <f aca="false">IF($A519="","",IF(INDEX(c_Days,$A519)="","",INDEX(c_Days,$A519)))</f>
        <v/>
      </c>
      <c r="I519" s="41" t="str">
        <f aca="false">IF($A519="","",IF(INDEX(c_Mtgs,$A519)="","",INDEX(c_Mtgs,$A519)))</f>
        <v/>
      </c>
      <c r="J519" s="15" t="str">
        <f aca="false">IF($A519="","",INDEX(c_EvtNames,$A519)&amp;"")</f>
        <v/>
      </c>
      <c r="K519" s="36" t="str">
        <f aca="false">IF($A519="","",INDEX(c_Invested,$A519)&amp;"")</f>
        <v/>
      </c>
      <c r="L519" s="16" t="str">
        <f aca="false">IF($A519="","",IF(INDEX(c_AUM,$A519)="","",INDEX(c_AUM,$A519)))</f>
        <v/>
      </c>
      <c r="M519" s="15" t="str">
        <f aca="false">IF($A519="","",INDEX(c_Source,$A519)&amp;"")</f>
        <v/>
      </c>
      <c r="N519" s="15" t="str">
        <f aca="false">IF($A519="","",INDEX(c_Notes,$A519)&amp;"")</f>
        <v/>
      </c>
    </row>
    <row r="520" customFormat="false" ht="15" hidden="false" customHeight="false" outlineLevel="0" collapsed="false">
      <c r="A520" s="32" t="str">
        <f aca="false">IFERROR(MATCH(ROW()-5,c_Seq,0),"")</f>
        <v/>
      </c>
      <c r="B520" s="11" t="str">
        <f aca="false">IF($A520="","",INDEX(c_Name,$A520)&amp;"")</f>
        <v/>
      </c>
      <c r="C520" s="11" t="str">
        <f aca="false">IF($A520="","",INDEX(c_Firm,$A520)&amp;"")</f>
        <v/>
      </c>
      <c r="D520" s="11" t="str">
        <f aca="false">IF($A520="","",INDEX(c_Type,$A520)&amp;"")</f>
        <v/>
      </c>
      <c r="E520" s="11" t="str">
        <f aca="false">IF($A520="","",INDEX(c_Email,$A520)&amp;"")</f>
        <v/>
      </c>
      <c r="F520" s="34" t="str">
        <f aca="false">IF($A520="","",INDEX(c_Met,$A520)&amp;"")</f>
        <v/>
      </c>
      <c r="G520" s="25" t="str">
        <f aca="false">IF($A520="","",IF(INDEX(c_Date,$A520)="","",INDEX(c_Date,$A520)))</f>
        <v/>
      </c>
      <c r="H520" s="33" t="str">
        <f aca="false">IF($A520="","",IF(INDEX(c_Days,$A520)="","",INDEX(c_Days,$A520)))</f>
        <v/>
      </c>
      <c r="I520" s="40" t="str">
        <f aca="false">IF($A520="","",IF(INDEX(c_Mtgs,$A520)="","",INDEX(c_Mtgs,$A520)))</f>
        <v/>
      </c>
      <c r="J520" s="11" t="str">
        <f aca="false">IF($A520="","",INDEX(c_EvtNames,$A520)&amp;"")</f>
        <v/>
      </c>
      <c r="K520" s="34" t="str">
        <f aca="false">IF($A520="","",INDEX(c_Invested,$A520)&amp;"")</f>
        <v/>
      </c>
      <c r="L520" s="12" t="str">
        <f aca="false">IF($A520="","",IF(INDEX(c_AUM,$A520)="","",INDEX(c_AUM,$A520)))</f>
        <v/>
      </c>
      <c r="M520" s="11" t="str">
        <f aca="false">IF($A520="","",INDEX(c_Source,$A520)&amp;"")</f>
        <v/>
      </c>
      <c r="N520" s="11" t="str">
        <f aca="false">IF($A520="","",INDEX(c_Notes,$A520)&amp;"")</f>
        <v/>
      </c>
    </row>
    <row r="521" customFormat="false" ht="15" hidden="false" customHeight="false" outlineLevel="0" collapsed="false">
      <c r="A521" s="32" t="str">
        <f aca="false">IFERROR(MATCH(ROW()-5,c_Seq,0),"")</f>
        <v/>
      </c>
      <c r="B521" s="15" t="str">
        <f aca="false">IF($A521="","",INDEX(c_Name,$A521)&amp;"")</f>
        <v/>
      </c>
      <c r="C521" s="15" t="str">
        <f aca="false">IF($A521="","",INDEX(c_Firm,$A521)&amp;"")</f>
        <v/>
      </c>
      <c r="D521" s="15" t="str">
        <f aca="false">IF($A521="","",INDEX(c_Type,$A521)&amp;"")</f>
        <v/>
      </c>
      <c r="E521" s="15" t="str">
        <f aca="false">IF($A521="","",INDEX(c_Email,$A521)&amp;"")</f>
        <v/>
      </c>
      <c r="F521" s="36" t="str">
        <f aca="false">IF($A521="","",INDEX(c_Met,$A521)&amp;"")</f>
        <v/>
      </c>
      <c r="G521" s="26" t="str">
        <f aca="false">IF($A521="","",IF(INDEX(c_Date,$A521)="","",INDEX(c_Date,$A521)))</f>
        <v/>
      </c>
      <c r="H521" s="35" t="str">
        <f aca="false">IF($A521="","",IF(INDEX(c_Days,$A521)="","",INDEX(c_Days,$A521)))</f>
        <v/>
      </c>
      <c r="I521" s="41" t="str">
        <f aca="false">IF($A521="","",IF(INDEX(c_Mtgs,$A521)="","",INDEX(c_Mtgs,$A521)))</f>
        <v/>
      </c>
      <c r="J521" s="15" t="str">
        <f aca="false">IF($A521="","",INDEX(c_EvtNames,$A521)&amp;"")</f>
        <v/>
      </c>
      <c r="K521" s="36" t="str">
        <f aca="false">IF($A521="","",INDEX(c_Invested,$A521)&amp;"")</f>
        <v/>
      </c>
      <c r="L521" s="16" t="str">
        <f aca="false">IF($A521="","",IF(INDEX(c_AUM,$A521)="","",INDEX(c_AUM,$A521)))</f>
        <v/>
      </c>
      <c r="M521" s="15" t="str">
        <f aca="false">IF($A521="","",INDEX(c_Source,$A521)&amp;"")</f>
        <v/>
      </c>
      <c r="N521" s="15" t="str">
        <f aca="false">IF($A521="","",INDEX(c_Notes,$A521)&amp;"")</f>
        <v/>
      </c>
    </row>
    <row r="522" customFormat="false" ht="15" hidden="false" customHeight="false" outlineLevel="0" collapsed="false">
      <c r="A522" s="32" t="str">
        <f aca="false">IFERROR(MATCH(ROW()-5,c_Seq,0),"")</f>
        <v/>
      </c>
      <c r="B522" s="11" t="str">
        <f aca="false">IF($A522="","",INDEX(c_Name,$A522)&amp;"")</f>
        <v/>
      </c>
      <c r="C522" s="11" t="str">
        <f aca="false">IF($A522="","",INDEX(c_Firm,$A522)&amp;"")</f>
        <v/>
      </c>
      <c r="D522" s="11" t="str">
        <f aca="false">IF($A522="","",INDEX(c_Type,$A522)&amp;"")</f>
        <v/>
      </c>
      <c r="E522" s="11" t="str">
        <f aca="false">IF($A522="","",INDEX(c_Email,$A522)&amp;"")</f>
        <v/>
      </c>
      <c r="F522" s="34" t="str">
        <f aca="false">IF($A522="","",INDEX(c_Met,$A522)&amp;"")</f>
        <v/>
      </c>
      <c r="G522" s="25" t="str">
        <f aca="false">IF($A522="","",IF(INDEX(c_Date,$A522)="","",INDEX(c_Date,$A522)))</f>
        <v/>
      </c>
      <c r="H522" s="33" t="str">
        <f aca="false">IF($A522="","",IF(INDEX(c_Days,$A522)="","",INDEX(c_Days,$A522)))</f>
        <v/>
      </c>
      <c r="I522" s="40" t="str">
        <f aca="false">IF($A522="","",IF(INDEX(c_Mtgs,$A522)="","",INDEX(c_Mtgs,$A522)))</f>
        <v/>
      </c>
      <c r="J522" s="11" t="str">
        <f aca="false">IF($A522="","",INDEX(c_EvtNames,$A522)&amp;"")</f>
        <v/>
      </c>
      <c r="K522" s="34" t="str">
        <f aca="false">IF($A522="","",INDEX(c_Invested,$A522)&amp;"")</f>
        <v/>
      </c>
      <c r="L522" s="12" t="str">
        <f aca="false">IF($A522="","",IF(INDEX(c_AUM,$A522)="","",INDEX(c_AUM,$A522)))</f>
        <v/>
      </c>
      <c r="M522" s="11" t="str">
        <f aca="false">IF($A522="","",INDEX(c_Source,$A522)&amp;"")</f>
        <v/>
      </c>
      <c r="N522" s="11" t="str">
        <f aca="false">IF($A522="","",INDEX(c_Notes,$A522)&amp;"")</f>
        <v/>
      </c>
    </row>
    <row r="523" customFormat="false" ht="15" hidden="false" customHeight="false" outlineLevel="0" collapsed="false">
      <c r="A523" s="32" t="str">
        <f aca="false">IFERROR(MATCH(ROW()-5,c_Seq,0),"")</f>
        <v/>
      </c>
      <c r="B523" s="15" t="str">
        <f aca="false">IF($A523="","",INDEX(c_Name,$A523)&amp;"")</f>
        <v/>
      </c>
      <c r="C523" s="15" t="str">
        <f aca="false">IF($A523="","",INDEX(c_Firm,$A523)&amp;"")</f>
        <v/>
      </c>
      <c r="D523" s="15" t="str">
        <f aca="false">IF($A523="","",INDEX(c_Type,$A523)&amp;"")</f>
        <v/>
      </c>
      <c r="E523" s="15" t="str">
        <f aca="false">IF($A523="","",INDEX(c_Email,$A523)&amp;"")</f>
        <v/>
      </c>
      <c r="F523" s="36" t="str">
        <f aca="false">IF($A523="","",INDEX(c_Met,$A523)&amp;"")</f>
        <v/>
      </c>
      <c r="G523" s="26" t="str">
        <f aca="false">IF($A523="","",IF(INDEX(c_Date,$A523)="","",INDEX(c_Date,$A523)))</f>
        <v/>
      </c>
      <c r="H523" s="35" t="str">
        <f aca="false">IF($A523="","",IF(INDEX(c_Days,$A523)="","",INDEX(c_Days,$A523)))</f>
        <v/>
      </c>
      <c r="I523" s="41" t="str">
        <f aca="false">IF($A523="","",IF(INDEX(c_Mtgs,$A523)="","",INDEX(c_Mtgs,$A523)))</f>
        <v/>
      </c>
      <c r="J523" s="15" t="str">
        <f aca="false">IF($A523="","",INDEX(c_EvtNames,$A523)&amp;"")</f>
        <v/>
      </c>
      <c r="K523" s="36" t="str">
        <f aca="false">IF($A523="","",INDEX(c_Invested,$A523)&amp;"")</f>
        <v/>
      </c>
      <c r="L523" s="16" t="str">
        <f aca="false">IF($A523="","",IF(INDEX(c_AUM,$A523)="","",INDEX(c_AUM,$A523)))</f>
        <v/>
      </c>
      <c r="M523" s="15" t="str">
        <f aca="false">IF($A523="","",INDEX(c_Source,$A523)&amp;"")</f>
        <v/>
      </c>
      <c r="N523" s="15" t="str">
        <f aca="false">IF($A523="","",INDEX(c_Notes,$A523)&amp;"")</f>
        <v/>
      </c>
    </row>
    <row r="524" customFormat="false" ht="15" hidden="false" customHeight="false" outlineLevel="0" collapsed="false">
      <c r="A524" s="32" t="str">
        <f aca="false">IFERROR(MATCH(ROW()-5,c_Seq,0),"")</f>
        <v/>
      </c>
      <c r="B524" s="11" t="str">
        <f aca="false">IF($A524="","",INDEX(c_Name,$A524)&amp;"")</f>
        <v/>
      </c>
      <c r="C524" s="11" t="str">
        <f aca="false">IF($A524="","",INDEX(c_Firm,$A524)&amp;"")</f>
        <v/>
      </c>
      <c r="D524" s="11" t="str">
        <f aca="false">IF($A524="","",INDEX(c_Type,$A524)&amp;"")</f>
        <v/>
      </c>
      <c r="E524" s="11" t="str">
        <f aca="false">IF($A524="","",INDEX(c_Email,$A524)&amp;"")</f>
        <v/>
      </c>
      <c r="F524" s="34" t="str">
        <f aca="false">IF($A524="","",INDEX(c_Met,$A524)&amp;"")</f>
        <v/>
      </c>
      <c r="G524" s="25" t="str">
        <f aca="false">IF($A524="","",IF(INDEX(c_Date,$A524)="","",INDEX(c_Date,$A524)))</f>
        <v/>
      </c>
      <c r="H524" s="33" t="str">
        <f aca="false">IF($A524="","",IF(INDEX(c_Days,$A524)="","",INDEX(c_Days,$A524)))</f>
        <v/>
      </c>
      <c r="I524" s="40" t="str">
        <f aca="false">IF($A524="","",IF(INDEX(c_Mtgs,$A524)="","",INDEX(c_Mtgs,$A524)))</f>
        <v/>
      </c>
      <c r="J524" s="11" t="str">
        <f aca="false">IF($A524="","",INDEX(c_EvtNames,$A524)&amp;"")</f>
        <v/>
      </c>
      <c r="K524" s="34" t="str">
        <f aca="false">IF($A524="","",INDEX(c_Invested,$A524)&amp;"")</f>
        <v/>
      </c>
      <c r="L524" s="12" t="str">
        <f aca="false">IF($A524="","",IF(INDEX(c_AUM,$A524)="","",INDEX(c_AUM,$A524)))</f>
        <v/>
      </c>
      <c r="M524" s="11" t="str">
        <f aca="false">IF($A524="","",INDEX(c_Source,$A524)&amp;"")</f>
        <v/>
      </c>
      <c r="N524" s="11" t="str">
        <f aca="false">IF($A524="","",INDEX(c_Notes,$A524)&amp;"")</f>
        <v/>
      </c>
    </row>
    <row r="525" customFormat="false" ht="15" hidden="false" customHeight="false" outlineLevel="0" collapsed="false">
      <c r="A525" s="32" t="str">
        <f aca="false">IFERROR(MATCH(ROW()-5,c_Seq,0),"")</f>
        <v/>
      </c>
      <c r="B525" s="15" t="str">
        <f aca="false">IF($A525="","",INDEX(c_Name,$A525)&amp;"")</f>
        <v/>
      </c>
      <c r="C525" s="15" t="str">
        <f aca="false">IF($A525="","",INDEX(c_Firm,$A525)&amp;"")</f>
        <v/>
      </c>
      <c r="D525" s="15" t="str">
        <f aca="false">IF($A525="","",INDEX(c_Type,$A525)&amp;"")</f>
        <v/>
      </c>
      <c r="E525" s="15" t="str">
        <f aca="false">IF($A525="","",INDEX(c_Email,$A525)&amp;"")</f>
        <v/>
      </c>
      <c r="F525" s="36" t="str">
        <f aca="false">IF($A525="","",INDEX(c_Met,$A525)&amp;"")</f>
        <v/>
      </c>
      <c r="G525" s="26" t="str">
        <f aca="false">IF($A525="","",IF(INDEX(c_Date,$A525)="","",INDEX(c_Date,$A525)))</f>
        <v/>
      </c>
      <c r="H525" s="35" t="str">
        <f aca="false">IF($A525="","",IF(INDEX(c_Days,$A525)="","",INDEX(c_Days,$A525)))</f>
        <v/>
      </c>
      <c r="I525" s="41" t="str">
        <f aca="false">IF($A525="","",IF(INDEX(c_Mtgs,$A525)="","",INDEX(c_Mtgs,$A525)))</f>
        <v/>
      </c>
      <c r="J525" s="15" t="str">
        <f aca="false">IF($A525="","",INDEX(c_EvtNames,$A525)&amp;"")</f>
        <v/>
      </c>
      <c r="K525" s="36" t="str">
        <f aca="false">IF($A525="","",INDEX(c_Invested,$A525)&amp;"")</f>
        <v/>
      </c>
      <c r="L525" s="16" t="str">
        <f aca="false">IF($A525="","",IF(INDEX(c_AUM,$A525)="","",INDEX(c_AUM,$A525)))</f>
        <v/>
      </c>
      <c r="M525" s="15" t="str">
        <f aca="false">IF($A525="","",INDEX(c_Source,$A525)&amp;"")</f>
        <v/>
      </c>
      <c r="N525" s="15" t="str">
        <f aca="false">IF($A525="","",INDEX(c_Notes,$A525)&amp;"")</f>
        <v/>
      </c>
    </row>
    <row r="526" customFormat="false" ht="15" hidden="false" customHeight="false" outlineLevel="0" collapsed="false">
      <c r="A526" s="32" t="str">
        <f aca="false">IFERROR(MATCH(ROW()-5,c_Seq,0),"")</f>
        <v/>
      </c>
      <c r="B526" s="11" t="str">
        <f aca="false">IF($A526="","",INDEX(c_Name,$A526)&amp;"")</f>
        <v/>
      </c>
      <c r="C526" s="11" t="str">
        <f aca="false">IF($A526="","",INDEX(c_Firm,$A526)&amp;"")</f>
        <v/>
      </c>
      <c r="D526" s="11" t="str">
        <f aca="false">IF($A526="","",INDEX(c_Type,$A526)&amp;"")</f>
        <v/>
      </c>
      <c r="E526" s="11" t="str">
        <f aca="false">IF($A526="","",INDEX(c_Email,$A526)&amp;"")</f>
        <v/>
      </c>
      <c r="F526" s="34" t="str">
        <f aca="false">IF($A526="","",INDEX(c_Met,$A526)&amp;"")</f>
        <v/>
      </c>
      <c r="G526" s="25" t="str">
        <f aca="false">IF($A526="","",IF(INDEX(c_Date,$A526)="","",INDEX(c_Date,$A526)))</f>
        <v/>
      </c>
      <c r="H526" s="33" t="str">
        <f aca="false">IF($A526="","",IF(INDEX(c_Days,$A526)="","",INDEX(c_Days,$A526)))</f>
        <v/>
      </c>
      <c r="I526" s="40" t="str">
        <f aca="false">IF($A526="","",IF(INDEX(c_Mtgs,$A526)="","",INDEX(c_Mtgs,$A526)))</f>
        <v/>
      </c>
      <c r="J526" s="11" t="str">
        <f aca="false">IF($A526="","",INDEX(c_EvtNames,$A526)&amp;"")</f>
        <v/>
      </c>
      <c r="K526" s="34" t="str">
        <f aca="false">IF($A526="","",INDEX(c_Invested,$A526)&amp;"")</f>
        <v/>
      </c>
      <c r="L526" s="12" t="str">
        <f aca="false">IF($A526="","",IF(INDEX(c_AUM,$A526)="","",INDEX(c_AUM,$A526)))</f>
        <v/>
      </c>
      <c r="M526" s="11" t="str">
        <f aca="false">IF($A526="","",INDEX(c_Source,$A526)&amp;"")</f>
        <v/>
      </c>
      <c r="N526" s="11" t="str">
        <f aca="false">IF($A526="","",INDEX(c_Notes,$A526)&amp;"")</f>
        <v/>
      </c>
    </row>
    <row r="527" customFormat="false" ht="15" hidden="false" customHeight="false" outlineLevel="0" collapsed="false">
      <c r="A527" s="32" t="str">
        <f aca="false">IFERROR(MATCH(ROW()-5,c_Seq,0),"")</f>
        <v/>
      </c>
      <c r="B527" s="15" t="str">
        <f aca="false">IF($A527="","",INDEX(c_Name,$A527)&amp;"")</f>
        <v/>
      </c>
      <c r="C527" s="15" t="str">
        <f aca="false">IF($A527="","",INDEX(c_Firm,$A527)&amp;"")</f>
        <v/>
      </c>
      <c r="D527" s="15" t="str">
        <f aca="false">IF($A527="","",INDEX(c_Type,$A527)&amp;"")</f>
        <v/>
      </c>
      <c r="E527" s="15" t="str">
        <f aca="false">IF($A527="","",INDEX(c_Email,$A527)&amp;"")</f>
        <v/>
      </c>
      <c r="F527" s="36" t="str">
        <f aca="false">IF($A527="","",INDEX(c_Met,$A527)&amp;"")</f>
        <v/>
      </c>
      <c r="G527" s="26" t="str">
        <f aca="false">IF($A527="","",IF(INDEX(c_Date,$A527)="","",INDEX(c_Date,$A527)))</f>
        <v/>
      </c>
      <c r="H527" s="35" t="str">
        <f aca="false">IF($A527="","",IF(INDEX(c_Days,$A527)="","",INDEX(c_Days,$A527)))</f>
        <v/>
      </c>
      <c r="I527" s="41" t="str">
        <f aca="false">IF($A527="","",IF(INDEX(c_Mtgs,$A527)="","",INDEX(c_Mtgs,$A527)))</f>
        <v/>
      </c>
      <c r="J527" s="15" t="str">
        <f aca="false">IF($A527="","",INDEX(c_EvtNames,$A527)&amp;"")</f>
        <v/>
      </c>
      <c r="K527" s="36" t="str">
        <f aca="false">IF($A527="","",INDEX(c_Invested,$A527)&amp;"")</f>
        <v/>
      </c>
      <c r="L527" s="16" t="str">
        <f aca="false">IF($A527="","",IF(INDEX(c_AUM,$A527)="","",INDEX(c_AUM,$A527)))</f>
        <v/>
      </c>
      <c r="M527" s="15" t="str">
        <f aca="false">IF($A527="","",INDEX(c_Source,$A527)&amp;"")</f>
        <v/>
      </c>
      <c r="N527" s="15" t="str">
        <f aca="false">IF($A527="","",INDEX(c_Notes,$A527)&amp;"")</f>
        <v/>
      </c>
    </row>
    <row r="528" customFormat="false" ht="15" hidden="false" customHeight="false" outlineLevel="0" collapsed="false">
      <c r="A528" s="32" t="str">
        <f aca="false">IFERROR(MATCH(ROW()-5,c_Seq,0),"")</f>
        <v/>
      </c>
      <c r="B528" s="11" t="str">
        <f aca="false">IF($A528="","",INDEX(c_Name,$A528)&amp;"")</f>
        <v/>
      </c>
      <c r="C528" s="11" t="str">
        <f aca="false">IF($A528="","",INDEX(c_Firm,$A528)&amp;"")</f>
        <v/>
      </c>
      <c r="D528" s="11" t="str">
        <f aca="false">IF($A528="","",INDEX(c_Type,$A528)&amp;"")</f>
        <v/>
      </c>
      <c r="E528" s="11" t="str">
        <f aca="false">IF($A528="","",INDEX(c_Email,$A528)&amp;"")</f>
        <v/>
      </c>
      <c r="F528" s="34" t="str">
        <f aca="false">IF($A528="","",INDEX(c_Met,$A528)&amp;"")</f>
        <v/>
      </c>
      <c r="G528" s="25" t="str">
        <f aca="false">IF($A528="","",IF(INDEX(c_Date,$A528)="","",INDEX(c_Date,$A528)))</f>
        <v/>
      </c>
      <c r="H528" s="33" t="str">
        <f aca="false">IF($A528="","",IF(INDEX(c_Days,$A528)="","",INDEX(c_Days,$A528)))</f>
        <v/>
      </c>
      <c r="I528" s="40" t="str">
        <f aca="false">IF($A528="","",IF(INDEX(c_Mtgs,$A528)="","",INDEX(c_Mtgs,$A528)))</f>
        <v/>
      </c>
      <c r="J528" s="11" t="str">
        <f aca="false">IF($A528="","",INDEX(c_EvtNames,$A528)&amp;"")</f>
        <v/>
      </c>
      <c r="K528" s="34" t="str">
        <f aca="false">IF($A528="","",INDEX(c_Invested,$A528)&amp;"")</f>
        <v/>
      </c>
      <c r="L528" s="12" t="str">
        <f aca="false">IF($A528="","",IF(INDEX(c_AUM,$A528)="","",INDEX(c_AUM,$A528)))</f>
        <v/>
      </c>
      <c r="M528" s="11" t="str">
        <f aca="false">IF($A528="","",INDEX(c_Source,$A528)&amp;"")</f>
        <v/>
      </c>
      <c r="N528" s="11" t="str">
        <f aca="false">IF($A528="","",INDEX(c_Notes,$A528)&amp;"")</f>
        <v/>
      </c>
    </row>
    <row r="529" customFormat="false" ht="15" hidden="false" customHeight="false" outlineLevel="0" collapsed="false">
      <c r="A529" s="32" t="str">
        <f aca="false">IFERROR(MATCH(ROW()-5,c_Seq,0),"")</f>
        <v/>
      </c>
      <c r="B529" s="15" t="str">
        <f aca="false">IF($A529="","",INDEX(c_Name,$A529)&amp;"")</f>
        <v/>
      </c>
      <c r="C529" s="15" t="str">
        <f aca="false">IF($A529="","",INDEX(c_Firm,$A529)&amp;"")</f>
        <v/>
      </c>
      <c r="D529" s="15" t="str">
        <f aca="false">IF($A529="","",INDEX(c_Type,$A529)&amp;"")</f>
        <v/>
      </c>
      <c r="E529" s="15" t="str">
        <f aca="false">IF($A529="","",INDEX(c_Email,$A529)&amp;"")</f>
        <v/>
      </c>
      <c r="F529" s="36" t="str">
        <f aca="false">IF($A529="","",INDEX(c_Met,$A529)&amp;"")</f>
        <v/>
      </c>
      <c r="G529" s="26" t="str">
        <f aca="false">IF($A529="","",IF(INDEX(c_Date,$A529)="","",INDEX(c_Date,$A529)))</f>
        <v/>
      </c>
      <c r="H529" s="35" t="str">
        <f aca="false">IF($A529="","",IF(INDEX(c_Days,$A529)="","",INDEX(c_Days,$A529)))</f>
        <v/>
      </c>
      <c r="I529" s="41" t="str">
        <f aca="false">IF($A529="","",IF(INDEX(c_Mtgs,$A529)="","",INDEX(c_Mtgs,$A529)))</f>
        <v/>
      </c>
      <c r="J529" s="15" t="str">
        <f aca="false">IF($A529="","",INDEX(c_EvtNames,$A529)&amp;"")</f>
        <v/>
      </c>
      <c r="K529" s="36" t="str">
        <f aca="false">IF($A529="","",INDEX(c_Invested,$A529)&amp;"")</f>
        <v/>
      </c>
      <c r="L529" s="16" t="str">
        <f aca="false">IF($A529="","",IF(INDEX(c_AUM,$A529)="","",INDEX(c_AUM,$A529)))</f>
        <v/>
      </c>
      <c r="M529" s="15" t="str">
        <f aca="false">IF($A529="","",INDEX(c_Source,$A529)&amp;"")</f>
        <v/>
      </c>
      <c r="N529" s="15" t="str">
        <f aca="false">IF($A529="","",INDEX(c_Notes,$A529)&amp;"")</f>
        <v/>
      </c>
    </row>
    <row r="530" customFormat="false" ht="15" hidden="false" customHeight="false" outlineLevel="0" collapsed="false">
      <c r="A530" s="32" t="str">
        <f aca="false">IFERROR(MATCH(ROW()-5,c_Seq,0),"")</f>
        <v/>
      </c>
      <c r="B530" s="11" t="str">
        <f aca="false">IF($A530="","",INDEX(c_Name,$A530)&amp;"")</f>
        <v/>
      </c>
      <c r="C530" s="11" t="str">
        <f aca="false">IF($A530="","",INDEX(c_Firm,$A530)&amp;"")</f>
        <v/>
      </c>
      <c r="D530" s="11" t="str">
        <f aca="false">IF($A530="","",INDEX(c_Type,$A530)&amp;"")</f>
        <v/>
      </c>
      <c r="E530" s="11" t="str">
        <f aca="false">IF($A530="","",INDEX(c_Email,$A530)&amp;"")</f>
        <v/>
      </c>
      <c r="F530" s="34" t="str">
        <f aca="false">IF($A530="","",INDEX(c_Met,$A530)&amp;"")</f>
        <v/>
      </c>
      <c r="G530" s="25" t="str">
        <f aca="false">IF($A530="","",IF(INDEX(c_Date,$A530)="","",INDEX(c_Date,$A530)))</f>
        <v/>
      </c>
      <c r="H530" s="33" t="str">
        <f aca="false">IF($A530="","",IF(INDEX(c_Days,$A530)="","",INDEX(c_Days,$A530)))</f>
        <v/>
      </c>
      <c r="I530" s="40" t="str">
        <f aca="false">IF($A530="","",IF(INDEX(c_Mtgs,$A530)="","",INDEX(c_Mtgs,$A530)))</f>
        <v/>
      </c>
      <c r="J530" s="11" t="str">
        <f aca="false">IF($A530="","",INDEX(c_EvtNames,$A530)&amp;"")</f>
        <v/>
      </c>
      <c r="K530" s="34" t="str">
        <f aca="false">IF($A530="","",INDEX(c_Invested,$A530)&amp;"")</f>
        <v/>
      </c>
      <c r="L530" s="12" t="str">
        <f aca="false">IF($A530="","",IF(INDEX(c_AUM,$A530)="","",INDEX(c_AUM,$A530)))</f>
        <v/>
      </c>
      <c r="M530" s="11" t="str">
        <f aca="false">IF($A530="","",INDEX(c_Source,$A530)&amp;"")</f>
        <v/>
      </c>
      <c r="N530" s="11" t="str">
        <f aca="false">IF($A530="","",INDEX(c_Notes,$A530)&amp;"")</f>
        <v/>
      </c>
    </row>
    <row r="531" customFormat="false" ht="15" hidden="false" customHeight="false" outlineLevel="0" collapsed="false">
      <c r="A531" s="32" t="str">
        <f aca="false">IFERROR(MATCH(ROW()-5,c_Seq,0),"")</f>
        <v/>
      </c>
      <c r="B531" s="15" t="str">
        <f aca="false">IF($A531="","",INDEX(c_Name,$A531)&amp;"")</f>
        <v/>
      </c>
      <c r="C531" s="15" t="str">
        <f aca="false">IF($A531="","",INDEX(c_Firm,$A531)&amp;"")</f>
        <v/>
      </c>
      <c r="D531" s="15" t="str">
        <f aca="false">IF($A531="","",INDEX(c_Type,$A531)&amp;"")</f>
        <v/>
      </c>
      <c r="E531" s="15" t="str">
        <f aca="false">IF($A531="","",INDEX(c_Email,$A531)&amp;"")</f>
        <v/>
      </c>
      <c r="F531" s="36" t="str">
        <f aca="false">IF($A531="","",INDEX(c_Met,$A531)&amp;"")</f>
        <v/>
      </c>
      <c r="G531" s="26" t="str">
        <f aca="false">IF($A531="","",IF(INDEX(c_Date,$A531)="","",INDEX(c_Date,$A531)))</f>
        <v/>
      </c>
      <c r="H531" s="35" t="str">
        <f aca="false">IF($A531="","",IF(INDEX(c_Days,$A531)="","",INDEX(c_Days,$A531)))</f>
        <v/>
      </c>
      <c r="I531" s="41" t="str">
        <f aca="false">IF($A531="","",IF(INDEX(c_Mtgs,$A531)="","",INDEX(c_Mtgs,$A531)))</f>
        <v/>
      </c>
      <c r="J531" s="15" t="str">
        <f aca="false">IF($A531="","",INDEX(c_EvtNames,$A531)&amp;"")</f>
        <v/>
      </c>
      <c r="K531" s="36" t="str">
        <f aca="false">IF($A531="","",INDEX(c_Invested,$A531)&amp;"")</f>
        <v/>
      </c>
      <c r="L531" s="16" t="str">
        <f aca="false">IF($A531="","",IF(INDEX(c_AUM,$A531)="","",INDEX(c_AUM,$A531)))</f>
        <v/>
      </c>
      <c r="M531" s="15" t="str">
        <f aca="false">IF($A531="","",INDEX(c_Source,$A531)&amp;"")</f>
        <v/>
      </c>
      <c r="N531" s="15" t="str">
        <f aca="false">IF($A531="","",INDEX(c_Notes,$A531)&amp;"")</f>
        <v/>
      </c>
    </row>
    <row r="532" customFormat="false" ht="15" hidden="false" customHeight="false" outlineLevel="0" collapsed="false">
      <c r="A532" s="32" t="str">
        <f aca="false">IFERROR(MATCH(ROW()-5,c_Seq,0),"")</f>
        <v/>
      </c>
      <c r="B532" s="11" t="str">
        <f aca="false">IF($A532="","",INDEX(c_Name,$A532)&amp;"")</f>
        <v/>
      </c>
      <c r="C532" s="11" t="str">
        <f aca="false">IF($A532="","",INDEX(c_Firm,$A532)&amp;"")</f>
        <v/>
      </c>
      <c r="D532" s="11" t="str">
        <f aca="false">IF($A532="","",INDEX(c_Type,$A532)&amp;"")</f>
        <v/>
      </c>
      <c r="E532" s="11" t="str">
        <f aca="false">IF($A532="","",INDEX(c_Email,$A532)&amp;"")</f>
        <v/>
      </c>
      <c r="F532" s="34" t="str">
        <f aca="false">IF($A532="","",INDEX(c_Met,$A532)&amp;"")</f>
        <v/>
      </c>
      <c r="G532" s="25" t="str">
        <f aca="false">IF($A532="","",IF(INDEX(c_Date,$A532)="","",INDEX(c_Date,$A532)))</f>
        <v/>
      </c>
      <c r="H532" s="33" t="str">
        <f aca="false">IF($A532="","",IF(INDEX(c_Days,$A532)="","",INDEX(c_Days,$A532)))</f>
        <v/>
      </c>
      <c r="I532" s="40" t="str">
        <f aca="false">IF($A532="","",IF(INDEX(c_Mtgs,$A532)="","",INDEX(c_Mtgs,$A532)))</f>
        <v/>
      </c>
      <c r="J532" s="11" t="str">
        <f aca="false">IF($A532="","",INDEX(c_EvtNames,$A532)&amp;"")</f>
        <v/>
      </c>
      <c r="K532" s="34" t="str">
        <f aca="false">IF($A532="","",INDEX(c_Invested,$A532)&amp;"")</f>
        <v/>
      </c>
      <c r="L532" s="12" t="str">
        <f aca="false">IF($A532="","",IF(INDEX(c_AUM,$A532)="","",INDEX(c_AUM,$A532)))</f>
        <v/>
      </c>
      <c r="M532" s="11" t="str">
        <f aca="false">IF($A532="","",INDEX(c_Source,$A532)&amp;"")</f>
        <v/>
      </c>
      <c r="N532" s="11" t="str">
        <f aca="false">IF($A532="","",INDEX(c_Notes,$A532)&amp;"")</f>
        <v/>
      </c>
    </row>
    <row r="533" customFormat="false" ht="15" hidden="false" customHeight="false" outlineLevel="0" collapsed="false">
      <c r="A533" s="32" t="str">
        <f aca="false">IFERROR(MATCH(ROW()-5,c_Seq,0),"")</f>
        <v/>
      </c>
      <c r="B533" s="15" t="str">
        <f aca="false">IF($A533="","",INDEX(c_Name,$A533)&amp;"")</f>
        <v/>
      </c>
      <c r="C533" s="15" t="str">
        <f aca="false">IF($A533="","",INDEX(c_Firm,$A533)&amp;"")</f>
        <v/>
      </c>
      <c r="D533" s="15" t="str">
        <f aca="false">IF($A533="","",INDEX(c_Type,$A533)&amp;"")</f>
        <v/>
      </c>
      <c r="E533" s="15" t="str">
        <f aca="false">IF($A533="","",INDEX(c_Email,$A533)&amp;"")</f>
        <v/>
      </c>
      <c r="F533" s="36" t="str">
        <f aca="false">IF($A533="","",INDEX(c_Met,$A533)&amp;"")</f>
        <v/>
      </c>
      <c r="G533" s="26" t="str">
        <f aca="false">IF($A533="","",IF(INDEX(c_Date,$A533)="","",INDEX(c_Date,$A533)))</f>
        <v/>
      </c>
      <c r="H533" s="35" t="str">
        <f aca="false">IF($A533="","",IF(INDEX(c_Days,$A533)="","",INDEX(c_Days,$A533)))</f>
        <v/>
      </c>
      <c r="I533" s="41" t="str">
        <f aca="false">IF($A533="","",IF(INDEX(c_Mtgs,$A533)="","",INDEX(c_Mtgs,$A533)))</f>
        <v/>
      </c>
      <c r="J533" s="15" t="str">
        <f aca="false">IF($A533="","",INDEX(c_EvtNames,$A533)&amp;"")</f>
        <v/>
      </c>
      <c r="K533" s="36" t="str">
        <f aca="false">IF($A533="","",INDEX(c_Invested,$A533)&amp;"")</f>
        <v/>
      </c>
      <c r="L533" s="16" t="str">
        <f aca="false">IF($A533="","",IF(INDEX(c_AUM,$A533)="","",INDEX(c_AUM,$A533)))</f>
        <v/>
      </c>
      <c r="M533" s="15" t="str">
        <f aca="false">IF($A533="","",INDEX(c_Source,$A533)&amp;"")</f>
        <v/>
      </c>
      <c r="N533" s="15" t="str">
        <f aca="false">IF($A533="","",INDEX(c_Notes,$A533)&amp;"")</f>
        <v/>
      </c>
    </row>
    <row r="534" customFormat="false" ht="15" hidden="false" customHeight="false" outlineLevel="0" collapsed="false">
      <c r="A534" s="32" t="str">
        <f aca="false">IFERROR(MATCH(ROW()-5,c_Seq,0),"")</f>
        <v/>
      </c>
      <c r="B534" s="11" t="str">
        <f aca="false">IF($A534="","",INDEX(c_Name,$A534)&amp;"")</f>
        <v/>
      </c>
      <c r="C534" s="11" t="str">
        <f aca="false">IF($A534="","",INDEX(c_Firm,$A534)&amp;"")</f>
        <v/>
      </c>
      <c r="D534" s="11" t="str">
        <f aca="false">IF($A534="","",INDEX(c_Type,$A534)&amp;"")</f>
        <v/>
      </c>
      <c r="E534" s="11" t="str">
        <f aca="false">IF($A534="","",INDEX(c_Email,$A534)&amp;"")</f>
        <v/>
      </c>
      <c r="F534" s="34" t="str">
        <f aca="false">IF($A534="","",INDEX(c_Met,$A534)&amp;"")</f>
        <v/>
      </c>
      <c r="G534" s="25" t="str">
        <f aca="false">IF($A534="","",IF(INDEX(c_Date,$A534)="","",INDEX(c_Date,$A534)))</f>
        <v/>
      </c>
      <c r="H534" s="33" t="str">
        <f aca="false">IF($A534="","",IF(INDEX(c_Days,$A534)="","",INDEX(c_Days,$A534)))</f>
        <v/>
      </c>
      <c r="I534" s="40" t="str">
        <f aca="false">IF($A534="","",IF(INDEX(c_Mtgs,$A534)="","",INDEX(c_Mtgs,$A534)))</f>
        <v/>
      </c>
      <c r="J534" s="11" t="str">
        <f aca="false">IF($A534="","",INDEX(c_EvtNames,$A534)&amp;"")</f>
        <v/>
      </c>
      <c r="K534" s="34" t="str">
        <f aca="false">IF($A534="","",INDEX(c_Invested,$A534)&amp;"")</f>
        <v/>
      </c>
      <c r="L534" s="12" t="str">
        <f aca="false">IF($A534="","",IF(INDEX(c_AUM,$A534)="","",INDEX(c_AUM,$A534)))</f>
        <v/>
      </c>
      <c r="M534" s="11" t="str">
        <f aca="false">IF($A534="","",INDEX(c_Source,$A534)&amp;"")</f>
        <v/>
      </c>
      <c r="N534" s="11" t="str">
        <f aca="false">IF($A534="","",INDEX(c_Notes,$A534)&amp;"")</f>
        <v/>
      </c>
    </row>
    <row r="535" customFormat="false" ht="15" hidden="false" customHeight="false" outlineLevel="0" collapsed="false">
      <c r="A535" s="32" t="str">
        <f aca="false">IFERROR(MATCH(ROW()-5,c_Seq,0),"")</f>
        <v/>
      </c>
      <c r="B535" s="15" t="str">
        <f aca="false">IF($A535="","",INDEX(c_Name,$A535)&amp;"")</f>
        <v/>
      </c>
      <c r="C535" s="15" t="str">
        <f aca="false">IF($A535="","",INDEX(c_Firm,$A535)&amp;"")</f>
        <v/>
      </c>
      <c r="D535" s="15" t="str">
        <f aca="false">IF($A535="","",INDEX(c_Type,$A535)&amp;"")</f>
        <v/>
      </c>
      <c r="E535" s="15" t="str">
        <f aca="false">IF($A535="","",INDEX(c_Email,$A535)&amp;"")</f>
        <v/>
      </c>
      <c r="F535" s="36" t="str">
        <f aca="false">IF($A535="","",INDEX(c_Met,$A535)&amp;"")</f>
        <v/>
      </c>
      <c r="G535" s="26" t="str">
        <f aca="false">IF($A535="","",IF(INDEX(c_Date,$A535)="","",INDEX(c_Date,$A535)))</f>
        <v/>
      </c>
      <c r="H535" s="35" t="str">
        <f aca="false">IF($A535="","",IF(INDEX(c_Days,$A535)="","",INDEX(c_Days,$A535)))</f>
        <v/>
      </c>
      <c r="I535" s="41" t="str">
        <f aca="false">IF($A535="","",IF(INDEX(c_Mtgs,$A535)="","",INDEX(c_Mtgs,$A535)))</f>
        <v/>
      </c>
      <c r="J535" s="15" t="str">
        <f aca="false">IF($A535="","",INDEX(c_EvtNames,$A535)&amp;"")</f>
        <v/>
      </c>
      <c r="K535" s="36" t="str">
        <f aca="false">IF($A535="","",INDEX(c_Invested,$A535)&amp;"")</f>
        <v/>
      </c>
      <c r="L535" s="16" t="str">
        <f aca="false">IF($A535="","",IF(INDEX(c_AUM,$A535)="","",INDEX(c_AUM,$A535)))</f>
        <v/>
      </c>
      <c r="M535" s="15" t="str">
        <f aca="false">IF($A535="","",INDEX(c_Source,$A535)&amp;"")</f>
        <v/>
      </c>
      <c r="N535" s="15" t="str">
        <f aca="false">IF($A535="","",INDEX(c_Notes,$A535)&amp;"")</f>
        <v/>
      </c>
    </row>
    <row r="536" customFormat="false" ht="15" hidden="false" customHeight="false" outlineLevel="0" collapsed="false">
      <c r="A536" s="32" t="str">
        <f aca="false">IFERROR(MATCH(ROW()-5,c_Seq,0),"")</f>
        <v/>
      </c>
      <c r="B536" s="11" t="str">
        <f aca="false">IF($A536="","",INDEX(c_Name,$A536)&amp;"")</f>
        <v/>
      </c>
      <c r="C536" s="11" t="str">
        <f aca="false">IF($A536="","",INDEX(c_Firm,$A536)&amp;"")</f>
        <v/>
      </c>
      <c r="D536" s="11" t="str">
        <f aca="false">IF($A536="","",INDEX(c_Type,$A536)&amp;"")</f>
        <v/>
      </c>
      <c r="E536" s="11" t="str">
        <f aca="false">IF($A536="","",INDEX(c_Email,$A536)&amp;"")</f>
        <v/>
      </c>
      <c r="F536" s="34" t="str">
        <f aca="false">IF($A536="","",INDEX(c_Met,$A536)&amp;"")</f>
        <v/>
      </c>
      <c r="G536" s="25" t="str">
        <f aca="false">IF($A536="","",IF(INDEX(c_Date,$A536)="","",INDEX(c_Date,$A536)))</f>
        <v/>
      </c>
      <c r="H536" s="33" t="str">
        <f aca="false">IF($A536="","",IF(INDEX(c_Days,$A536)="","",INDEX(c_Days,$A536)))</f>
        <v/>
      </c>
      <c r="I536" s="40" t="str">
        <f aca="false">IF($A536="","",IF(INDEX(c_Mtgs,$A536)="","",INDEX(c_Mtgs,$A536)))</f>
        <v/>
      </c>
      <c r="J536" s="11" t="str">
        <f aca="false">IF($A536="","",INDEX(c_EvtNames,$A536)&amp;"")</f>
        <v/>
      </c>
      <c r="K536" s="34" t="str">
        <f aca="false">IF($A536="","",INDEX(c_Invested,$A536)&amp;"")</f>
        <v/>
      </c>
      <c r="L536" s="12" t="str">
        <f aca="false">IF($A536="","",IF(INDEX(c_AUM,$A536)="","",INDEX(c_AUM,$A536)))</f>
        <v/>
      </c>
      <c r="M536" s="11" t="str">
        <f aca="false">IF($A536="","",INDEX(c_Source,$A536)&amp;"")</f>
        <v/>
      </c>
      <c r="N536" s="11" t="str">
        <f aca="false">IF($A536="","",INDEX(c_Notes,$A536)&amp;"")</f>
        <v/>
      </c>
    </row>
    <row r="537" customFormat="false" ht="15" hidden="false" customHeight="false" outlineLevel="0" collapsed="false">
      <c r="A537" s="32" t="str">
        <f aca="false">IFERROR(MATCH(ROW()-5,c_Seq,0),"")</f>
        <v/>
      </c>
      <c r="B537" s="15" t="str">
        <f aca="false">IF($A537="","",INDEX(c_Name,$A537)&amp;"")</f>
        <v/>
      </c>
      <c r="C537" s="15" t="str">
        <f aca="false">IF($A537="","",INDEX(c_Firm,$A537)&amp;"")</f>
        <v/>
      </c>
      <c r="D537" s="15" t="str">
        <f aca="false">IF($A537="","",INDEX(c_Type,$A537)&amp;"")</f>
        <v/>
      </c>
      <c r="E537" s="15" t="str">
        <f aca="false">IF($A537="","",INDEX(c_Email,$A537)&amp;"")</f>
        <v/>
      </c>
      <c r="F537" s="36" t="str">
        <f aca="false">IF($A537="","",INDEX(c_Met,$A537)&amp;"")</f>
        <v/>
      </c>
      <c r="G537" s="26" t="str">
        <f aca="false">IF($A537="","",IF(INDEX(c_Date,$A537)="","",INDEX(c_Date,$A537)))</f>
        <v/>
      </c>
      <c r="H537" s="35" t="str">
        <f aca="false">IF($A537="","",IF(INDEX(c_Days,$A537)="","",INDEX(c_Days,$A537)))</f>
        <v/>
      </c>
      <c r="I537" s="41" t="str">
        <f aca="false">IF($A537="","",IF(INDEX(c_Mtgs,$A537)="","",INDEX(c_Mtgs,$A537)))</f>
        <v/>
      </c>
      <c r="J537" s="15" t="str">
        <f aca="false">IF($A537="","",INDEX(c_EvtNames,$A537)&amp;"")</f>
        <v/>
      </c>
      <c r="K537" s="36" t="str">
        <f aca="false">IF($A537="","",INDEX(c_Invested,$A537)&amp;"")</f>
        <v/>
      </c>
      <c r="L537" s="16" t="str">
        <f aca="false">IF($A537="","",IF(INDEX(c_AUM,$A537)="","",INDEX(c_AUM,$A537)))</f>
        <v/>
      </c>
      <c r="M537" s="15" t="str">
        <f aca="false">IF($A537="","",INDEX(c_Source,$A537)&amp;"")</f>
        <v/>
      </c>
      <c r="N537" s="15" t="str">
        <f aca="false">IF($A537="","",INDEX(c_Notes,$A537)&amp;"")</f>
        <v/>
      </c>
    </row>
    <row r="538" customFormat="false" ht="15" hidden="false" customHeight="false" outlineLevel="0" collapsed="false">
      <c r="A538" s="32" t="str">
        <f aca="false">IFERROR(MATCH(ROW()-5,c_Seq,0),"")</f>
        <v/>
      </c>
      <c r="B538" s="11" t="str">
        <f aca="false">IF($A538="","",INDEX(c_Name,$A538)&amp;"")</f>
        <v/>
      </c>
      <c r="C538" s="11" t="str">
        <f aca="false">IF($A538="","",INDEX(c_Firm,$A538)&amp;"")</f>
        <v/>
      </c>
      <c r="D538" s="11" t="str">
        <f aca="false">IF($A538="","",INDEX(c_Type,$A538)&amp;"")</f>
        <v/>
      </c>
      <c r="E538" s="11" t="str">
        <f aca="false">IF($A538="","",INDEX(c_Email,$A538)&amp;"")</f>
        <v/>
      </c>
      <c r="F538" s="34" t="str">
        <f aca="false">IF($A538="","",INDEX(c_Met,$A538)&amp;"")</f>
        <v/>
      </c>
      <c r="G538" s="25" t="str">
        <f aca="false">IF($A538="","",IF(INDEX(c_Date,$A538)="","",INDEX(c_Date,$A538)))</f>
        <v/>
      </c>
      <c r="H538" s="33" t="str">
        <f aca="false">IF($A538="","",IF(INDEX(c_Days,$A538)="","",INDEX(c_Days,$A538)))</f>
        <v/>
      </c>
      <c r="I538" s="40" t="str">
        <f aca="false">IF($A538="","",IF(INDEX(c_Mtgs,$A538)="","",INDEX(c_Mtgs,$A538)))</f>
        <v/>
      </c>
      <c r="J538" s="11" t="str">
        <f aca="false">IF($A538="","",INDEX(c_EvtNames,$A538)&amp;"")</f>
        <v/>
      </c>
      <c r="K538" s="34" t="str">
        <f aca="false">IF($A538="","",INDEX(c_Invested,$A538)&amp;"")</f>
        <v/>
      </c>
      <c r="L538" s="12" t="str">
        <f aca="false">IF($A538="","",IF(INDEX(c_AUM,$A538)="","",INDEX(c_AUM,$A538)))</f>
        <v/>
      </c>
      <c r="M538" s="11" t="str">
        <f aca="false">IF($A538="","",INDEX(c_Source,$A538)&amp;"")</f>
        <v/>
      </c>
      <c r="N538" s="11" t="str">
        <f aca="false">IF($A538="","",INDEX(c_Notes,$A538)&amp;"")</f>
        <v/>
      </c>
    </row>
    <row r="539" customFormat="false" ht="15" hidden="false" customHeight="false" outlineLevel="0" collapsed="false">
      <c r="A539" s="32" t="str">
        <f aca="false">IFERROR(MATCH(ROW()-5,c_Seq,0),"")</f>
        <v/>
      </c>
      <c r="B539" s="15" t="str">
        <f aca="false">IF($A539="","",INDEX(c_Name,$A539)&amp;"")</f>
        <v/>
      </c>
      <c r="C539" s="15" t="str">
        <f aca="false">IF($A539="","",INDEX(c_Firm,$A539)&amp;"")</f>
        <v/>
      </c>
      <c r="D539" s="15" t="str">
        <f aca="false">IF($A539="","",INDEX(c_Type,$A539)&amp;"")</f>
        <v/>
      </c>
      <c r="E539" s="15" t="str">
        <f aca="false">IF($A539="","",INDEX(c_Email,$A539)&amp;"")</f>
        <v/>
      </c>
      <c r="F539" s="36" t="str">
        <f aca="false">IF($A539="","",INDEX(c_Met,$A539)&amp;"")</f>
        <v/>
      </c>
      <c r="G539" s="26" t="str">
        <f aca="false">IF($A539="","",IF(INDEX(c_Date,$A539)="","",INDEX(c_Date,$A539)))</f>
        <v/>
      </c>
      <c r="H539" s="35" t="str">
        <f aca="false">IF($A539="","",IF(INDEX(c_Days,$A539)="","",INDEX(c_Days,$A539)))</f>
        <v/>
      </c>
      <c r="I539" s="41" t="str">
        <f aca="false">IF($A539="","",IF(INDEX(c_Mtgs,$A539)="","",INDEX(c_Mtgs,$A539)))</f>
        <v/>
      </c>
      <c r="J539" s="15" t="str">
        <f aca="false">IF($A539="","",INDEX(c_EvtNames,$A539)&amp;"")</f>
        <v/>
      </c>
      <c r="K539" s="36" t="str">
        <f aca="false">IF($A539="","",INDEX(c_Invested,$A539)&amp;"")</f>
        <v/>
      </c>
      <c r="L539" s="16" t="str">
        <f aca="false">IF($A539="","",IF(INDEX(c_AUM,$A539)="","",INDEX(c_AUM,$A539)))</f>
        <v/>
      </c>
      <c r="M539" s="15" t="str">
        <f aca="false">IF($A539="","",INDEX(c_Source,$A539)&amp;"")</f>
        <v/>
      </c>
      <c r="N539" s="15" t="str">
        <f aca="false">IF($A539="","",INDEX(c_Notes,$A539)&amp;"")</f>
        <v/>
      </c>
    </row>
    <row r="540" customFormat="false" ht="15" hidden="false" customHeight="false" outlineLevel="0" collapsed="false">
      <c r="A540" s="32" t="str">
        <f aca="false">IFERROR(MATCH(ROW()-5,c_Seq,0),"")</f>
        <v/>
      </c>
      <c r="B540" s="11" t="str">
        <f aca="false">IF($A540="","",INDEX(c_Name,$A540)&amp;"")</f>
        <v/>
      </c>
      <c r="C540" s="11" t="str">
        <f aca="false">IF($A540="","",INDEX(c_Firm,$A540)&amp;"")</f>
        <v/>
      </c>
      <c r="D540" s="11" t="str">
        <f aca="false">IF($A540="","",INDEX(c_Type,$A540)&amp;"")</f>
        <v/>
      </c>
      <c r="E540" s="11" t="str">
        <f aca="false">IF($A540="","",INDEX(c_Email,$A540)&amp;"")</f>
        <v/>
      </c>
      <c r="F540" s="34" t="str">
        <f aca="false">IF($A540="","",INDEX(c_Met,$A540)&amp;"")</f>
        <v/>
      </c>
      <c r="G540" s="25" t="str">
        <f aca="false">IF($A540="","",IF(INDEX(c_Date,$A540)="","",INDEX(c_Date,$A540)))</f>
        <v/>
      </c>
      <c r="H540" s="33" t="str">
        <f aca="false">IF($A540="","",IF(INDEX(c_Days,$A540)="","",INDEX(c_Days,$A540)))</f>
        <v/>
      </c>
      <c r="I540" s="40" t="str">
        <f aca="false">IF($A540="","",IF(INDEX(c_Mtgs,$A540)="","",INDEX(c_Mtgs,$A540)))</f>
        <v/>
      </c>
      <c r="J540" s="11" t="str">
        <f aca="false">IF($A540="","",INDEX(c_EvtNames,$A540)&amp;"")</f>
        <v/>
      </c>
      <c r="K540" s="34" t="str">
        <f aca="false">IF($A540="","",INDEX(c_Invested,$A540)&amp;"")</f>
        <v/>
      </c>
      <c r="L540" s="12" t="str">
        <f aca="false">IF($A540="","",IF(INDEX(c_AUM,$A540)="","",INDEX(c_AUM,$A540)))</f>
        <v/>
      </c>
      <c r="M540" s="11" t="str">
        <f aca="false">IF($A540="","",INDEX(c_Source,$A540)&amp;"")</f>
        <v/>
      </c>
      <c r="N540" s="11" t="str">
        <f aca="false">IF($A540="","",INDEX(c_Notes,$A540)&amp;"")</f>
        <v/>
      </c>
    </row>
    <row r="541" customFormat="false" ht="15" hidden="false" customHeight="false" outlineLevel="0" collapsed="false">
      <c r="A541" s="32" t="str">
        <f aca="false">IFERROR(MATCH(ROW()-5,c_Seq,0),"")</f>
        <v/>
      </c>
      <c r="B541" s="15" t="str">
        <f aca="false">IF($A541="","",INDEX(c_Name,$A541)&amp;"")</f>
        <v/>
      </c>
      <c r="C541" s="15" t="str">
        <f aca="false">IF($A541="","",INDEX(c_Firm,$A541)&amp;"")</f>
        <v/>
      </c>
      <c r="D541" s="15" t="str">
        <f aca="false">IF($A541="","",INDEX(c_Type,$A541)&amp;"")</f>
        <v/>
      </c>
      <c r="E541" s="15" t="str">
        <f aca="false">IF($A541="","",INDEX(c_Email,$A541)&amp;"")</f>
        <v/>
      </c>
      <c r="F541" s="36" t="str">
        <f aca="false">IF($A541="","",INDEX(c_Met,$A541)&amp;"")</f>
        <v/>
      </c>
      <c r="G541" s="26" t="str">
        <f aca="false">IF($A541="","",IF(INDEX(c_Date,$A541)="","",INDEX(c_Date,$A541)))</f>
        <v/>
      </c>
      <c r="H541" s="35" t="str">
        <f aca="false">IF($A541="","",IF(INDEX(c_Days,$A541)="","",INDEX(c_Days,$A541)))</f>
        <v/>
      </c>
      <c r="I541" s="41" t="str">
        <f aca="false">IF($A541="","",IF(INDEX(c_Mtgs,$A541)="","",INDEX(c_Mtgs,$A541)))</f>
        <v/>
      </c>
      <c r="J541" s="15" t="str">
        <f aca="false">IF($A541="","",INDEX(c_EvtNames,$A541)&amp;"")</f>
        <v/>
      </c>
      <c r="K541" s="36" t="str">
        <f aca="false">IF($A541="","",INDEX(c_Invested,$A541)&amp;"")</f>
        <v/>
      </c>
      <c r="L541" s="16" t="str">
        <f aca="false">IF($A541="","",IF(INDEX(c_AUM,$A541)="","",INDEX(c_AUM,$A541)))</f>
        <v/>
      </c>
      <c r="M541" s="15" t="str">
        <f aca="false">IF($A541="","",INDEX(c_Source,$A541)&amp;"")</f>
        <v/>
      </c>
      <c r="N541" s="15" t="str">
        <f aca="false">IF($A541="","",INDEX(c_Notes,$A541)&amp;"")</f>
        <v/>
      </c>
    </row>
    <row r="542" customFormat="false" ht="15" hidden="false" customHeight="false" outlineLevel="0" collapsed="false">
      <c r="A542" s="32" t="str">
        <f aca="false">IFERROR(MATCH(ROW()-5,c_Seq,0),"")</f>
        <v/>
      </c>
      <c r="B542" s="11" t="str">
        <f aca="false">IF($A542="","",INDEX(c_Name,$A542)&amp;"")</f>
        <v/>
      </c>
      <c r="C542" s="11" t="str">
        <f aca="false">IF($A542="","",INDEX(c_Firm,$A542)&amp;"")</f>
        <v/>
      </c>
      <c r="D542" s="11" t="str">
        <f aca="false">IF($A542="","",INDEX(c_Type,$A542)&amp;"")</f>
        <v/>
      </c>
      <c r="E542" s="11" t="str">
        <f aca="false">IF($A542="","",INDEX(c_Email,$A542)&amp;"")</f>
        <v/>
      </c>
      <c r="F542" s="34" t="str">
        <f aca="false">IF($A542="","",INDEX(c_Met,$A542)&amp;"")</f>
        <v/>
      </c>
      <c r="G542" s="25" t="str">
        <f aca="false">IF($A542="","",IF(INDEX(c_Date,$A542)="","",INDEX(c_Date,$A542)))</f>
        <v/>
      </c>
      <c r="H542" s="33" t="str">
        <f aca="false">IF($A542="","",IF(INDEX(c_Days,$A542)="","",INDEX(c_Days,$A542)))</f>
        <v/>
      </c>
      <c r="I542" s="40" t="str">
        <f aca="false">IF($A542="","",IF(INDEX(c_Mtgs,$A542)="","",INDEX(c_Mtgs,$A542)))</f>
        <v/>
      </c>
      <c r="J542" s="11" t="str">
        <f aca="false">IF($A542="","",INDEX(c_EvtNames,$A542)&amp;"")</f>
        <v/>
      </c>
      <c r="K542" s="34" t="str">
        <f aca="false">IF($A542="","",INDEX(c_Invested,$A542)&amp;"")</f>
        <v/>
      </c>
      <c r="L542" s="12" t="str">
        <f aca="false">IF($A542="","",IF(INDEX(c_AUM,$A542)="","",INDEX(c_AUM,$A542)))</f>
        <v/>
      </c>
      <c r="M542" s="11" t="str">
        <f aca="false">IF($A542="","",INDEX(c_Source,$A542)&amp;"")</f>
        <v/>
      </c>
      <c r="N542" s="11" t="str">
        <f aca="false">IF($A542="","",INDEX(c_Notes,$A542)&amp;"")</f>
        <v/>
      </c>
    </row>
    <row r="543" customFormat="false" ht="15" hidden="false" customHeight="false" outlineLevel="0" collapsed="false">
      <c r="A543" s="32" t="str">
        <f aca="false">IFERROR(MATCH(ROW()-5,c_Seq,0),"")</f>
        <v/>
      </c>
      <c r="B543" s="15" t="str">
        <f aca="false">IF($A543="","",INDEX(c_Name,$A543)&amp;"")</f>
        <v/>
      </c>
      <c r="C543" s="15" t="str">
        <f aca="false">IF($A543="","",INDEX(c_Firm,$A543)&amp;"")</f>
        <v/>
      </c>
      <c r="D543" s="15" t="str">
        <f aca="false">IF($A543="","",INDEX(c_Type,$A543)&amp;"")</f>
        <v/>
      </c>
      <c r="E543" s="15" t="str">
        <f aca="false">IF($A543="","",INDEX(c_Email,$A543)&amp;"")</f>
        <v/>
      </c>
      <c r="F543" s="36" t="str">
        <f aca="false">IF($A543="","",INDEX(c_Met,$A543)&amp;"")</f>
        <v/>
      </c>
      <c r="G543" s="26" t="str">
        <f aca="false">IF($A543="","",IF(INDEX(c_Date,$A543)="","",INDEX(c_Date,$A543)))</f>
        <v/>
      </c>
      <c r="H543" s="35" t="str">
        <f aca="false">IF($A543="","",IF(INDEX(c_Days,$A543)="","",INDEX(c_Days,$A543)))</f>
        <v/>
      </c>
      <c r="I543" s="41" t="str">
        <f aca="false">IF($A543="","",IF(INDEX(c_Mtgs,$A543)="","",INDEX(c_Mtgs,$A543)))</f>
        <v/>
      </c>
      <c r="J543" s="15" t="str">
        <f aca="false">IF($A543="","",INDEX(c_EvtNames,$A543)&amp;"")</f>
        <v/>
      </c>
      <c r="K543" s="36" t="str">
        <f aca="false">IF($A543="","",INDEX(c_Invested,$A543)&amp;"")</f>
        <v/>
      </c>
      <c r="L543" s="16" t="str">
        <f aca="false">IF($A543="","",IF(INDEX(c_AUM,$A543)="","",INDEX(c_AUM,$A543)))</f>
        <v/>
      </c>
      <c r="M543" s="15" t="str">
        <f aca="false">IF($A543="","",INDEX(c_Source,$A543)&amp;"")</f>
        <v/>
      </c>
      <c r="N543" s="15" t="str">
        <f aca="false">IF($A543="","",INDEX(c_Notes,$A543)&amp;"")</f>
        <v/>
      </c>
    </row>
    <row r="544" customFormat="false" ht="15" hidden="false" customHeight="false" outlineLevel="0" collapsed="false">
      <c r="A544" s="32" t="str">
        <f aca="false">IFERROR(MATCH(ROW()-5,c_Seq,0),"")</f>
        <v/>
      </c>
      <c r="B544" s="11" t="str">
        <f aca="false">IF($A544="","",INDEX(c_Name,$A544)&amp;"")</f>
        <v/>
      </c>
      <c r="C544" s="11" t="str">
        <f aca="false">IF($A544="","",INDEX(c_Firm,$A544)&amp;"")</f>
        <v/>
      </c>
      <c r="D544" s="11" t="str">
        <f aca="false">IF($A544="","",INDEX(c_Type,$A544)&amp;"")</f>
        <v/>
      </c>
      <c r="E544" s="11" t="str">
        <f aca="false">IF($A544="","",INDEX(c_Email,$A544)&amp;"")</f>
        <v/>
      </c>
      <c r="F544" s="34" t="str">
        <f aca="false">IF($A544="","",INDEX(c_Met,$A544)&amp;"")</f>
        <v/>
      </c>
      <c r="G544" s="25" t="str">
        <f aca="false">IF($A544="","",IF(INDEX(c_Date,$A544)="","",INDEX(c_Date,$A544)))</f>
        <v/>
      </c>
      <c r="H544" s="33" t="str">
        <f aca="false">IF($A544="","",IF(INDEX(c_Days,$A544)="","",INDEX(c_Days,$A544)))</f>
        <v/>
      </c>
      <c r="I544" s="40" t="str">
        <f aca="false">IF($A544="","",IF(INDEX(c_Mtgs,$A544)="","",INDEX(c_Mtgs,$A544)))</f>
        <v/>
      </c>
      <c r="J544" s="11" t="str">
        <f aca="false">IF($A544="","",INDEX(c_EvtNames,$A544)&amp;"")</f>
        <v/>
      </c>
      <c r="K544" s="34" t="str">
        <f aca="false">IF($A544="","",INDEX(c_Invested,$A544)&amp;"")</f>
        <v/>
      </c>
      <c r="L544" s="12" t="str">
        <f aca="false">IF($A544="","",IF(INDEX(c_AUM,$A544)="","",INDEX(c_AUM,$A544)))</f>
        <v/>
      </c>
      <c r="M544" s="11" t="str">
        <f aca="false">IF($A544="","",INDEX(c_Source,$A544)&amp;"")</f>
        <v/>
      </c>
      <c r="N544" s="11" t="str">
        <f aca="false">IF($A544="","",INDEX(c_Notes,$A544)&amp;"")</f>
        <v/>
      </c>
    </row>
    <row r="545" customFormat="false" ht="15" hidden="false" customHeight="false" outlineLevel="0" collapsed="false">
      <c r="A545" s="32" t="str">
        <f aca="false">IFERROR(MATCH(ROW()-5,c_Seq,0),"")</f>
        <v/>
      </c>
      <c r="B545" s="15" t="str">
        <f aca="false">IF($A545="","",INDEX(c_Name,$A545)&amp;"")</f>
        <v/>
      </c>
      <c r="C545" s="15" t="str">
        <f aca="false">IF($A545="","",INDEX(c_Firm,$A545)&amp;"")</f>
        <v/>
      </c>
      <c r="D545" s="15" t="str">
        <f aca="false">IF($A545="","",INDEX(c_Type,$A545)&amp;"")</f>
        <v/>
      </c>
      <c r="E545" s="15" t="str">
        <f aca="false">IF($A545="","",INDEX(c_Email,$A545)&amp;"")</f>
        <v/>
      </c>
      <c r="F545" s="36" t="str">
        <f aca="false">IF($A545="","",INDEX(c_Met,$A545)&amp;"")</f>
        <v/>
      </c>
      <c r="G545" s="26" t="str">
        <f aca="false">IF($A545="","",IF(INDEX(c_Date,$A545)="","",INDEX(c_Date,$A545)))</f>
        <v/>
      </c>
      <c r="H545" s="35" t="str">
        <f aca="false">IF($A545="","",IF(INDEX(c_Days,$A545)="","",INDEX(c_Days,$A545)))</f>
        <v/>
      </c>
      <c r="I545" s="41" t="str">
        <f aca="false">IF($A545="","",IF(INDEX(c_Mtgs,$A545)="","",INDEX(c_Mtgs,$A545)))</f>
        <v/>
      </c>
      <c r="J545" s="15" t="str">
        <f aca="false">IF($A545="","",INDEX(c_EvtNames,$A545)&amp;"")</f>
        <v/>
      </c>
      <c r="K545" s="36" t="str">
        <f aca="false">IF($A545="","",INDEX(c_Invested,$A545)&amp;"")</f>
        <v/>
      </c>
      <c r="L545" s="16" t="str">
        <f aca="false">IF($A545="","",IF(INDEX(c_AUM,$A545)="","",INDEX(c_AUM,$A545)))</f>
        <v/>
      </c>
      <c r="M545" s="15" t="str">
        <f aca="false">IF($A545="","",INDEX(c_Source,$A545)&amp;"")</f>
        <v/>
      </c>
      <c r="N545" s="15" t="str">
        <f aca="false">IF($A545="","",INDEX(c_Notes,$A545)&amp;"")</f>
        <v/>
      </c>
    </row>
    <row r="546" customFormat="false" ht="15" hidden="false" customHeight="false" outlineLevel="0" collapsed="false">
      <c r="A546" s="32" t="str">
        <f aca="false">IFERROR(MATCH(ROW()-5,c_Seq,0),"")</f>
        <v/>
      </c>
      <c r="B546" s="11" t="str">
        <f aca="false">IF($A546="","",INDEX(c_Name,$A546)&amp;"")</f>
        <v/>
      </c>
      <c r="C546" s="11" t="str">
        <f aca="false">IF($A546="","",INDEX(c_Firm,$A546)&amp;"")</f>
        <v/>
      </c>
      <c r="D546" s="11" t="str">
        <f aca="false">IF($A546="","",INDEX(c_Type,$A546)&amp;"")</f>
        <v/>
      </c>
      <c r="E546" s="11" t="str">
        <f aca="false">IF($A546="","",INDEX(c_Email,$A546)&amp;"")</f>
        <v/>
      </c>
      <c r="F546" s="34" t="str">
        <f aca="false">IF($A546="","",INDEX(c_Met,$A546)&amp;"")</f>
        <v/>
      </c>
      <c r="G546" s="25" t="str">
        <f aca="false">IF($A546="","",IF(INDEX(c_Date,$A546)="","",INDEX(c_Date,$A546)))</f>
        <v/>
      </c>
      <c r="H546" s="33" t="str">
        <f aca="false">IF($A546="","",IF(INDEX(c_Days,$A546)="","",INDEX(c_Days,$A546)))</f>
        <v/>
      </c>
      <c r="I546" s="40" t="str">
        <f aca="false">IF($A546="","",IF(INDEX(c_Mtgs,$A546)="","",INDEX(c_Mtgs,$A546)))</f>
        <v/>
      </c>
      <c r="J546" s="11" t="str">
        <f aca="false">IF($A546="","",INDEX(c_EvtNames,$A546)&amp;"")</f>
        <v/>
      </c>
      <c r="K546" s="34" t="str">
        <f aca="false">IF($A546="","",INDEX(c_Invested,$A546)&amp;"")</f>
        <v/>
      </c>
      <c r="L546" s="12" t="str">
        <f aca="false">IF($A546="","",IF(INDEX(c_AUM,$A546)="","",INDEX(c_AUM,$A546)))</f>
        <v/>
      </c>
      <c r="M546" s="11" t="str">
        <f aca="false">IF($A546="","",INDEX(c_Source,$A546)&amp;"")</f>
        <v/>
      </c>
      <c r="N546" s="11" t="str">
        <f aca="false">IF($A546="","",INDEX(c_Notes,$A546)&amp;"")</f>
        <v/>
      </c>
    </row>
    <row r="547" customFormat="false" ht="15" hidden="false" customHeight="false" outlineLevel="0" collapsed="false">
      <c r="A547" s="32" t="str">
        <f aca="false">IFERROR(MATCH(ROW()-5,c_Seq,0),"")</f>
        <v/>
      </c>
      <c r="B547" s="15" t="str">
        <f aca="false">IF($A547="","",INDEX(c_Name,$A547)&amp;"")</f>
        <v/>
      </c>
      <c r="C547" s="15" t="str">
        <f aca="false">IF($A547="","",INDEX(c_Firm,$A547)&amp;"")</f>
        <v/>
      </c>
      <c r="D547" s="15" t="str">
        <f aca="false">IF($A547="","",INDEX(c_Type,$A547)&amp;"")</f>
        <v/>
      </c>
      <c r="E547" s="15" t="str">
        <f aca="false">IF($A547="","",INDEX(c_Email,$A547)&amp;"")</f>
        <v/>
      </c>
      <c r="F547" s="36" t="str">
        <f aca="false">IF($A547="","",INDEX(c_Met,$A547)&amp;"")</f>
        <v/>
      </c>
      <c r="G547" s="26" t="str">
        <f aca="false">IF($A547="","",IF(INDEX(c_Date,$A547)="","",INDEX(c_Date,$A547)))</f>
        <v/>
      </c>
      <c r="H547" s="35" t="str">
        <f aca="false">IF($A547="","",IF(INDEX(c_Days,$A547)="","",INDEX(c_Days,$A547)))</f>
        <v/>
      </c>
      <c r="I547" s="41" t="str">
        <f aca="false">IF($A547="","",IF(INDEX(c_Mtgs,$A547)="","",INDEX(c_Mtgs,$A547)))</f>
        <v/>
      </c>
      <c r="J547" s="15" t="str">
        <f aca="false">IF($A547="","",INDEX(c_EvtNames,$A547)&amp;"")</f>
        <v/>
      </c>
      <c r="K547" s="36" t="str">
        <f aca="false">IF($A547="","",INDEX(c_Invested,$A547)&amp;"")</f>
        <v/>
      </c>
      <c r="L547" s="16" t="str">
        <f aca="false">IF($A547="","",IF(INDEX(c_AUM,$A547)="","",INDEX(c_AUM,$A547)))</f>
        <v/>
      </c>
      <c r="M547" s="15" t="str">
        <f aca="false">IF($A547="","",INDEX(c_Source,$A547)&amp;"")</f>
        <v/>
      </c>
      <c r="N547" s="15" t="str">
        <f aca="false">IF($A547="","",INDEX(c_Notes,$A547)&amp;"")</f>
        <v/>
      </c>
    </row>
    <row r="548" customFormat="false" ht="15" hidden="false" customHeight="false" outlineLevel="0" collapsed="false">
      <c r="A548" s="32" t="str">
        <f aca="false">IFERROR(MATCH(ROW()-5,c_Seq,0),"")</f>
        <v/>
      </c>
      <c r="B548" s="11" t="str">
        <f aca="false">IF($A548="","",INDEX(c_Name,$A548)&amp;"")</f>
        <v/>
      </c>
      <c r="C548" s="11" t="str">
        <f aca="false">IF($A548="","",INDEX(c_Firm,$A548)&amp;"")</f>
        <v/>
      </c>
      <c r="D548" s="11" t="str">
        <f aca="false">IF($A548="","",INDEX(c_Type,$A548)&amp;"")</f>
        <v/>
      </c>
      <c r="E548" s="11" t="str">
        <f aca="false">IF($A548="","",INDEX(c_Email,$A548)&amp;"")</f>
        <v/>
      </c>
      <c r="F548" s="34" t="str">
        <f aca="false">IF($A548="","",INDEX(c_Met,$A548)&amp;"")</f>
        <v/>
      </c>
      <c r="G548" s="25" t="str">
        <f aca="false">IF($A548="","",IF(INDEX(c_Date,$A548)="","",INDEX(c_Date,$A548)))</f>
        <v/>
      </c>
      <c r="H548" s="33" t="str">
        <f aca="false">IF($A548="","",IF(INDEX(c_Days,$A548)="","",INDEX(c_Days,$A548)))</f>
        <v/>
      </c>
      <c r="I548" s="40" t="str">
        <f aca="false">IF($A548="","",IF(INDEX(c_Mtgs,$A548)="","",INDEX(c_Mtgs,$A548)))</f>
        <v/>
      </c>
      <c r="J548" s="11" t="str">
        <f aca="false">IF($A548="","",INDEX(c_EvtNames,$A548)&amp;"")</f>
        <v/>
      </c>
      <c r="K548" s="34" t="str">
        <f aca="false">IF($A548="","",INDEX(c_Invested,$A548)&amp;"")</f>
        <v/>
      </c>
      <c r="L548" s="12" t="str">
        <f aca="false">IF($A548="","",IF(INDEX(c_AUM,$A548)="","",INDEX(c_AUM,$A548)))</f>
        <v/>
      </c>
      <c r="M548" s="11" t="str">
        <f aca="false">IF($A548="","",INDEX(c_Source,$A548)&amp;"")</f>
        <v/>
      </c>
      <c r="N548" s="11" t="str">
        <f aca="false">IF($A548="","",INDEX(c_Notes,$A548)&amp;"")</f>
        <v/>
      </c>
    </row>
    <row r="549" customFormat="false" ht="15" hidden="false" customHeight="false" outlineLevel="0" collapsed="false">
      <c r="A549" s="32" t="str">
        <f aca="false">IFERROR(MATCH(ROW()-5,c_Seq,0),"")</f>
        <v/>
      </c>
      <c r="B549" s="15" t="str">
        <f aca="false">IF($A549="","",INDEX(c_Name,$A549)&amp;"")</f>
        <v/>
      </c>
      <c r="C549" s="15" t="str">
        <f aca="false">IF($A549="","",INDEX(c_Firm,$A549)&amp;"")</f>
        <v/>
      </c>
      <c r="D549" s="15" t="str">
        <f aca="false">IF($A549="","",INDEX(c_Type,$A549)&amp;"")</f>
        <v/>
      </c>
      <c r="E549" s="15" t="str">
        <f aca="false">IF($A549="","",INDEX(c_Email,$A549)&amp;"")</f>
        <v/>
      </c>
      <c r="F549" s="36" t="str">
        <f aca="false">IF($A549="","",INDEX(c_Met,$A549)&amp;"")</f>
        <v/>
      </c>
      <c r="G549" s="26" t="str">
        <f aca="false">IF($A549="","",IF(INDEX(c_Date,$A549)="","",INDEX(c_Date,$A549)))</f>
        <v/>
      </c>
      <c r="H549" s="35" t="str">
        <f aca="false">IF($A549="","",IF(INDEX(c_Days,$A549)="","",INDEX(c_Days,$A549)))</f>
        <v/>
      </c>
      <c r="I549" s="41" t="str">
        <f aca="false">IF($A549="","",IF(INDEX(c_Mtgs,$A549)="","",INDEX(c_Mtgs,$A549)))</f>
        <v/>
      </c>
      <c r="J549" s="15" t="str">
        <f aca="false">IF($A549="","",INDEX(c_EvtNames,$A549)&amp;"")</f>
        <v/>
      </c>
      <c r="K549" s="36" t="str">
        <f aca="false">IF($A549="","",INDEX(c_Invested,$A549)&amp;"")</f>
        <v/>
      </c>
      <c r="L549" s="16" t="str">
        <f aca="false">IF($A549="","",IF(INDEX(c_AUM,$A549)="","",INDEX(c_AUM,$A549)))</f>
        <v/>
      </c>
      <c r="M549" s="15" t="str">
        <f aca="false">IF($A549="","",INDEX(c_Source,$A549)&amp;"")</f>
        <v/>
      </c>
      <c r="N549" s="15" t="str">
        <f aca="false">IF($A549="","",INDEX(c_Notes,$A549)&amp;"")</f>
        <v/>
      </c>
    </row>
    <row r="550" customFormat="false" ht="15" hidden="false" customHeight="false" outlineLevel="0" collapsed="false">
      <c r="A550" s="32" t="str">
        <f aca="false">IFERROR(MATCH(ROW()-5,c_Seq,0),"")</f>
        <v/>
      </c>
      <c r="B550" s="11" t="str">
        <f aca="false">IF($A550="","",INDEX(c_Name,$A550)&amp;"")</f>
        <v/>
      </c>
      <c r="C550" s="11" t="str">
        <f aca="false">IF($A550="","",INDEX(c_Firm,$A550)&amp;"")</f>
        <v/>
      </c>
      <c r="D550" s="11" t="str">
        <f aca="false">IF($A550="","",INDEX(c_Type,$A550)&amp;"")</f>
        <v/>
      </c>
      <c r="E550" s="11" t="str">
        <f aca="false">IF($A550="","",INDEX(c_Email,$A550)&amp;"")</f>
        <v/>
      </c>
      <c r="F550" s="34" t="str">
        <f aca="false">IF($A550="","",INDEX(c_Met,$A550)&amp;"")</f>
        <v/>
      </c>
      <c r="G550" s="25" t="str">
        <f aca="false">IF($A550="","",IF(INDEX(c_Date,$A550)="","",INDEX(c_Date,$A550)))</f>
        <v/>
      </c>
      <c r="H550" s="33" t="str">
        <f aca="false">IF($A550="","",IF(INDEX(c_Days,$A550)="","",INDEX(c_Days,$A550)))</f>
        <v/>
      </c>
      <c r="I550" s="40" t="str">
        <f aca="false">IF($A550="","",IF(INDEX(c_Mtgs,$A550)="","",INDEX(c_Mtgs,$A550)))</f>
        <v/>
      </c>
      <c r="J550" s="11" t="str">
        <f aca="false">IF($A550="","",INDEX(c_EvtNames,$A550)&amp;"")</f>
        <v/>
      </c>
      <c r="K550" s="34" t="str">
        <f aca="false">IF($A550="","",INDEX(c_Invested,$A550)&amp;"")</f>
        <v/>
      </c>
      <c r="L550" s="12" t="str">
        <f aca="false">IF($A550="","",IF(INDEX(c_AUM,$A550)="","",INDEX(c_AUM,$A550)))</f>
        <v/>
      </c>
      <c r="M550" s="11" t="str">
        <f aca="false">IF($A550="","",INDEX(c_Source,$A550)&amp;"")</f>
        <v/>
      </c>
      <c r="N550" s="11" t="str">
        <f aca="false">IF($A550="","",INDEX(c_Notes,$A550)&amp;"")</f>
        <v/>
      </c>
    </row>
    <row r="551" customFormat="false" ht="15" hidden="false" customHeight="false" outlineLevel="0" collapsed="false">
      <c r="A551" s="32" t="str">
        <f aca="false">IFERROR(MATCH(ROW()-5,c_Seq,0),"")</f>
        <v/>
      </c>
      <c r="B551" s="15" t="str">
        <f aca="false">IF($A551="","",INDEX(c_Name,$A551)&amp;"")</f>
        <v/>
      </c>
      <c r="C551" s="15" t="str">
        <f aca="false">IF($A551="","",INDEX(c_Firm,$A551)&amp;"")</f>
        <v/>
      </c>
      <c r="D551" s="15" t="str">
        <f aca="false">IF($A551="","",INDEX(c_Type,$A551)&amp;"")</f>
        <v/>
      </c>
      <c r="E551" s="15" t="str">
        <f aca="false">IF($A551="","",INDEX(c_Email,$A551)&amp;"")</f>
        <v/>
      </c>
      <c r="F551" s="36" t="str">
        <f aca="false">IF($A551="","",INDEX(c_Met,$A551)&amp;"")</f>
        <v/>
      </c>
      <c r="G551" s="26" t="str">
        <f aca="false">IF($A551="","",IF(INDEX(c_Date,$A551)="","",INDEX(c_Date,$A551)))</f>
        <v/>
      </c>
      <c r="H551" s="35" t="str">
        <f aca="false">IF($A551="","",IF(INDEX(c_Days,$A551)="","",INDEX(c_Days,$A551)))</f>
        <v/>
      </c>
      <c r="I551" s="41" t="str">
        <f aca="false">IF($A551="","",IF(INDEX(c_Mtgs,$A551)="","",INDEX(c_Mtgs,$A551)))</f>
        <v/>
      </c>
      <c r="J551" s="15" t="str">
        <f aca="false">IF($A551="","",INDEX(c_EvtNames,$A551)&amp;"")</f>
        <v/>
      </c>
      <c r="K551" s="36" t="str">
        <f aca="false">IF($A551="","",INDEX(c_Invested,$A551)&amp;"")</f>
        <v/>
      </c>
      <c r="L551" s="16" t="str">
        <f aca="false">IF($A551="","",IF(INDEX(c_AUM,$A551)="","",INDEX(c_AUM,$A551)))</f>
        <v/>
      </c>
      <c r="M551" s="15" t="str">
        <f aca="false">IF($A551="","",INDEX(c_Source,$A551)&amp;"")</f>
        <v/>
      </c>
      <c r="N551" s="15" t="str">
        <f aca="false">IF($A551="","",INDEX(c_Notes,$A551)&amp;"")</f>
        <v/>
      </c>
    </row>
    <row r="552" customFormat="false" ht="15" hidden="false" customHeight="false" outlineLevel="0" collapsed="false">
      <c r="A552" s="32" t="str">
        <f aca="false">IFERROR(MATCH(ROW()-5,c_Seq,0),"")</f>
        <v/>
      </c>
      <c r="B552" s="11" t="str">
        <f aca="false">IF($A552="","",INDEX(c_Name,$A552)&amp;"")</f>
        <v/>
      </c>
      <c r="C552" s="11" t="str">
        <f aca="false">IF($A552="","",INDEX(c_Firm,$A552)&amp;"")</f>
        <v/>
      </c>
      <c r="D552" s="11" t="str">
        <f aca="false">IF($A552="","",INDEX(c_Type,$A552)&amp;"")</f>
        <v/>
      </c>
      <c r="E552" s="11" t="str">
        <f aca="false">IF($A552="","",INDEX(c_Email,$A552)&amp;"")</f>
        <v/>
      </c>
      <c r="F552" s="34" t="str">
        <f aca="false">IF($A552="","",INDEX(c_Met,$A552)&amp;"")</f>
        <v/>
      </c>
      <c r="G552" s="25" t="str">
        <f aca="false">IF($A552="","",IF(INDEX(c_Date,$A552)="","",INDEX(c_Date,$A552)))</f>
        <v/>
      </c>
      <c r="H552" s="33" t="str">
        <f aca="false">IF($A552="","",IF(INDEX(c_Days,$A552)="","",INDEX(c_Days,$A552)))</f>
        <v/>
      </c>
      <c r="I552" s="40" t="str">
        <f aca="false">IF($A552="","",IF(INDEX(c_Mtgs,$A552)="","",INDEX(c_Mtgs,$A552)))</f>
        <v/>
      </c>
      <c r="J552" s="11" t="str">
        <f aca="false">IF($A552="","",INDEX(c_EvtNames,$A552)&amp;"")</f>
        <v/>
      </c>
      <c r="K552" s="34" t="str">
        <f aca="false">IF($A552="","",INDEX(c_Invested,$A552)&amp;"")</f>
        <v/>
      </c>
      <c r="L552" s="12" t="str">
        <f aca="false">IF($A552="","",IF(INDEX(c_AUM,$A552)="","",INDEX(c_AUM,$A552)))</f>
        <v/>
      </c>
      <c r="M552" s="11" t="str">
        <f aca="false">IF($A552="","",INDEX(c_Source,$A552)&amp;"")</f>
        <v/>
      </c>
      <c r="N552" s="11" t="str">
        <f aca="false">IF($A552="","",INDEX(c_Notes,$A552)&amp;"")</f>
        <v/>
      </c>
    </row>
    <row r="553" customFormat="false" ht="15" hidden="false" customHeight="false" outlineLevel="0" collapsed="false">
      <c r="A553" s="32" t="str">
        <f aca="false">IFERROR(MATCH(ROW()-5,c_Seq,0),"")</f>
        <v/>
      </c>
      <c r="B553" s="15" t="str">
        <f aca="false">IF($A553="","",INDEX(c_Name,$A553)&amp;"")</f>
        <v/>
      </c>
      <c r="C553" s="15" t="str">
        <f aca="false">IF($A553="","",INDEX(c_Firm,$A553)&amp;"")</f>
        <v/>
      </c>
      <c r="D553" s="15" t="str">
        <f aca="false">IF($A553="","",INDEX(c_Type,$A553)&amp;"")</f>
        <v/>
      </c>
      <c r="E553" s="15" t="str">
        <f aca="false">IF($A553="","",INDEX(c_Email,$A553)&amp;"")</f>
        <v/>
      </c>
      <c r="F553" s="36" t="str">
        <f aca="false">IF($A553="","",INDEX(c_Met,$A553)&amp;"")</f>
        <v/>
      </c>
      <c r="G553" s="26" t="str">
        <f aca="false">IF($A553="","",IF(INDEX(c_Date,$A553)="","",INDEX(c_Date,$A553)))</f>
        <v/>
      </c>
      <c r="H553" s="35" t="str">
        <f aca="false">IF($A553="","",IF(INDEX(c_Days,$A553)="","",INDEX(c_Days,$A553)))</f>
        <v/>
      </c>
      <c r="I553" s="41" t="str">
        <f aca="false">IF($A553="","",IF(INDEX(c_Mtgs,$A553)="","",INDEX(c_Mtgs,$A553)))</f>
        <v/>
      </c>
      <c r="J553" s="15" t="str">
        <f aca="false">IF($A553="","",INDEX(c_EvtNames,$A553)&amp;"")</f>
        <v/>
      </c>
      <c r="K553" s="36" t="str">
        <f aca="false">IF($A553="","",INDEX(c_Invested,$A553)&amp;"")</f>
        <v/>
      </c>
      <c r="L553" s="16" t="str">
        <f aca="false">IF($A553="","",IF(INDEX(c_AUM,$A553)="","",INDEX(c_AUM,$A553)))</f>
        <v/>
      </c>
      <c r="M553" s="15" t="str">
        <f aca="false">IF($A553="","",INDEX(c_Source,$A553)&amp;"")</f>
        <v/>
      </c>
      <c r="N553" s="15" t="str">
        <f aca="false">IF($A553="","",INDEX(c_Notes,$A553)&amp;"")</f>
        <v/>
      </c>
    </row>
    <row r="554" customFormat="false" ht="15" hidden="false" customHeight="false" outlineLevel="0" collapsed="false">
      <c r="A554" s="32" t="str">
        <f aca="false">IFERROR(MATCH(ROW()-5,c_Seq,0),"")</f>
        <v/>
      </c>
      <c r="B554" s="11" t="str">
        <f aca="false">IF($A554="","",INDEX(c_Name,$A554)&amp;"")</f>
        <v/>
      </c>
      <c r="C554" s="11" t="str">
        <f aca="false">IF($A554="","",INDEX(c_Firm,$A554)&amp;"")</f>
        <v/>
      </c>
      <c r="D554" s="11" t="str">
        <f aca="false">IF($A554="","",INDEX(c_Type,$A554)&amp;"")</f>
        <v/>
      </c>
      <c r="E554" s="11" t="str">
        <f aca="false">IF($A554="","",INDEX(c_Email,$A554)&amp;"")</f>
        <v/>
      </c>
      <c r="F554" s="34" t="str">
        <f aca="false">IF($A554="","",INDEX(c_Met,$A554)&amp;"")</f>
        <v/>
      </c>
      <c r="G554" s="25" t="str">
        <f aca="false">IF($A554="","",IF(INDEX(c_Date,$A554)="","",INDEX(c_Date,$A554)))</f>
        <v/>
      </c>
      <c r="H554" s="33" t="str">
        <f aca="false">IF($A554="","",IF(INDEX(c_Days,$A554)="","",INDEX(c_Days,$A554)))</f>
        <v/>
      </c>
      <c r="I554" s="40" t="str">
        <f aca="false">IF($A554="","",IF(INDEX(c_Mtgs,$A554)="","",INDEX(c_Mtgs,$A554)))</f>
        <v/>
      </c>
      <c r="J554" s="11" t="str">
        <f aca="false">IF($A554="","",INDEX(c_EvtNames,$A554)&amp;"")</f>
        <v/>
      </c>
      <c r="K554" s="34" t="str">
        <f aca="false">IF($A554="","",INDEX(c_Invested,$A554)&amp;"")</f>
        <v/>
      </c>
      <c r="L554" s="12" t="str">
        <f aca="false">IF($A554="","",IF(INDEX(c_AUM,$A554)="","",INDEX(c_AUM,$A554)))</f>
        <v/>
      </c>
      <c r="M554" s="11" t="str">
        <f aca="false">IF($A554="","",INDEX(c_Source,$A554)&amp;"")</f>
        <v/>
      </c>
      <c r="N554" s="11" t="str">
        <f aca="false">IF($A554="","",INDEX(c_Notes,$A554)&amp;"")</f>
        <v/>
      </c>
    </row>
    <row r="555" customFormat="false" ht="15" hidden="false" customHeight="false" outlineLevel="0" collapsed="false">
      <c r="A555" s="32" t="str">
        <f aca="false">IFERROR(MATCH(ROW()-5,c_Seq,0),"")</f>
        <v/>
      </c>
      <c r="B555" s="15" t="str">
        <f aca="false">IF($A555="","",INDEX(c_Name,$A555)&amp;"")</f>
        <v/>
      </c>
      <c r="C555" s="15" t="str">
        <f aca="false">IF($A555="","",INDEX(c_Firm,$A555)&amp;"")</f>
        <v/>
      </c>
      <c r="D555" s="15" t="str">
        <f aca="false">IF($A555="","",INDEX(c_Type,$A555)&amp;"")</f>
        <v/>
      </c>
      <c r="E555" s="15" t="str">
        <f aca="false">IF($A555="","",INDEX(c_Email,$A555)&amp;"")</f>
        <v/>
      </c>
      <c r="F555" s="36" t="str">
        <f aca="false">IF($A555="","",INDEX(c_Met,$A555)&amp;"")</f>
        <v/>
      </c>
      <c r="G555" s="26" t="str">
        <f aca="false">IF($A555="","",IF(INDEX(c_Date,$A555)="","",INDEX(c_Date,$A555)))</f>
        <v/>
      </c>
      <c r="H555" s="35" t="str">
        <f aca="false">IF($A555="","",IF(INDEX(c_Days,$A555)="","",INDEX(c_Days,$A555)))</f>
        <v/>
      </c>
      <c r="I555" s="41" t="str">
        <f aca="false">IF($A555="","",IF(INDEX(c_Mtgs,$A555)="","",INDEX(c_Mtgs,$A555)))</f>
        <v/>
      </c>
      <c r="J555" s="15" t="str">
        <f aca="false">IF($A555="","",INDEX(c_EvtNames,$A555)&amp;"")</f>
        <v/>
      </c>
      <c r="K555" s="36" t="str">
        <f aca="false">IF($A555="","",INDEX(c_Invested,$A555)&amp;"")</f>
        <v/>
      </c>
      <c r="L555" s="16" t="str">
        <f aca="false">IF($A555="","",IF(INDEX(c_AUM,$A555)="","",INDEX(c_AUM,$A555)))</f>
        <v/>
      </c>
      <c r="M555" s="15" t="str">
        <f aca="false">IF($A555="","",INDEX(c_Source,$A555)&amp;"")</f>
        <v/>
      </c>
      <c r="N555" s="15" t="str">
        <f aca="false">IF($A555="","",INDEX(c_Notes,$A555)&amp;"")</f>
        <v/>
      </c>
    </row>
    <row r="556" customFormat="false" ht="15" hidden="false" customHeight="false" outlineLevel="0" collapsed="false">
      <c r="A556" s="32" t="str">
        <f aca="false">IFERROR(MATCH(ROW()-5,c_Seq,0),"")</f>
        <v/>
      </c>
      <c r="B556" s="11" t="str">
        <f aca="false">IF($A556="","",INDEX(c_Name,$A556)&amp;"")</f>
        <v/>
      </c>
      <c r="C556" s="11" t="str">
        <f aca="false">IF($A556="","",INDEX(c_Firm,$A556)&amp;"")</f>
        <v/>
      </c>
      <c r="D556" s="11" t="str">
        <f aca="false">IF($A556="","",INDEX(c_Type,$A556)&amp;"")</f>
        <v/>
      </c>
      <c r="E556" s="11" t="str">
        <f aca="false">IF($A556="","",INDEX(c_Email,$A556)&amp;"")</f>
        <v/>
      </c>
      <c r="F556" s="34" t="str">
        <f aca="false">IF($A556="","",INDEX(c_Met,$A556)&amp;"")</f>
        <v/>
      </c>
      <c r="G556" s="25" t="str">
        <f aca="false">IF($A556="","",IF(INDEX(c_Date,$A556)="","",INDEX(c_Date,$A556)))</f>
        <v/>
      </c>
      <c r="H556" s="33" t="str">
        <f aca="false">IF($A556="","",IF(INDEX(c_Days,$A556)="","",INDEX(c_Days,$A556)))</f>
        <v/>
      </c>
      <c r="I556" s="40" t="str">
        <f aca="false">IF($A556="","",IF(INDEX(c_Mtgs,$A556)="","",INDEX(c_Mtgs,$A556)))</f>
        <v/>
      </c>
      <c r="J556" s="11" t="str">
        <f aca="false">IF($A556="","",INDEX(c_EvtNames,$A556)&amp;"")</f>
        <v/>
      </c>
      <c r="K556" s="34" t="str">
        <f aca="false">IF($A556="","",INDEX(c_Invested,$A556)&amp;"")</f>
        <v/>
      </c>
      <c r="L556" s="12" t="str">
        <f aca="false">IF($A556="","",IF(INDEX(c_AUM,$A556)="","",INDEX(c_AUM,$A556)))</f>
        <v/>
      </c>
      <c r="M556" s="11" t="str">
        <f aca="false">IF($A556="","",INDEX(c_Source,$A556)&amp;"")</f>
        <v/>
      </c>
      <c r="N556" s="11" t="str">
        <f aca="false">IF($A556="","",INDEX(c_Notes,$A556)&amp;"")</f>
        <v/>
      </c>
    </row>
    <row r="557" customFormat="false" ht="15" hidden="false" customHeight="false" outlineLevel="0" collapsed="false">
      <c r="A557" s="32" t="str">
        <f aca="false">IFERROR(MATCH(ROW()-5,c_Seq,0),"")</f>
        <v/>
      </c>
      <c r="B557" s="15" t="str">
        <f aca="false">IF($A557="","",INDEX(c_Name,$A557)&amp;"")</f>
        <v/>
      </c>
      <c r="C557" s="15" t="str">
        <f aca="false">IF($A557="","",INDEX(c_Firm,$A557)&amp;"")</f>
        <v/>
      </c>
      <c r="D557" s="15" t="str">
        <f aca="false">IF($A557="","",INDEX(c_Type,$A557)&amp;"")</f>
        <v/>
      </c>
      <c r="E557" s="15" t="str">
        <f aca="false">IF($A557="","",INDEX(c_Email,$A557)&amp;"")</f>
        <v/>
      </c>
      <c r="F557" s="36" t="str">
        <f aca="false">IF($A557="","",INDEX(c_Met,$A557)&amp;"")</f>
        <v/>
      </c>
      <c r="G557" s="26" t="str">
        <f aca="false">IF($A557="","",IF(INDEX(c_Date,$A557)="","",INDEX(c_Date,$A557)))</f>
        <v/>
      </c>
      <c r="H557" s="35" t="str">
        <f aca="false">IF($A557="","",IF(INDEX(c_Days,$A557)="","",INDEX(c_Days,$A557)))</f>
        <v/>
      </c>
      <c r="I557" s="41" t="str">
        <f aca="false">IF($A557="","",IF(INDEX(c_Mtgs,$A557)="","",INDEX(c_Mtgs,$A557)))</f>
        <v/>
      </c>
      <c r="J557" s="15" t="str">
        <f aca="false">IF($A557="","",INDEX(c_EvtNames,$A557)&amp;"")</f>
        <v/>
      </c>
      <c r="K557" s="36" t="str">
        <f aca="false">IF($A557="","",INDEX(c_Invested,$A557)&amp;"")</f>
        <v/>
      </c>
      <c r="L557" s="16" t="str">
        <f aca="false">IF($A557="","",IF(INDEX(c_AUM,$A557)="","",INDEX(c_AUM,$A557)))</f>
        <v/>
      </c>
      <c r="M557" s="15" t="str">
        <f aca="false">IF($A557="","",INDEX(c_Source,$A557)&amp;"")</f>
        <v/>
      </c>
      <c r="N557" s="15" t="str">
        <f aca="false">IF($A557="","",INDEX(c_Notes,$A557)&amp;"")</f>
        <v/>
      </c>
    </row>
    <row r="558" customFormat="false" ht="15" hidden="false" customHeight="false" outlineLevel="0" collapsed="false">
      <c r="A558" s="32" t="str">
        <f aca="false">IFERROR(MATCH(ROW()-5,c_Seq,0),"")</f>
        <v/>
      </c>
      <c r="B558" s="11" t="str">
        <f aca="false">IF($A558="","",INDEX(c_Name,$A558)&amp;"")</f>
        <v/>
      </c>
      <c r="C558" s="11" t="str">
        <f aca="false">IF($A558="","",INDEX(c_Firm,$A558)&amp;"")</f>
        <v/>
      </c>
      <c r="D558" s="11" t="str">
        <f aca="false">IF($A558="","",INDEX(c_Type,$A558)&amp;"")</f>
        <v/>
      </c>
      <c r="E558" s="11" t="str">
        <f aca="false">IF($A558="","",INDEX(c_Email,$A558)&amp;"")</f>
        <v/>
      </c>
      <c r="F558" s="34" t="str">
        <f aca="false">IF($A558="","",INDEX(c_Met,$A558)&amp;"")</f>
        <v/>
      </c>
      <c r="G558" s="25" t="str">
        <f aca="false">IF($A558="","",IF(INDEX(c_Date,$A558)="","",INDEX(c_Date,$A558)))</f>
        <v/>
      </c>
      <c r="H558" s="33" t="str">
        <f aca="false">IF($A558="","",IF(INDEX(c_Days,$A558)="","",INDEX(c_Days,$A558)))</f>
        <v/>
      </c>
      <c r="I558" s="40" t="str">
        <f aca="false">IF($A558="","",IF(INDEX(c_Mtgs,$A558)="","",INDEX(c_Mtgs,$A558)))</f>
        <v/>
      </c>
      <c r="J558" s="11" t="str">
        <f aca="false">IF($A558="","",INDEX(c_EvtNames,$A558)&amp;"")</f>
        <v/>
      </c>
      <c r="K558" s="34" t="str">
        <f aca="false">IF($A558="","",INDEX(c_Invested,$A558)&amp;"")</f>
        <v/>
      </c>
      <c r="L558" s="12" t="str">
        <f aca="false">IF($A558="","",IF(INDEX(c_AUM,$A558)="","",INDEX(c_AUM,$A558)))</f>
        <v/>
      </c>
      <c r="M558" s="11" t="str">
        <f aca="false">IF($A558="","",INDEX(c_Source,$A558)&amp;"")</f>
        <v/>
      </c>
      <c r="N558" s="11" t="str">
        <f aca="false">IF($A558="","",INDEX(c_Notes,$A558)&amp;"")</f>
        <v/>
      </c>
    </row>
    <row r="559" customFormat="false" ht="15" hidden="false" customHeight="false" outlineLevel="0" collapsed="false">
      <c r="A559" s="32" t="str">
        <f aca="false">IFERROR(MATCH(ROW()-5,c_Seq,0),"")</f>
        <v/>
      </c>
      <c r="B559" s="15" t="str">
        <f aca="false">IF($A559="","",INDEX(c_Name,$A559)&amp;"")</f>
        <v/>
      </c>
      <c r="C559" s="15" t="str">
        <f aca="false">IF($A559="","",INDEX(c_Firm,$A559)&amp;"")</f>
        <v/>
      </c>
      <c r="D559" s="15" t="str">
        <f aca="false">IF($A559="","",INDEX(c_Type,$A559)&amp;"")</f>
        <v/>
      </c>
      <c r="E559" s="15" t="str">
        <f aca="false">IF($A559="","",INDEX(c_Email,$A559)&amp;"")</f>
        <v/>
      </c>
      <c r="F559" s="36" t="str">
        <f aca="false">IF($A559="","",INDEX(c_Met,$A559)&amp;"")</f>
        <v/>
      </c>
      <c r="G559" s="26" t="str">
        <f aca="false">IF($A559="","",IF(INDEX(c_Date,$A559)="","",INDEX(c_Date,$A559)))</f>
        <v/>
      </c>
      <c r="H559" s="35" t="str">
        <f aca="false">IF($A559="","",IF(INDEX(c_Days,$A559)="","",INDEX(c_Days,$A559)))</f>
        <v/>
      </c>
      <c r="I559" s="41" t="str">
        <f aca="false">IF($A559="","",IF(INDEX(c_Mtgs,$A559)="","",INDEX(c_Mtgs,$A559)))</f>
        <v/>
      </c>
      <c r="J559" s="15" t="str">
        <f aca="false">IF($A559="","",INDEX(c_EvtNames,$A559)&amp;"")</f>
        <v/>
      </c>
      <c r="K559" s="36" t="str">
        <f aca="false">IF($A559="","",INDEX(c_Invested,$A559)&amp;"")</f>
        <v/>
      </c>
      <c r="L559" s="16" t="str">
        <f aca="false">IF($A559="","",IF(INDEX(c_AUM,$A559)="","",INDEX(c_AUM,$A559)))</f>
        <v/>
      </c>
      <c r="M559" s="15" t="str">
        <f aca="false">IF($A559="","",INDEX(c_Source,$A559)&amp;"")</f>
        <v/>
      </c>
      <c r="N559" s="15" t="str">
        <f aca="false">IF($A559="","",INDEX(c_Notes,$A559)&amp;"")</f>
        <v/>
      </c>
    </row>
    <row r="560" customFormat="false" ht="15" hidden="false" customHeight="false" outlineLevel="0" collapsed="false">
      <c r="A560" s="32" t="str">
        <f aca="false">IFERROR(MATCH(ROW()-5,c_Seq,0),"")</f>
        <v/>
      </c>
      <c r="B560" s="11" t="str">
        <f aca="false">IF($A560="","",INDEX(c_Name,$A560)&amp;"")</f>
        <v/>
      </c>
      <c r="C560" s="11" t="str">
        <f aca="false">IF($A560="","",INDEX(c_Firm,$A560)&amp;"")</f>
        <v/>
      </c>
      <c r="D560" s="11" t="str">
        <f aca="false">IF($A560="","",INDEX(c_Type,$A560)&amp;"")</f>
        <v/>
      </c>
      <c r="E560" s="11" t="str">
        <f aca="false">IF($A560="","",INDEX(c_Email,$A560)&amp;"")</f>
        <v/>
      </c>
      <c r="F560" s="34" t="str">
        <f aca="false">IF($A560="","",INDEX(c_Met,$A560)&amp;"")</f>
        <v/>
      </c>
      <c r="G560" s="25" t="str">
        <f aca="false">IF($A560="","",IF(INDEX(c_Date,$A560)="","",INDEX(c_Date,$A560)))</f>
        <v/>
      </c>
      <c r="H560" s="33" t="str">
        <f aca="false">IF($A560="","",IF(INDEX(c_Days,$A560)="","",INDEX(c_Days,$A560)))</f>
        <v/>
      </c>
      <c r="I560" s="40" t="str">
        <f aca="false">IF($A560="","",IF(INDEX(c_Mtgs,$A560)="","",INDEX(c_Mtgs,$A560)))</f>
        <v/>
      </c>
      <c r="J560" s="11" t="str">
        <f aca="false">IF($A560="","",INDEX(c_EvtNames,$A560)&amp;"")</f>
        <v/>
      </c>
      <c r="K560" s="34" t="str">
        <f aca="false">IF($A560="","",INDEX(c_Invested,$A560)&amp;"")</f>
        <v/>
      </c>
      <c r="L560" s="12" t="str">
        <f aca="false">IF($A560="","",IF(INDEX(c_AUM,$A560)="","",INDEX(c_AUM,$A560)))</f>
        <v/>
      </c>
      <c r="M560" s="11" t="str">
        <f aca="false">IF($A560="","",INDEX(c_Source,$A560)&amp;"")</f>
        <v/>
      </c>
      <c r="N560" s="11" t="str">
        <f aca="false">IF($A560="","",INDEX(c_Notes,$A560)&amp;"")</f>
        <v/>
      </c>
    </row>
    <row r="561" customFormat="false" ht="15" hidden="false" customHeight="false" outlineLevel="0" collapsed="false">
      <c r="A561" s="32" t="str">
        <f aca="false">IFERROR(MATCH(ROW()-5,c_Seq,0),"")</f>
        <v/>
      </c>
      <c r="B561" s="15" t="str">
        <f aca="false">IF($A561="","",INDEX(c_Name,$A561)&amp;"")</f>
        <v/>
      </c>
      <c r="C561" s="15" t="str">
        <f aca="false">IF($A561="","",INDEX(c_Firm,$A561)&amp;"")</f>
        <v/>
      </c>
      <c r="D561" s="15" t="str">
        <f aca="false">IF($A561="","",INDEX(c_Type,$A561)&amp;"")</f>
        <v/>
      </c>
      <c r="E561" s="15" t="str">
        <f aca="false">IF($A561="","",INDEX(c_Email,$A561)&amp;"")</f>
        <v/>
      </c>
      <c r="F561" s="36" t="str">
        <f aca="false">IF($A561="","",INDEX(c_Met,$A561)&amp;"")</f>
        <v/>
      </c>
      <c r="G561" s="26" t="str">
        <f aca="false">IF($A561="","",IF(INDEX(c_Date,$A561)="","",INDEX(c_Date,$A561)))</f>
        <v/>
      </c>
      <c r="H561" s="35" t="str">
        <f aca="false">IF($A561="","",IF(INDEX(c_Days,$A561)="","",INDEX(c_Days,$A561)))</f>
        <v/>
      </c>
      <c r="I561" s="41" t="str">
        <f aca="false">IF($A561="","",IF(INDEX(c_Mtgs,$A561)="","",INDEX(c_Mtgs,$A561)))</f>
        <v/>
      </c>
      <c r="J561" s="15" t="str">
        <f aca="false">IF($A561="","",INDEX(c_EvtNames,$A561)&amp;"")</f>
        <v/>
      </c>
      <c r="K561" s="36" t="str">
        <f aca="false">IF($A561="","",INDEX(c_Invested,$A561)&amp;"")</f>
        <v/>
      </c>
      <c r="L561" s="16" t="str">
        <f aca="false">IF($A561="","",IF(INDEX(c_AUM,$A561)="","",INDEX(c_AUM,$A561)))</f>
        <v/>
      </c>
      <c r="M561" s="15" t="str">
        <f aca="false">IF($A561="","",INDEX(c_Source,$A561)&amp;"")</f>
        <v/>
      </c>
      <c r="N561" s="15" t="str">
        <f aca="false">IF($A561="","",INDEX(c_Notes,$A561)&amp;"")</f>
        <v/>
      </c>
    </row>
    <row r="562" customFormat="false" ht="15" hidden="false" customHeight="false" outlineLevel="0" collapsed="false">
      <c r="A562" s="32" t="str">
        <f aca="false">IFERROR(MATCH(ROW()-5,c_Seq,0),"")</f>
        <v/>
      </c>
      <c r="B562" s="11" t="str">
        <f aca="false">IF($A562="","",INDEX(c_Name,$A562)&amp;"")</f>
        <v/>
      </c>
      <c r="C562" s="11" t="str">
        <f aca="false">IF($A562="","",INDEX(c_Firm,$A562)&amp;"")</f>
        <v/>
      </c>
      <c r="D562" s="11" t="str">
        <f aca="false">IF($A562="","",INDEX(c_Type,$A562)&amp;"")</f>
        <v/>
      </c>
      <c r="E562" s="11" t="str">
        <f aca="false">IF($A562="","",INDEX(c_Email,$A562)&amp;"")</f>
        <v/>
      </c>
      <c r="F562" s="34" t="str">
        <f aca="false">IF($A562="","",INDEX(c_Met,$A562)&amp;"")</f>
        <v/>
      </c>
      <c r="G562" s="25" t="str">
        <f aca="false">IF($A562="","",IF(INDEX(c_Date,$A562)="","",INDEX(c_Date,$A562)))</f>
        <v/>
      </c>
      <c r="H562" s="33" t="str">
        <f aca="false">IF($A562="","",IF(INDEX(c_Days,$A562)="","",INDEX(c_Days,$A562)))</f>
        <v/>
      </c>
      <c r="I562" s="40" t="str">
        <f aca="false">IF($A562="","",IF(INDEX(c_Mtgs,$A562)="","",INDEX(c_Mtgs,$A562)))</f>
        <v/>
      </c>
      <c r="J562" s="11" t="str">
        <f aca="false">IF($A562="","",INDEX(c_EvtNames,$A562)&amp;"")</f>
        <v/>
      </c>
      <c r="K562" s="34" t="str">
        <f aca="false">IF($A562="","",INDEX(c_Invested,$A562)&amp;"")</f>
        <v/>
      </c>
      <c r="L562" s="12" t="str">
        <f aca="false">IF($A562="","",IF(INDEX(c_AUM,$A562)="","",INDEX(c_AUM,$A562)))</f>
        <v/>
      </c>
      <c r="M562" s="11" t="str">
        <f aca="false">IF($A562="","",INDEX(c_Source,$A562)&amp;"")</f>
        <v/>
      </c>
      <c r="N562" s="11" t="str">
        <f aca="false">IF($A562="","",INDEX(c_Notes,$A562)&amp;"")</f>
        <v/>
      </c>
    </row>
    <row r="563" customFormat="false" ht="15" hidden="false" customHeight="false" outlineLevel="0" collapsed="false">
      <c r="A563" s="32" t="str">
        <f aca="false">IFERROR(MATCH(ROW()-5,c_Seq,0),"")</f>
        <v/>
      </c>
      <c r="B563" s="15" t="str">
        <f aca="false">IF($A563="","",INDEX(c_Name,$A563)&amp;"")</f>
        <v/>
      </c>
      <c r="C563" s="15" t="str">
        <f aca="false">IF($A563="","",INDEX(c_Firm,$A563)&amp;"")</f>
        <v/>
      </c>
      <c r="D563" s="15" t="str">
        <f aca="false">IF($A563="","",INDEX(c_Type,$A563)&amp;"")</f>
        <v/>
      </c>
      <c r="E563" s="15" t="str">
        <f aca="false">IF($A563="","",INDEX(c_Email,$A563)&amp;"")</f>
        <v/>
      </c>
      <c r="F563" s="36" t="str">
        <f aca="false">IF($A563="","",INDEX(c_Met,$A563)&amp;"")</f>
        <v/>
      </c>
      <c r="G563" s="26" t="str">
        <f aca="false">IF($A563="","",IF(INDEX(c_Date,$A563)="","",INDEX(c_Date,$A563)))</f>
        <v/>
      </c>
      <c r="H563" s="35" t="str">
        <f aca="false">IF($A563="","",IF(INDEX(c_Days,$A563)="","",INDEX(c_Days,$A563)))</f>
        <v/>
      </c>
      <c r="I563" s="41" t="str">
        <f aca="false">IF($A563="","",IF(INDEX(c_Mtgs,$A563)="","",INDEX(c_Mtgs,$A563)))</f>
        <v/>
      </c>
      <c r="J563" s="15" t="str">
        <f aca="false">IF($A563="","",INDEX(c_EvtNames,$A563)&amp;"")</f>
        <v/>
      </c>
      <c r="K563" s="36" t="str">
        <f aca="false">IF($A563="","",INDEX(c_Invested,$A563)&amp;"")</f>
        <v/>
      </c>
      <c r="L563" s="16" t="str">
        <f aca="false">IF($A563="","",IF(INDEX(c_AUM,$A563)="","",INDEX(c_AUM,$A563)))</f>
        <v/>
      </c>
      <c r="M563" s="15" t="str">
        <f aca="false">IF($A563="","",INDEX(c_Source,$A563)&amp;"")</f>
        <v/>
      </c>
      <c r="N563" s="15" t="str">
        <f aca="false">IF($A563="","",INDEX(c_Notes,$A563)&amp;"")</f>
        <v/>
      </c>
    </row>
    <row r="564" customFormat="false" ht="15" hidden="false" customHeight="false" outlineLevel="0" collapsed="false">
      <c r="A564" s="32" t="str">
        <f aca="false">IFERROR(MATCH(ROW()-5,c_Seq,0),"")</f>
        <v/>
      </c>
      <c r="B564" s="11" t="str">
        <f aca="false">IF($A564="","",INDEX(c_Name,$A564)&amp;"")</f>
        <v/>
      </c>
      <c r="C564" s="11" t="str">
        <f aca="false">IF($A564="","",INDEX(c_Firm,$A564)&amp;"")</f>
        <v/>
      </c>
      <c r="D564" s="11" t="str">
        <f aca="false">IF($A564="","",INDEX(c_Type,$A564)&amp;"")</f>
        <v/>
      </c>
      <c r="E564" s="11" t="str">
        <f aca="false">IF($A564="","",INDEX(c_Email,$A564)&amp;"")</f>
        <v/>
      </c>
      <c r="F564" s="34" t="str">
        <f aca="false">IF($A564="","",INDEX(c_Met,$A564)&amp;"")</f>
        <v/>
      </c>
      <c r="G564" s="25" t="str">
        <f aca="false">IF($A564="","",IF(INDEX(c_Date,$A564)="","",INDEX(c_Date,$A564)))</f>
        <v/>
      </c>
      <c r="H564" s="33" t="str">
        <f aca="false">IF($A564="","",IF(INDEX(c_Days,$A564)="","",INDEX(c_Days,$A564)))</f>
        <v/>
      </c>
      <c r="I564" s="40" t="str">
        <f aca="false">IF($A564="","",IF(INDEX(c_Mtgs,$A564)="","",INDEX(c_Mtgs,$A564)))</f>
        <v/>
      </c>
      <c r="J564" s="11" t="str">
        <f aca="false">IF($A564="","",INDEX(c_EvtNames,$A564)&amp;"")</f>
        <v/>
      </c>
      <c r="K564" s="34" t="str">
        <f aca="false">IF($A564="","",INDEX(c_Invested,$A564)&amp;"")</f>
        <v/>
      </c>
      <c r="L564" s="12" t="str">
        <f aca="false">IF($A564="","",IF(INDEX(c_AUM,$A564)="","",INDEX(c_AUM,$A564)))</f>
        <v/>
      </c>
      <c r="M564" s="11" t="str">
        <f aca="false">IF($A564="","",INDEX(c_Source,$A564)&amp;"")</f>
        <v/>
      </c>
      <c r="N564" s="11" t="str">
        <f aca="false">IF($A564="","",INDEX(c_Notes,$A564)&amp;"")</f>
        <v/>
      </c>
    </row>
    <row r="565" customFormat="false" ht="15" hidden="false" customHeight="false" outlineLevel="0" collapsed="false">
      <c r="A565" s="32" t="str">
        <f aca="false">IFERROR(MATCH(ROW()-5,c_Seq,0),"")</f>
        <v/>
      </c>
      <c r="B565" s="15" t="str">
        <f aca="false">IF($A565="","",INDEX(c_Name,$A565)&amp;"")</f>
        <v/>
      </c>
      <c r="C565" s="15" t="str">
        <f aca="false">IF($A565="","",INDEX(c_Firm,$A565)&amp;"")</f>
        <v/>
      </c>
      <c r="D565" s="15" t="str">
        <f aca="false">IF($A565="","",INDEX(c_Type,$A565)&amp;"")</f>
        <v/>
      </c>
      <c r="E565" s="15" t="str">
        <f aca="false">IF($A565="","",INDEX(c_Email,$A565)&amp;"")</f>
        <v/>
      </c>
      <c r="F565" s="36" t="str">
        <f aca="false">IF($A565="","",INDEX(c_Met,$A565)&amp;"")</f>
        <v/>
      </c>
      <c r="G565" s="26" t="str">
        <f aca="false">IF($A565="","",IF(INDEX(c_Date,$A565)="","",INDEX(c_Date,$A565)))</f>
        <v/>
      </c>
      <c r="H565" s="35" t="str">
        <f aca="false">IF($A565="","",IF(INDEX(c_Days,$A565)="","",INDEX(c_Days,$A565)))</f>
        <v/>
      </c>
      <c r="I565" s="41" t="str">
        <f aca="false">IF($A565="","",IF(INDEX(c_Mtgs,$A565)="","",INDEX(c_Mtgs,$A565)))</f>
        <v/>
      </c>
      <c r="J565" s="15" t="str">
        <f aca="false">IF($A565="","",INDEX(c_EvtNames,$A565)&amp;"")</f>
        <v/>
      </c>
      <c r="K565" s="36" t="str">
        <f aca="false">IF($A565="","",INDEX(c_Invested,$A565)&amp;"")</f>
        <v/>
      </c>
      <c r="L565" s="16" t="str">
        <f aca="false">IF($A565="","",IF(INDEX(c_AUM,$A565)="","",INDEX(c_AUM,$A565)))</f>
        <v/>
      </c>
      <c r="M565" s="15" t="str">
        <f aca="false">IF($A565="","",INDEX(c_Source,$A565)&amp;"")</f>
        <v/>
      </c>
      <c r="N565" s="15" t="str">
        <f aca="false">IF($A565="","",INDEX(c_Notes,$A565)&amp;"")</f>
        <v/>
      </c>
    </row>
    <row r="566" customFormat="false" ht="15" hidden="false" customHeight="false" outlineLevel="0" collapsed="false">
      <c r="A566" s="32" t="str">
        <f aca="false">IFERROR(MATCH(ROW()-5,c_Seq,0),"")</f>
        <v/>
      </c>
      <c r="B566" s="11" t="str">
        <f aca="false">IF($A566="","",INDEX(c_Name,$A566)&amp;"")</f>
        <v/>
      </c>
      <c r="C566" s="11" t="str">
        <f aca="false">IF($A566="","",INDEX(c_Firm,$A566)&amp;"")</f>
        <v/>
      </c>
      <c r="D566" s="11" t="str">
        <f aca="false">IF($A566="","",INDEX(c_Type,$A566)&amp;"")</f>
        <v/>
      </c>
      <c r="E566" s="11" t="str">
        <f aca="false">IF($A566="","",INDEX(c_Email,$A566)&amp;"")</f>
        <v/>
      </c>
      <c r="F566" s="34" t="str">
        <f aca="false">IF($A566="","",INDEX(c_Met,$A566)&amp;"")</f>
        <v/>
      </c>
      <c r="G566" s="25" t="str">
        <f aca="false">IF($A566="","",IF(INDEX(c_Date,$A566)="","",INDEX(c_Date,$A566)))</f>
        <v/>
      </c>
      <c r="H566" s="33" t="str">
        <f aca="false">IF($A566="","",IF(INDEX(c_Days,$A566)="","",INDEX(c_Days,$A566)))</f>
        <v/>
      </c>
      <c r="I566" s="40" t="str">
        <f aca="false">IF($A566="","",IF(INDEX(c_Mtgs,$A566)="","",INDEX(c_Mtgs,$A566)))</f>
        <v/>
      </c>
      <c r="J566" s="11" t="str">
        <f aca="false">IF($A566="","",INDEX(c_EvtNames,$A566)&amp;"")</f>
        <v/>
      </c>
      <c r="K566" s="34" t="str">
        <f aca="false">IF($A566="","",INDEX(c_Invested,$A566)&amp;"")</f>
        <v/>
      </c>
      <c r="L566" s="12" t="str">
        <f aca="false">IF($A566="","",IF(INDEX(c_AUM,$A566)="","",INDEX(c_AUM,$A566)))</f>
        <v/>
      </c>
      <c r="M566" s="11" t="str">
        <f aca="false">IF($A566="","",INDEX(c_Source,$A566)&amp;"")</f>
        <v/>
      </c>
      <c r="N566" s="11" t="str">
        <f aca="false">IF($A566="","",INDEX(c_Notes,$A566)&amp;"")</f>
        <v/>
      </c>
    </row>
    <row r="567" customFormat="false" ht="15" hidden="false" customHeight="false" outlineLevel="0" collapsed="false">
      <c r="A567" s="32" t="str">
        <f aca="false">IFERROR(MATCH(ROW()-5,c_Seq,0),"")</f>
        <v/>
      </c>
      <c r="B567" s="15" t="str">
        <f aca="false">IF($A567="","",INDEX(c_Name,$A567)&amp;"")</f>
        <v/>
      </c>
      <c r="C567" s="15" t="str">
        <f aca="false">IF($A567="","",INDEX(c_Firm,$A567)&amp;"")</f>
        <v/>
      </c>
      <c r="D567" s="15" t="str">
        <f aca="false">IF($A567="","",INDEX(c_Type,$A567)&amp;"")</f>
        <v/>
      </c>
      <c r="E567" s="15" t="str">
        <f aca="false">IF($A567="","",INDEX(c_Email,$A567)&amp;"")</f>
        <v/>
      </c>
      <c r="F567" s="36" t="str">
        <f aca="false">IF($A567="","",INDEX(c_Met,$A567)&amp;"")</f>
        <v/>
      </c>
      <c r="G567" s="26" t="str">
        <f aca="false">IF($A567="","",IF(INDEX(c_Date,$A567)="","",INDEX(c_Date,$A567)))</f>
        <v/>
      </c>
      <c r="H567" s="35" t="str">
        <f aca="false">IF($A567="","",IF(INDEX(c_Days,$A567)="","",INDEX(c_Days,$A567)))</f>
        <v/>
      </c>
      <c r="I567" s="41" t="str">
        <f aca="false">IF($A567="","",IF(INDEX(c_Mtgs,$A567)="","",INDEX(c_Mtgs,$A567)))</f>
        <v/>
      </c>
      <c r="J567" s="15" t="str">
        <f aca="false">IF($A567="","",INDEX(c_EvtNames,$A567)&amp;"")</f>
        <v/>
      </c>
      <c r="K567" s="36" t="str">
        <f aca="false">IF($A567="","",INDEX(c_Invested,$A567)&amp;"")</f>
        <v/>
      </c>
      <c r="L567" s="16" t="str">
        <f aca="false">IF($A567="","",IF(INDEX(c_AUM,$A567)="","",INDEX(c_AUM,$A567)))</f>
        <v/>
      </c>
      <c r="M567" s="15" t="str">
        <f aca="false">IF($A567="","",INDEX(c_Source,$A567)&amp;"")</f>
        <v/>
      </c>
      <c r="N567" s="15" t="str">
        <f aca="false">IF($A567="","",INDEX(c_Notes,$A567)&amp;"")</f>
        <v/>
      </c>
    </row>
    <row r="568" customFormat="false" ht="15" hidden="false" customHeight="false" outlineLevel="0" collapsed="false">
      <c r="A568" s="32" t="str">
        <f aca="false">IFERROR(MATCH(ROW()-5,c_Seq,0),"")</f>
        <v/>
      </c>
      <c r="B568" s="11" t="str">
        <f aca="false">IF($A568="","",INDEX(c_Name,$A568)&amp;"")</f>
        <v/>
      </c>
      <c r="C568" s="11" t="str">
        <f aca="false">IF($A568="","",INDEX(c_Firm,$A568)&amp;"")</f>
        <v/>
      </c>
      <c r="D568" s="11" t="str">
        <f aca="false">IF($A568="","",INDEX(c_Type,$A568)&amp;"")</f>
        <v/>
      </c>
      <c r="E568" s="11" t="str">
        <f aca="false">IF($A568="","",INDEX(c_Email,$A568)&amp;"")</f>
        <v/>
      </c>
      <c r="F568" s="34" t="str">
        <f aca="false">IF($A568="","",INDEX(c_Met,$A568)&amp;"")</f>
        <v/>
      </c>
      <c r="G568" s="25" t="str">
        <f aca="false">IF($A568="","",IF(INDEX(c_Date,$A568)="","",INDEX(c_Date,$A568)))</f>
        <v/>
      </c>
      <c r="H568" s="33" t="str">
        <f aca="false">IF($A568="","",IF(INDEX(c_Days,$A568)="","",INDEX(c_Days,$A568)))</f>
        <v/>
      </c>
      <c r="I568" s="40" t="str">
        <f aca="false">IF($A568="","",IF(INDEX(c_Mtgs,$A568)="","",INDEX(c_Mtgs,$A568)))</f>
        <v/>
      </c>
      <c r="J568" s="11" t="str">
        <f aca="false">IF($A568="","",INDEX(c_EvtNames,$A568)&amp;"")</f>
        <v/>
      </c>
      <c r="K568" s="34" t="str">
        <f aca="false">IF($A568="","",INDEX(c_Invested,$A568)&amp;"")</f>
        <v/>
      </c>
      <c r="L568" s="12" t="str">
        <f aca="false">IF($A568="","",IF(INDEX(c_AUM,$A568)="","",INDEX(c_AUM,$A568)))</f>
        <v/>
      </c>
      <c r="M568" s="11" t="str">
        <f aca="false">IF($A568="","",INDEX(c_Source,$A568)&amp;"")</f>
        <v/>
      </c>
      <c r="N568" s="11" t="str">
        <f aca="false">IF($A568="","",INDEX(c_Notes,$A568)&amp;"")</f>
        <v/>
      </c>
    </row>
    <row r="569" customFormat="false" ht="15" hidden="false" customHeight="false" outlineLevel="0" collapsed="false">
      <c r="A569" s="32" t="str">
        <f aca="false">IFERROR(MATCH(ROW()-5,c_Seq,0),"")</f>
        <v/>
      </c>
      <c r="B569" s="15" t="str">
        <f aca="false">IF($A569="","",INDEX(c_Name,$A569)&amp;"")</f>
        <v/>
      </c>
      <c r="C569" s="15" t="str">
        <f aca="false">IF($A569="","",INDEX(c_Firm,$A569)&amp;"")</f>
        <v/>
      </c>
      <c r="D569" s="15" t="str">
        <f aca="false">IF($A569="","",INDEX(c_Type,$A569)&amp;"")</f>
        <v/>
      </c>
      <c r="E569" s="15" t="str">
        <f aca="false">IF($A569="","",INDEX(c_Email,$A569)&amp;"")</f>
        <v/>
      </c>
      <c r="F569" s="36" t="str">
        <f aca="false">IF($A569="","",INDEX(c_Met,$A569)&amp;"")</f>
        <v/>
      </c>
      <c r="G569" s="26" t="str">
        <f aca="false">IF($A569="","",IF(INDEX(c_Date,$A569)="","",INDEX(c_Date,$A569)))</f>
        <v/>
      </c>
      <c r="H569" s="35" t="str">
        <f aca="false">IF($A569="","",IF(INDEX(c_Days,$A569)="","",INDEX(c_Days,$A569)))</f>
        <v/>
      </c>
      <c r="I569" s="41" t="str">
        <f aca="false">IF($A569="","",IF(INDEX(c_Mtgs,$A569)="","",INDEX(c_Mtgs,$A569)))</f>
        <v/>
      </c>
      <c r="J569" s="15" t="str">
        <f aca="false">IF($A569="","",INDEX(c_EvtNames,$A569)&amp;"")</f>
        <v/>
      </c>
      <c r="K569" s="36" t="str">
        <f aca="false">IF($A569="","",INDEX(c_Invested,$A569)&amp;"")</f>
        <v/>
      </c>
      <c r="L569" s="16" t="str">
        <f aca="false">IF($A569="","",IF(INDEX(c_AUM,$A569)="","",INDEX(c_AUM,$A569)))</f>
        <v/>
      </c>
      <c r="M569" s="15" t="str">
        <f aca="false">IF($A569="","",INDEX(c_Source,$A569)&amp;"")</f>
        <v/>
      </c>
      <c r="N569" s="15" t="str">
        <f aca="false">IF($A569="","",INDEX(c_Notes,$A569)&amp;"")</f>
        <v/>
      </c>
    </row>
    <row r="570" customFormat="false" ht="15" hidden="false" customHeight="false" outlineLevel="0" collapsed="false">
      <c r="A570" s="32" t="str">
        <f aca="false">IFERROR(MATCH(ROW()-5,c_Seq,0),"")</f>
        <v/>
      </c>
      <c r="B570" s="11" t="str">
        <f aca="false">IF($A570="","",INDEX(c_Name,$A570)&amp;"")</f>
        <v/>
      </c>
      <c r="C570" s="11" t="str">
        <f aca="false">IF($A570="","",INDEX(c_Firm,$A570)&amp;"")</f>
        <v/>
      </c>
      <c r="D570" s="11" t="str">
        <f aca="false">IF($A570="","",INDEX(c_Type,$A570)&amp;"")</f>
        <v/>
      </c>
      <c r="E570" s="11" t="str">
        <f aca="false">IF($A570="","",INDEX(c_Email,$A570)&amp;"")</f>
        <v/>
      </c>
      <c r="F570" s="34" t="str">
        <f aca="false">IF($A570="","",INDEX(c_Met,$A570)&amp;"")</f>
        <v/>
      </c>
      <c r="G570" s="25" t="str">
        <f aca="false">IF($A570="","",IF(INDEX(c_Date,$A570)="","",INDEX(c_Date,$A570)))</f>
        <v/>
      </c>
      <c r="H570" s="33" t="str">
        <f aca="false">IF($A570="","",IF(INDEX(c_Days,$A570)="","",INDEX(c_Days,$A570)))</f>
        <v/>
      </c>
      <c r="I570" s="40" t="str">
        <f aca="false">IF($A570="","",IF(INDEX(c_Mtgs,$A570)="","",INDEX(c_Mtgs,$A570)))</f>
        <v/>
      </c>
      <c r="J570" s="11" t="str">
        <f aca="false">IF($A570="","",INDEX(c_EvtNames,$A570)&amp;"")</f>
        <v/>
      </c>
      <c r="K570" s="34" t="str">
        <f aca="false">IF($A570="","",INDEX(c_Invested,$A570)&amp;"")</f>
        <v/>
      </c>
      <c r="L570" s="12" t="str">
        <f aca="false">IF($A570="","",IF(INDEX(c_AUM,$A570)="","",INDEX(c_AUM,$A570)))</f>
        <v/>
      </c>
      <c r="M570" s="11" t="str">
        <f aca="false">IF($A570="","",INDEX(c_Source,$A570)&amp;"")</f>
        <v/>
      </c>
      <c r="N570" s="11" t="str">
        <f aca="false">IF($A570="","",INDEX(c_Notes,$A570)&amp;"")</f>
        <v/>
      </c>
    </row>
    <row r="571" customFormat="false" ht="15" hidden="false" customHeight="false" outlineLevel="0" collapsed="false">
      <c r="A571" s="32" t="str">
        <f aca="false">IFERROR(MATCH(ROW()-5,c_Seq,0),"")</f>
        <v/>
      </c>
      <c r="B571" s="15" t="str">
        <f aca="false">IF($A571="","",INDEX(c_Name,$A571)&amp;"")</f>
        <v/>
      </c>
      <c r="C571" s="15" t="str">
        <f aca="false">IF($A571="","",INDEX(c_Firm,$A571)&amp;"")</f>
        <v/>
      </c>
      <c r="D571" s="15" t="str">
        <f aca="false">IF($A571="","",INDEX(c_Type,$A571)&amp;"")</f>
        <v/>
      </c>
      <c r="E571" s="15" t="str">
        <f aca="false">IF($A571="","",INDEX(c_Email,$A571)&amp;"")</f>
        <v/>
      </c>
      <c r="F571" s="36" t="str">
        <f aca="false">IF($A571="","",INDEX(c_Met,$A571)&amp;"")</f>
        <v/>
      </c>
      <c r="G571" s="26" t="str">
        <f aca="false">IF($A571="","",IF(INDEX(c_Date,$A571)="","",INDEX(c_Date,$A571)))</f>
        <v/>
      </c>
      <c r="H571" s="35" t="str">
        <f aca="false">IF($A571="","",IF(INDEX(c_Days,$A571)="","",INDEX(c_Days,$A571)))</f>
        <v/>
      </c>
      <c r="I571" s="41" t="str">
        <f aca="false">IF($A571="","",IF(INDEX(c_Mtgs,$A571)="","",INDEX(c_Mtgs,$A571)))</f>
        <v/>
      </c>
      <c r="J571" s="15" t="str">
        <f aca="false">IF($A571="","",INDEX(c_EvtNames,$A571)&amp;"")</f>
        <v/>
      </c>
      <c r="K571" s="36" t="str">
        <f aca="false">IF($A571="","",INDEX(c_Invested,$A571)&amp;"")</f>
        <v/>
      </c>
      <c r="L571" s="16" t="str">
        <f aca="false">IF($A571="","",IF(INDEX(c_AUM,$A571)="","",INDEX(c_AUM,$A571)))</f>
        <v/>
      </c>
      <c r="M571" s="15" t="str">
        <f aca="false">IF($A571="","",INDEX(c_Source,$A571)&amp;"")</f>
        <v/>
      </c>
      <c r="N571" s="15" t="str">
        <f aca="false">IF($A571="","",INDEX(c_Notes,$A571)&amp;"")</f>
        <v/>
      </c>
    </row>
    <row r="572" customFormat="false" ht="15" hidden="false" customHeight="false" outlineLevel="0" collapsed="false">
      <c r="A572" s="32" t="str">
        <f aca="false">IFERROR(MATCH(ROW()-5,c_Seq,0),"")</f>
        <v/>
      </c>
      <c r="B572" s="11" t="str">
        <f aca="false">IF($A572="","",INDEX(c_Name,$A572)&amp;"")</f>
        <v/>
      </c>
      <c r="C572" s="11" t="str">
        <f aca="false">IF($A572="","",INDEX(c_Firm,$A572)&amp;"")</f>
        <v/>
      </c>
      <c r="D572" s="11" t="str">
        <f aca="false">IF($A572="","",INDEX(c_Type,$A572)&amp;"")</f>
        <v/>
      </c>
      <c r="E572" s="11" t="str">
        <f aca="false">IF($A572="","",INDEX(c_Email,$A572)&amp;"")</f>
        <v/>
      </c>
      <c r="F572" s="34" t="str">
        <f aca="false">IF($A572="","",INDEX(c_Met,$A572)&amp;"")</f>
        <v/>
      </c>
      <c r="G572" s="25" t="str">
        <f aca="false">IF($A572="","",IF(INDEX(c_Date,$A572)="","",INDEX(c_Date,$A572)))</f>
        <v/>
      </c>
      <c r="H572" s="33" t="str">
        <f aca="false">IF($A572="","",IF(INDEX(c_Days,$A572)="","",INDEX(c_Days,$A572)))</f>
        <v/>
      </c>
      <c r="I572" s="40" t="str">
        <f aca="false">IF($A572="","",IF(INDEX(c_Mtgs,$A572)="","",INDEX(c_Mtgs,$A572)))</f>
        <v/>
      </c>
      <c r="J572" s="11" t="str">
        <f aca="false">IF($A572="","",INDEX(c_EvtNames,$A572)&amp;"")</f>
        <v/>
      </c>
      <c r="K572" s="34" t="str">
        <f aca="false">IF($A572="","",INDEX(c_Invested,$A572)&amp;"")</f>
        <v/>
      </c>
      <c r="L572" s="12" t="str">
        <f aca="false">IF($A572="","",IF(INDEX(c_AUM,$A572)="","",INDEX(c_AUM,$A572)))</f>
        <v/>
      </c>
      <c r="M572" s="11" t="str">
        <f aca="false">IF($A572="","",INDEX(c_Source,$A572)&amp;"")</f>
        <v/>
      </c>
      <c r="N572" s="11" t="str">
        <f aca="false">IF($A572="","",INDEX(c_Notes,$A572)&amp;"")</f>
        <v/>
      </c>
    </row>
    <row r="573" customFormat="false" ht="15" hidden="false" customHeight="false" outlineLevel="0" collapsed="false">
      <c r="A573" s="32" t="str">
        <f aca="false">IFERROR(MATCH(ROW()-5,c_Seq,0),"")</f>
        <v/>
      </c>
      <c r="B573" s="15" t="str">
        <f aca="false">IF($A573="","",INDEX(c_Name,$A573)&amp;"")</f>
        <v/>
      </c>
      <c r="C573" s="15" t="str">
        <f aca="false">IF($A573="","",INDEX(c_Firm,$A573)&amp;"")</f>
        <v/>
      </c>
      <c r="D573" s="15" t="str">
        <f aca="false">IF($A573="","",INDEX(c_Type,$A573)&amp;"")</f>
        <v/>
      </c>
      <c r="E573" s="15" t="str">
        <f aca="false">IF($A573="","",INDEX(c_Email,$A573)&amp;"")</f>
        <v/>
      </c>
      <c r="F573" s="36" t="str">
        <f aca="false">IF($A573="","",INDEX(c_Met,$A573)&amp;"")</f>
        <v/>
      </c>
      <c r="G573" s="26" t="str">
        <f aca="false">IF($A573="","",IF(INDEX(c_Date,$A573)="","",INDEX(c_Date,$A573)))</f>
        <v/>
      </c>
      <c r="H573" s="35" t="str">
        <f aca="false">IF($A573="","",IF(INDEX(c_Days,$A573)="","",INDEX(c_Days,$A573)))</f>
        <v/>
      </c>
      <c r="I573" s="41" t="str">
        <f aca="false">IF($A573="","",IF(INDEX(c_Mtgs,$A573)="","",INDEX(c_Mtgs,$A573)))</f>
        <v/>
      </c>
      <c r="J573" s="15" t="str">
        <f aca="false">IF($A573="","",INDEX(c_EvtNames,$A573)&amp;"")</f>
        <v/>
      </c>
      <c r="K573" s="36" t="str">
        <f aca="false">IF($A573="","",INDEX(c_Invested,$A573)&amp;"")</f>
        <v/>
      </c>
      <c r="L573" s="16" t="str">
        <f aca="false">IF($A573="","",IF(INDEX(c_AUM,$A573)="","",INDEX(c_AUM,$A573)))</f>
        <v/>
      </c>
      <c r="M573" s="15" t="str">
        <f aca="false">IF($A573="","",INDEX(c_Source,$A573)&amp;"")</f>
        <v/>
      </c>
      <c r="N573" s="15" t="str">
        <f aca="false">IF($A573="","",INDEX(c_Notes,$A573)&amp;"")</f>
        <v/>
      </c>
    </row>
    <row r="574" customFormat="false" ht="15" hidden="false" customHeight="false" outlineLevel="0" collapsed="false">
      <c r="A574" s="32" t="str">
        <f aca="false">IFERROR(MATCH(ROW()-5,c_Seq,0),"")</f>
        <v/>
      </c>
      <c r="B574" s="11" t="str">
        <f aca="false">IF($A574="","",INDEX(c_Name,$A574)&amp;"")</f>
        <v/>
      </c>
      <c r="C574" s="11" t="str">
        <f aca="false">IF($A574="","",INDEX(c_Firm,$A574)&amp;"")</f>
        <v/>
      </c>
      <c r="D574" s="11" t="str">
        <f aca="false">IF($A574="","",INDEX(c_Type,$A574)&amp;"")</f>
        <v/>
      </c>
      <c r="E574" s="11" t="str">
        <f aca="false">IF($A574="","",INDEX(c_Email,$A574)&amp;"")</f>
        <v/>
      </c>
      <c r="F574" s="34" t="str">
        <f aca="false">IF($A574="","",INDEX(c_Met,$A574)&amp;"")</f>
        <v/>
      </c>
      <c r="G574" s="25" t="str">
        <f aca="false">IF($A574="","",IF(INDEX(c_Date,$A574)="","",INDEX(c_Date,$A574)))</f>
        <v/>
      </c>
      <c r="H574" s="33" t="str">
        <f aca="false">IF($A574="","",IF(INDEX(c_Days,$A574)="","",INDEX(c_Days,$A574)))</f>
        <v/>
      </c>
      <c r="I574" s="40" t="str">
        <f aca="false">IF($A574="","",IF(INDEX(c_Mtgs,$A574)="","",INDEX(c_Mtgs,$A574)))</f>
        <v/>
      </c>
      <c r="J574" s="11" t="str">
        <f aca="false">IF($A574="","",INDEX(c_EvtNames,$A574)&amp;"")</f>
        <v/>
      </c>
      <c r="K574" s="34" t="str">
        <f aca="false">IF($A574="","",INDEX(c_Invested,$A574)&amp;"")</f>
        <v/>
      </c>
      <c r="L574" s="12" t="str">
        <f aca="false">IF($A574="","",IF(INDEX(c_AUM,$A574)="","",INDEX(c_AUM,$A574)))</f>
        <v/>
      </c>
      <c r="M574" s="11" t="str">
        <f aca="false">IF($A574="","",INDEX(c_Source,$A574)&amp;"")</f>
        <v/>
      </c>
      <c r="N574" s="11" t="str">
        <f aca="false">IF($A574="","",INDEX(c_Notes,$A574)&amp;"")</f>
        <v/>
      </c>
    </row>
    <row r="575" customFormat="false" ht="15" hidden="false" customHeight="false" outlineLevel="0" collapsed="false">
      <c r="A575" s="32" t="str">
        <f aca="false">IFERROR(MATCH(ROW()-5,c_Seq,0),"")</f>
        <v/>
      </c>
      <c r="B575" s="15" t="str">
        <f aca="false">IF($A575="","",INDEX(c_Name,$A575)&amp;"")</f>
        <v/>
      </c>
      <c r="C575" s="15" t="str">
        <f aca="false">IF($A575="","",INDEX(c_Firm,$A575)&amp;"")</f>
        <v/>
      </c>
      <c r="D575" s="15" t="str">
        <f aca="false">IF($A575="","",INDEX(c_Type,$A575)&amp;"")</f>
        <v/>
      </c>
      <c r="E575" s="15" t="str">
        <f aca="false">IF($A575="","",INDEX(c_Email,$A575)&amp;"")</f>
        <v/>
      </c>
      <c r="F575" s="36" t="str">
        <f aca="false">IF($A575="","",INDEX(c_Met,$A575)&amp;"")</f>
        <v/>
      </c>
      <c r="G575" s="26" t="str">
        <f aca="false">IF($A575="","",IF(INDEX(c_Date,$A575)="","",INDEX(c_Date,$A575)))</f>
        <v/>
      </c>
      <c r="H575" s="35" t="str">
        <f aca="false">IF($A575="","",IF(INDEX(c_Days,$A575)="","",INDEX(c_Days,$A575)))</f>
        <v/>
      </c>
      <c r="I575" s="41" t="str">
        <f aca="false">IF($A575="","",IF(INDEX(c_Mtgs,$A575)="","",INDEX(c_Mtgs,$A575)))</f>
        <v/>
      </c>
      <c r="J575" s="15" t="str">
        <f aca="false">IF($A575="","",INDEX(c_EvtNames,$A575)&amp;"")</f>
        <v/>
      </c>
      <c r="K575" s="36" t="str">
        <f aca="false">IF($A575="","",INDEX(c_Invested,$A575)&amp;"")</f>
        <v/>
      </c>
      <c r="L575" s="16" t="str">
        <f aca="false">IF($A575="","",IF(INDEX(c_AUM,$A575)="","",INDEX(c_AUM,$A575)))</f>
        <v/>
      </c>
      <c r="M575" s="15" t="str">
        <f aca="false">IF($A575="","",INDEX(c_Source,$A575)&amp;"")</f>
        <v/>
      </c>
      <c r="N575" s="15" t="str">
        <f aca="false">IF($A575="","",INDEX(c_Notes,$A575)&amp;"")</f>
        <v/>
      </c>
    </row>
    <row r="576" customFormat="false" ht="15" hidden="false" customHeight="false" outlineLevel="0" collapsed="false">
      <c r="A576" s="32" t="str">
        <f aca="false">IFERROR(MATCH(ROW()-5,c_Seq,0),"")</f>
        <v/>
      </c>
      <c r="B576" s="11" t="str">
        <f aca="false">IF($A576="","",INDEX(c_Name,$A576)&amp;"")</f>
        <v/>
      </c>
      <c r="C576" s="11" t="str">
        <f aca="false">IF($A576="","",INDEX(c_Firm,$A576)&amp;"")</f>
        <v/>
      </c>
      <c r="D576" s="11" t="str">
        <f aca="false">IF($A576="","",INDEX(c_Type,$A576)&amp;"")</f>
        <v/>
      </c>
      <c r="E576" s="11" t="str">
        <f aca="false">IF($A576="","",INDEX(c_Email,$A576)&amp;"")</f>
        <v/>
      </c>
      <c r="F576" s="34" t="str">
        <f aca="false">IF($A576="","",INDEX(c_Met,$A576)&amp;"")</f>
        <v/>
      </c>
      <c r="G576" s="25" t="str">
        <f aca="false">IF($A576="","",IF(INDEX(c_Date,$A576)="","",INDEX(c_Date,$A576)))</f>
        <v/>
      </c>
      <c r="H576" s="33" t="str">
        <f aca="false">IF($A576="","",IF(INDEX(c_Days,$A576)="","",INDEX(c_Days,$A576)))</f>
        <v/>
      </c>
      <c r="I576" s="40" t="str">
        <f aca="false">IF($A576="","",IF(INDEX(c_Mtgs,$A576)="","",INDEX(c_Mtgs,$A576)))</f>
        <v/>
      </c>
      <c r="J576" s="11" t="str">
        <f aca="false">IF($A576="","",INDEX(c_EvtNames,$A576)&amp;"")</f>
        <v/>
      </c>
      <c r="K576" s="34" t="str">
        <f aca="false">IF($A576="","",INDEX(c_Invested,$A576)&amp;"")</f>
        <v/>
      </c>
      <c r="L576" s="12" t="str">
        <f aca="false">IF($A576="","",IF(INDEX(c_AUM,$A576)="","",INDEX(c_AUM,$A576)))</f>
        <v/>
      </c>
      <c r="M576" s="11" t="str">
        <f aca="false">IF($A576="","",INDEX(c_Source,$A576)&amp;"")</f>
        <v/>
      </c>
      <c r="N576" s="11" t="str">
        <f aca="false">IF($A576="","",INDEX(c_Notes,$A576)&amp;"")</f>
        <v/>
      </c>
    </row>
    <row r="577" customFormat="false" ht="15" hidden="false" customHeight="false" outlineLevel="0" collapsed="false">
      <c r="A577" s="32" t="str">
        <f aca="false">IFERROR(MATCH(ROW()-5,c_Seq,0),"")</f>
        <v/>
      </c>
      <c r="B577" s="15" t="str">
        <f aca="false">IF($A577="","",INDEX(c_Name,$A577)&amp;"")</f>
        <v/>
      </c>
      <c r="C577" s="15" t="str">
        <f aca="false">IF($A577="","",INDEX(c_Firm,$A577)&amp;"")</f>
        <v/>
      </c>
      <c r="D577" s="15" t="str">
        <f aca="false">IF($A577="","",INDEX(c_Type,$A577)&amp;"")</f>
        <v/>
      </c>
      <c r="E577" s="15" t="str">
        <f aca="false">IF($A577="","",INDEX(c_Email,$A577)&amp;"")</f>
        <v/>
      </c>
      <c r="F577" s="36" t="str">
        <f aca="false">IF($A577="","",INDEX(c_Met,$A577)&amp;"")</f>
        <v/>
      </c>
      <c r="G577" s="26" t="str">
        <f aca="false">IF($A577="","",IF(INDEX(c_Date,$A577)="","",INDEX(c_Date,$A577)))</f>
        <v/>
      </c>
      <c r="H577" s="35" t="str">
        <f aca="false">IF($A577="","",IF(INDEX(c_Days,$A577)="","",INDEX(c_Days,$A577)))</f>
        <v/>
      </c>
      <c r="I577" s="41" t="str">
        <f aca="false">IF($A577="","",IF(INDEX(c_Mtgs,$A577)="","",INDEX(c_Mtgs,$A577)))</f>
        <v/>
      </c>
      <c r="J577" s="15" t="str">
        <f aca="false">IF($A577="","",INDEX(c_EvtNames,$A577)&amp;"")</f>
        <v/>
      </c>
      <c r="K577" s="36" t="str">
        <f aca="false">IF($A577="","",INDEX(c_Invested,$A577)&amp;"")</f>
        <v/>
      </c>
      <c r="L577" s="16" t="str">
        <f aca="false">IF($A577="","",IF(INDEX(c_AUM,$A577)="","",INDEX(c_AUM,$A577)))</f>
        <v/>
      </c>
      <c r="M577" s="15" t="str">
        <f aca="false">IF($A577="","",INDEX(c_Source,$A577)&amp;"")</f>
        <v/>
      </c>
      <c r="N577" s="15" t="str">
        <f aca="false">IF($A577="","",INDEX(c_Notes,$A577)&amp;"")</f>
        <v/>
      </c>
    </row>
    <row r="578" customFormat="false" ht="15" hidden="false" customHeight="false" outlineLevel="0" collapsed="false">
      <c r="A578" s="32" t="str">
        <f aca="false">IFERROR(MATCH(ROW()-5,c_Seq,0),"")</f>
        <v/>
      </c>
      <c r="B578" s="11" t="str">
        <f aca="false">IF($A578="","",INDEX(c_Name,$A578)&amp;"")</f>
        <v/>
      </c>
      <c r="C578" s="11" t="str">
        <f aca="false">IF($A578="","",INDEX(c_Firm,$A578)&amp;"")</f>
        <v/>
      </c>
      <c r="D578" s="11" t="str">
        <f aca="false">IF($A578="","",INDEX(c_Type,$A578)&amp;"")</f>
        <v/>
      </c>
      <c r="E578" s="11" t="str">
        <f aca="false">IF($A578="","",INDEX(c_Email,$A578)&amp;"")</f>
        <v/>
      </c>
      <c r="F578" s="34" t="str">
        <f aca="false">IF($A578="","",INDEX(c_Met,$A578)&amp;"")</f>
        <v/>
      </c>
      <c r="G578" s="25" t="str">
        <f aca="false">IF($A578="","",IF(INDEX(c_Date,$A578)="","",INDEX(c_Date,$A578)))</f>
        <v/>
      </c>
      <c r="H578" s="33" t="str">
        <f aca="false">IF($A578="","",IF(INDEX(c_Days,$A578)="","",INDEX(c_Days,$A578)))</f>
        <v/>
      </c>
      <c r="I578" s="40" t="str">
        <f aca="false">IF($A578="","",IF(INDEX(c_Mtgs,$A578)="","",INDEX(c_Mtgs,$A578)))</f>
        <v/>
      </c>
      <c r="J578" s="11" t="str">
        <f aca="false">IF($A578="","",INDEX(c_EvtNames,$A578)&amp;"")</f>
        <v/>
      </c>
      <c r="K578" s="34" t="str">
        <f aca="false">IF($A578="","",INDEX(c_Invested,$A578)&amp;"")</f>
        <v/>
      </c>
      <c r="L578" s="12" t="str">
        <f aca="false">IF($A578="","",IF(INDEX(c_AUM,$A578)="","",INDEX(c_AUM,$A578)))</f>
        <v/>
      </c>
      <c r="M578" s="11" t="str">
        <f aca="false">IF($A578="","",INDEX(c_Source,$A578)&amp;"")</f>
        <v/>
      </c>
      <c r="N578" s="11" t="str">
        <f aca="false">IF($A578="","",INDEX(c_Notes,$A578)&amp;"")</f>
        <v/>
      </c>
    </row>
    <row r="579" customFormat="false" ht="15" hidden="false" customHeight="false" outlineLevel="0" collapsed="false">
      <c r="A579" s="32" t="str">
        <f aca="false">IFERROR(MATCH(ROW()-5,c_Seq,0),"")</f>
        <v/>
      </c>
      <c r="B579" s="15" t="str">
        <f aca="false">IF($A579="","",INDEX(c_Name,$A579)&amp;"")</f>
        <v/>
      </c>
      <c r="C579" s="15" t="str">
        <f aca="false">IF($A579="","",INDEX(c_Firm,$A579)&amp;"")</f>
        <v/>
      </c>
      <c r="D579" s="15" t="str">
        <f aca="false">IF($A579="","",INDEX(c_Type,$A579)&amp;"")</f>
        <v/>
      </c>
      <c r="E579" s="15" t="str">
        <f aca="false">IF($A579="","",INDEX(c_Email,$A579)&amp;"")</f>
        <v/>
      </c>
      <c r="F579" s="36" t="str">
        <f aca="false">IF($A579="","",INDEX(c_Met,$A579)&amp;"")</f>
        <v/>
      </c>
      <c r="G579" s="26" t="str">
        <f aca="false">IF($A579="","",IF(INDEX(c_Date,$A579)="","",INDEX(c_Date,$A579)))</f>
        <v/>
      </c>
      <c r="H579" s="35" t="str">
        <f aca="false">IF($A579="","",IF(INDEX(c_Days,$A579)="","",INDEX(c_Days,$A579)))</f>
        <v/>
      </c>
      <c r="I579" s="41" t="str">
        <f aca="false">IF($A579="","",IF(INDEX(c_Mtgs,$A579)="","",INDEX(c_Mtgs,$A579)))</f>
        <v/>
      </c>
      <c r="J579" s="15" t="str">
        <f aca="false">IF($A579="","",INDEX(c_EvtNames,$A579)&amp;"")</f>
        <v/>
      </c>
      <c r="K579" s="36" t="str">
        <f aca="false">IF($A579="","",INDEX(c_Invested,$A579)&amp;"")</f>
        <v/>
      </c>
      <c r="L579" s="16" t="str">
        <f aca="false">IF($A579="","",IF(INDEX(c_AUM,$A579)="","",INDEX(c_AUM,$A579)))</f>
        <v/>
      </c>
      <c r="M579" s="15" t="str">
        <f aca="false">IF($A579="","",INDEX(c_Source,$A579)&amp;"")</f>
        <v/>
      </c>
      <c r="N579" s="15" t="str">
        <f aca="false">IF($A579="","",INDEX(c_Notes,$A579)&amp;"")</f>
        <v/>
      </c>
    </row>
    <row r="580" customFormat="false" ht="15" hidden="false" customHeight="false" outlineLevel="0" collapsed="false">
      <c r="A580" s="32" t="str">
        <f aca="false">IFERROR(MATCH(ROW()-5,c_Seq,0),"")</f>
        <v/>
      </c>
      <c r="B580" s="11" t="str">
        <f aca="false">IF($A580="","",INDEX(c_Name,$A580)&amp;"")</f>
        <v/>
      </c>
      <c r="C580" s="11" t="str">
        <f aca="false">IF($A580="","",INDEX(c_Firm,$A580)&amp;"")</f>
        <v/>
      </c>
      <c r="D580" s="11" t="str">
        <f aca="false">IF($A580="","",INDEX(c_Type,$A580)&amp;"")</f>
        <v/>
      </c>
      <c r="E580" s="11" t="str">
        <f aca="false">IF($A580="","",INDEX(c_Email,$A580)&amp;"")</f>
        <v/>
      </c>
      <c r="F580" s="34" t="str">
        <f aca="false">IF($A580="","",INDEX(c_Met,$A580)&amp;"")</f>
        <v/>
      </c>
      <c r="G580" s="25" t="str">
        <f aca="false">IF($A580="","",IF(INDEX(c_Date,$A580)="","",INDEX(c_Date,$A580)))</f>
        <v/>
      </c>
      <c r="H580" s="33" t="str">
        <f aca="false">IF($A580="","",IF(INDEX(c_Days,$A580)="","",INDEX(c_Days,$A580)))</f>
        <v/>
      </c>
      <c r="I580" s="40" t="str">
        <f aca="false">IF($A580="","",IF(INDEX(c_Mtgs,$A580)="","",INDEX(c_Mtgs,$A580)))</f>
        <v/>
      </c>
      <c r="J580" s="11" t="str">
        <f aca="false">IF($A580="","",INDEX(c_EvtNames,$A580)&amp;"")</f>
        <v/>
      </c>
      <c r="K580" s="34" t="str">
        <f aca="false">IF($A580="","",INDEX(c_Invested,$A580)&amp;"")</f>
        <v/>
      </c>
      <c r="L580" s="12" t="str">
        <f aca="false">IF($A580="","",IF(INDEX(c_AUM,$A580)="","",INDEX(c_AUM,$A580)))</f>
        <v/>
      </c>
      <c r="M580" s="11" t="str">
        <f aca="false">IF($A580="","",INDEX(c_Source,$A580)&amp;"")</f>
        <v/>
      </c>
      <c r="N580" s="11" t="str">
        <f aca="false">IF($A580="","",INDEX(c_Notes,$A580)&amp;"")</f>
        <v/>
      </c>
    </row>
    <row r="581" customFormat="false" ht="15" hidden="false" customHeight="false" outlineLevel="0" collapsed="false">
      <c r="A581" s="32" t="str">
        <f aca="false">IFERROR(MATCH(ROW()-5,c_Seq,0),"")</f>
        <v/>
      </c>
      <c r="B581" s="15" t="str">
        <f aca="false">IF($A581="","",INDEX(c_Name,$A581)&amp;"")</f>
        <v/>
      </c>
      <c r="C581" s="15" t="str">
        <f aca="false">IF($A581="","",INDEX(c_Firm,$A581)&amp;"")</f>
        <v/>
      </c>
      <c r="D581" s="15" t="str">
        <f aca="false">IF($A581="","",INDEX(c_Type,$A581)&amp;"")</f>
        <v/>
      </c>
      <c r="E581" s="15" t="str">
        <f aca="false">IF($A581="","",INDEX(c_Email,$A581)&amp;"")</f>
        <v/>
      </c>
      <c r="F581" s="36" t="str">
        <f aca="false">IF($A581="","",INDEX(c_Met,$A581)&amp;"")</f>
        <v/>
      </c>
      <c r="G581" s="26" t="str">
        <f aca="false">IF($A581="","",IF(INDEX(c_Date,$A581)="","",INDEX(c_Date,$A581)))</f>
        <v/>
      </c>
      <c r="H581" s="35" t="str">
        <f aca="false">IF($A581="","",IF(INDEX(c_Days,$A581)="","",INDEX(c_Days,$A581)))</f>
        <v/>
      </c>
      <c r="I581" s="41" t="str">
        <f aca="false">IF($A581="","",IF(INDEX(c_Mtgs,$A581)="","",INDEX(c_Mtgs,$A581)))</f>
        <v/>
      </c>
      <c r="J581" s="15" t="str">
        <f aca="false">IF($A581="","",INDEX(c_EvtNames,$A581)&amp;"")</f>
        <v/>
      </c>
      <c r="K581" s="36" t="str">
        <f aca="false">IF($A581="","",INDEX(c_Invested,$A581)&amp;"")</f>
        <v/>
      </c>
      <c r="L581" s="16" t="str">
        <f aca="false">IF($A581="","",IF(INDEX(c_AUM,$A581)="","",INDEX(c_AUM,$A581)))</f>
        <v/>
      </c>
      <c r="M581" s="15" t="str">
        <f aca="false">IF($A581="","",INDEX(c_Source,$A581)&amp;"")</f>
        <v/>
      </c>
      <c r="N581" s="15" t="str">
        <f aca="false">IF($A581="","",INDEX(c_Notes,$A581)&amp;"")</f>
        <v/>
      </c>
    </row>
    <row r="582" customFormat="false" ht="15" hidden="false" customHeight="false" outlineLevel="0" collapsed="false">
      <c r="A582" s="32" t="str">
        <f aca="false">IFERROR(MATCH(ROW()-5,c_Seq,0),"")</f>
        <v/>
      </c>
      <c r="B582" s="11" t="str">
        <f aca="false">IF($A582="","",INDEX(c_Name,$A582)&amp;"")</f>
        <v/>
      </c>
      <c r="C582" s="11" t="str">
        <f aca="false">IF($A582="","",INDEX(c_Firm,$A582)&amp;"")</f>
        <v/>
      </c>
      <c r="D582" s="11" t="str">
        <f aca="false">IF($A582="","",INDEX(c_Type,$A582)&amp;"")</f>
        <v/>
      </c>
      <c r="E582" s="11" t="str">
        <f aca="false">IF($A582="","",INDEX(c_Email,$A582)&amp;"")</f>
        <v/>
      </c>
      <c r="F582" s="34" t="str">
        <f aca="false">IF($A582="","",INDEX(c_Met,$A582)&amp;"")</f>
        <v/>
      </c>
      <c r="G582" s="25" t="str">
        <f aca="false">IF($A582="","",IF(INDEX(c_Date,$A582)="","",INDEX(c_Date,$A582)))</f>
        <v/>
      </c>
      <c r="H582" s="33" t="str">
        <f aca="false">IF($A582="","",IF(INDEX(c_Days,$A582)="","",INDEX(c_Days,$A582)))</f>
        <v/>
      </c>
      <c r="I582" s="40" t="str">
        <f aca="false">IF($A582="","",IF(INDEX(c_Mtgs,$A582)="","",INDEX(c_Mtgs,$A582)))</f>
        <v/>
      </c>
      <c r="J582" s="11" t="str">
        <f aca="false">IF($A582="","",INDEX(c_EvtNames,$A582)&amp;"")</f>
        <v/>
      </c>
      <c r="K582" s="34" t="str">
        <f aca="false">IF($A582="","",INDEX(c_Invested,$A582)&amp;"")</f>
        <v/>
      </c>
      <c r="L582" s="12" t="str">
        <f aca="false">IF($A582="","",IF(INDEX(c_AUM,$A582)="","",INDEX(c_AUM,$A582)))</f>
        <v/>
      </c>
      <c r="M582" s="11" t="str">
        <f aca="false">IF($A582="","",INDEX(c_Source,$A582)&amp;"")</f>
        <v/>
      </c>
      <c r="N582" s="11" t="str">
        <f aca="false">IF($A582="","",INDEX(c_Notes,$A582)&amp;"")</f>
        <v/>
      </c>
    </row>
    <row r="583" customFormat="false" ht="15" hidden="false" customHeight="false" outlineLevel="0" collapsed="false">
      <c r="A583" s="32" t="str">
        <f aca="false">IFERROR(MATCH(ROW()-5,c_Seq,0),"")</f>
        <v/>
      </c>
      <c r="B583" s="15" t="str">
        <f aca="false">IF($A583="","",INDEX(c_Name,$A583)&amp;"")</f>
        <v/>
      </c>
      <c r="C583" s="15" t="str">
        <f aca="false">IF($A583="","",INDEX(c_Firm,$A583)&amp;"")</f>
        <v/>
      </c>
      <c r="D583" s="15" t="str">
        <f aca="false">IF($A583="","",INDEX(c_Type,$A583)&amp;"")</f>
        <v/>
      </c>
      <c r="E583" s="15" t="str">
        <f aca="false">IF($A583="","",INDEX(c_Email,$A583)&amp;"")</f>
        <v/>
      </c>
      <c r="F583" s="36" t="str">
        <f aca="false">IF($A583="","",INDEX(c_Met,$A583)&amp;"")</f>
        <v/>
      </c>
      <c r="G583" s="26" t="str">
        <f aca="false">IF($A583="","",IF(INDEX(c_Date,$A583)="","",INDEX(c_Date,$A583)))</f>
        <v/>
      </c>
      <c r="H583" s="35" t="str">
        <f aca="false">IF($A583="","",IF(INDEX(c_Days,$A583)="","",INDEX(c_Days,$A583)))</f>
        <v/>
      </c>
      <c r="I583" s="41" t="str">
        <f aca="false">IF($A583="","",IF(INDEX(c_Mtgs,$A583)="","",INDEX(c_Mtgs,$A583)))</f>
        <v/>
      </c>
      <c r="J583" s="15" t="str">
        <f aca="false">IF($A583="","",INDEX(c_EvtNames,$A583)&amp;"")</f>
        <v/>
      </c>
      <c r="K583" s="36" t="str">
        <f aca="false">IF($A583="","",INDEX(c_Invested,$A583)&amp;"")</f>
        <v/>
      </c>
      <c r="L583" s="16" t="str">
        <f aca="false">IF($A583="","",IF(INDEX(c_AUM,$A583)="","",INDEX(c_AUM,$A583)))</f>
        <v/>
      </c>
      <c r="M583" s="15" t="str">
        <f aca="false">IF($A583="","",INDEX(c_Source,$A583)&amp;"")</f>
        <v/>
      </c>
      <c r="N583" s="15" t="str">
        <f aca="false">IF($A583="","",INDEX(c_Notes,$A583)&amp;"")</f>
        <v/>
      </c>
    </row>
    <row r="584" customFormat="false" ht="15" hidden="false" customHeight="false" outlineLevel="0" collapsed="false">
      <c r="A584" s="32" t="str">
        <f aca="false">IFERROR(MATCH(ROW()-5,c_Seq,0),"")</f>
        <v/>
      </c>
      <c r="B584" s="11" t="str">
        <f aca="false">IF($A584="","",INDEX(c_Name,$A584)&amp;"")</f>
        <v/>
      </c>
      <c r="C584" s="11" t="str">
        <f aca="false">IF($A584="","",INDEX(c_Firm,$A584)&amp;"")</f>
        <v/>
      </c>
      <c r="D584" s="11" t="str">
        <f aca="false">IF($A584="","",INDEX(c_Type,$A584)&amp;"")</f>
        <v/>
      </c>
      <c r="E584" s="11" t="str">
        <f aca="false">IF($A584="","",INDEX(c_Email,$A584)&amp;"")</f>
        <v/>
      </c>
      <c r="F584" s="34" t="str">
        <f aca="false">IF($A584="","",INDEX(c_Met,$A584)&amp;"")</f>
        <v/>
      </c>
      <c r="G584" s="25" t="str">
        <f aca="false">IF($A584="","",IF(INDEX(c_Date,$A584)="","",INDEX(c_Date,$A584)))</f>
        <v/>
      </c>
      <c r="H584" s="33" t="str">
        <f aca="false">IF($A584="","",IF(INDEX(c_Days,$A584)="","",INDEX(c_Days,$A584)))</f>
        <v/>
      </c>
      <c r="I584" s="40" t="str">
        <f aca="false">IF($A584="","",IF(INDEX(c_Mtgs,$A584)="","",INDEX(c_Mtgs,$A584)))</f>
        <v/>
      </c>
      <c r="J584" s="11" t="str">
        <f aca="false">IF($A584="","",INDEX(c_EvtNames,$A584)&amp;"")</f>
        <v/>
      </c>
      <c r="K584" s="34" t="str">
        <f aca="false">IF($A584="","",INDEX(c_Invested,$A584)&amp;"")</f>
        <v/>
      </c>
      <c r="L584" s="12" t="str">
        <f aca="false">IF($A584="","",IF(INDEX(c_AUM,$A584)="","",INDEX(c_AUM,$A584)))</f>
        <v/>
      </c>
      <c r="M584" s="11" t="str">
        <f aca="false">IF($A584="","",INDEX(c_Source,$A584)&amp;"")</f>
        <v/>
      </c>
      <c r="N584" s="11" t="str">
        <f aca="false">IF($A584="","",INDEX(c_Notes,$A584)&amp;"")</f>
        <v/>
      </c>
    </row>
    <row r="585" customFormat="false" ht="15" hidden="false" customHeight="false" outlineLevel="0" collapsed="false">
      <c r="A585" s="32" t="str">
        <f aca="false">IFERROR(MATCH(ROW()-5,c_Seq,0),"")</f>
        <v/>
      </c>
      <c r="B585" s="15" t="str">
        <f aca="false">IF($A585="","",INDEX(c_Name,$A585)&amp;"")</f>
        <v/>
      </c>
      <c r="C585" s="15" t="str">
        <f aca="false">IF($A585="","",INDEX(c_Firm,$A585)&amp;"")</f>
        <v/>
      </c>
      <c r="D585" s="15" t="str">
        <f aca="false">IF($A585="","",INDEX(c_Type,$A585)&amp;"")</f>
        <v/>
      </c>
      <c r="E585" s="15" t="str">
        <f aca="false">IF($A585="","",INDEX(c_Email,$A585)&amp;"")</f>
        <v/>
      </c>
      <c r="F585" s="36" t="str">
        <f aca="false">IF($A585="","",INDEX(c_Met,$A585)&amp;"")</f>
        <v/>
      </c>
      <c r="G585" s="26" t="str">
        <f aca="false">IF($A585="","",IF(INDEX(c_Date,$A585)="","",INDEX(c_Date,$A585)))</f>
        <v/>
      </c>
      <c r="H585" s="35" t="str">
        <f aca="false">IF($A585="","",IF(INDEX(c_Days,$A585)="","",INDEX(c_Days,$A585)))</f>
        <v/>
      </c>
      <c r="I585" s="41" t="str">
        <f aca="false">IF($A585="","",IF(INDEX(c_Mtgs,$A585)="","",INDEX(c_Mtgs,$A585)))</f>
        <v/>
      </c>
      <c r="J585" s="15" t="str">
        <f aca="false">IF($A585="","",INDEX(c_EvtNames,$A585)&amp;"")</f>
        <v/>
      </c>
      <c r="K585" s="36" t="str">
        <f aca="false">IF($A585="","",INDEX(c_Invested,$A585)&amp;"")</f>
        <v/>
      </c>
      <c r="L585" s="16" t="str">
        <f aca="false">IF($A585="","",IF(INDEX(c_AUM,$A585)="","",INDEX(c_AUM,$A585)))</f>
        <v/>
      </c>
      <c r="M585" s="15" t="str">
        <f aca="false">IF($A585="","",INDEX(c_Source,$A585)&amp;"")</f>
        <v/>
      </c>
      <c r="N585" s="15" t="str">
        <f aca="false">IF($A585="","",INDEX(c_Notes,$A585)&amp;"")</f>
        <v/>
      </c>
    </row>
    <row r="586" customFormat="false" ht="15" hidden="false" customHeight="false" outlineLevel="0" collapsed="false">
      <c r="A586" s="32" t="str">
        <f aca="false">IFERROR(MATCH(ROW()-5,c_Seq,0),"")</f>
        <v/>
      </c>
      <c r="B586" s="11" t="str">
        <f aca="false">IF($A586="","",INDEX(c_Name,$A586)&amp;"")</f>
        <v/>
      </c>
      <c r="C586" s="11" t="str">
        <f aca="false">IF($A586="","",INDEX(c_Firm,$A586)&amp;"")</f>
        <v/>
      </c>
      <c r="D586" s="11" t="str">
        <f aca="false">IF($A586="","",INDEX(c_Type,$A586)&amp;"")</f>
        <v/>
      </c>
      <c r="E586" s="11" t="str">
        <f aca="false">IF($A586="","",INDEX(c_Email,$A586)&amp;"")</f>
        <v/>
      </c>
      <c r="F586" s="34" t="str">
        <f aca="false">IF($A586="","",INDEX(c_Met,$A586)&amp;"")</f>
        <v/>
      </c>
      <c r="G586" s="25" t="str">
        <f aca="false">IF($A586="","",IF(INDEX(c_Date,$A586)="","",INDEX(c_Date,$A586)))</f>
        <v/>
      </c>
      <c r="H586" s="33" t="str">
        <f aca="false">IF($A586="","",IF(INDEX(c_Days,$A586)="","",INDEX(c_Days,$A586)))</f>
        <v/>
      </c>
      <c r="I586" s="40" t="str">
        <f aca="false">IF($A586="","",IF(INDEX(c_Mtgs,$A586)="","",INDEX(c_Mtgs,$A586)))</f>
        <v/>
      </c>
      <c r="J586" s="11" t="str">
        <f aca="false">IF($A586="","",INDEX(c_EvtNames,$A586)&amp;"")</f>
        <v/>
      </c>
      <c r="K586" s="34" t="str">
        <f aca="false">IF($A586="","",INDEX(c_Invested,$A586)&amp;"")</f>
        <v/>
      </c>
      <c r="L586" s="12" t="str">
        <f aca="false">IF($A586="","",IF(INDEX(c_AUM,$A586)="","",INDEX(c_AUM,$A586)))</f>
        <v/>
      </c>
      <c r="M586" s="11" t="str">
        <f aca="false">IF($A586="","",INDEX(c_Source,$A586)&amp;"")</f>
        <v/>
      </c>
      <c r="N586" s="11" t="str">
        <f aca="false">IF($A586="","",INDEX(c_Notes,$A586)&amp;"")</f>
        <v/>
      </c>
    </row>
    <row r="587" customFormat="false" ht="15" hidden="false" customHeight="false" outlineLevel="0" collapsed="false">
      <c r="A587" s="32" t="str">
        <f aca="false">IFERROR(MATCH(ROW()-5,c_Seq,0),"")</f>
        <v/>
      </c>
      <c r="B587" s="15" t="str">
        <f aca="false">IF($A587="","",INDEX(c_Name,$A587)&amp;"")</f>
        <v/>
      </c>
      <c r="C587" s="15" t="str">
        <f aca="false">IF($A587="","",INDEX(c_Firm,$A587)&amp;"")</f>
        <v/>
      </c>
      <c r="D587" s="15" t="str">
        <f aca="false">IF($A587="","",INDEX(c_Type,$A587)&amp;"")</f>
        <v/>
      </c>
      <c r="E587" s="15" t="str">
        <f aca="false">IF($A587="","",INDEX(c_Email,$A587)&amp;"")</f>
        <v/>
      </c>
      <c r="F587" s="36" t="str">
        <f aca="false">IF($A587="","",INDEX(c_Met,$A587)&amp;"")</f>
        <v/>
      </c>
      <c r="G587" s="26" t="str">
        <f aca="false">IF($A587="","",IF(INDEX(c_Date,$A587)="","",INDEX(c_Date,$A587)))</f>
        <v/>
      </c>
      <c r="H587" s="35" t="str">
        <f aca="false">IF($A587="","",IF(INDEX(c_Days,$A587)="","",INDEX(c_Days,$A587)))</f>
        <v/>
      </c>
      <c r="I587" s="41" t="str">
        <f aca="false">IF($A587="","",IF(INDEX(c_Mtgs,$A587)="","",INDEX(c_Mtgs,$A587)))</f>
        <v/>
      </c>
      <c r="J587" s="15" t="str">
        <f aca="false">IF($A587="","",INDEX(c_EvtNames,$A587)&amp;"")</f>
        <v/>
      </c>
      <c r="K587" s="36" t="str">
        <f aca="false">IF($A587="","",INDEX(c_Invested,$A587)&amp;"")</f>
        <v/>
      </c>
      <c r="L587" s="16" t="str">
        <f aca="false">IF($A587="","",IF(INDEX(c_AUM,$A587)="","",INDEX(c_AUM,$A587)))</f>
        <v/>
      </c>
      <c r="M587" s="15" t="str">
        <f aca="false">IF($A587="","",INDEX(c_Source,$A587)&amp;"")</f>
        <v/>
      </c>
      <c r="N587" s="15" t="str">
        <f aca="false">IF($A587="","",INDEX(c_Notes,$A587)&amp;"")</f>
        <v/>
      </c>
    </row>
    <row r="588" customFormat="false" ht="15" hidden="false" customHeight="false" outlineLevel="0" collapsed="false">
      <c r="A588" s="32" t="str">
        <f aca="false">IFERROR(MATCH(ROW()-5,c_Seq,0),"")</f>
        <v/>
      </c>
      <c r="B588" s="11" t="str">
        <f aca="false">IF($A588="","",INDEX(c_Name,$A588)&amp;"")</f>
        <v/>
      </c>
      <c r="C588" s="11" t="str">
        <f aca="false">IF($A588="","",INDEX(c_Firm,$A588)&amp;"")</f>
        <v/>
      </c>
      <c r="D588" s="11" t="str">
        <f aca="false">IF($A588="","",INDEX(c_Type,$A588)&amp;"")</f>
        <v/>
      </c>
      <c r="E588" s="11" t="str">
        <f aca="false">IF($A588="","",INDEX(c_Email,$A588)&amp;"")</f>
        <v/>
      </c>
      <c r="F588" s="34" t="str">
        <f aca="false">IF($A588="","",INDEX(c_Met,$A588)&amp;"")</f>
        <v/>
      </c>
      <c r="G588" s="25" t="str">
        <f aca="false">IF($A588="","",IF(INDEX(c_Date,$A588)="","",INDEX(c_Date,$A588)))</f>
        <v/>
      </c>
      <c r="H588" s="33" t="str">
        <f aca="false">IF($A588="","",IF(INDEX(c_Days,$A588)="","",INDEX(c_Days,$A588)))</f>
        <v/>
      </c>
      <c r="I588" s="40" t="str">
        <f aca="false">IF($A588="","",IF(INDEX(c_Mtgs,$A588)="","",INDEX(c_Mtgs,$A588)))</f>
        <v/>
      </c>
      <c r="J588" s="11" t="str">
        <f aca="false">IF($A588="","",INDEX(c_EvtNames,$A588)&amp;"")</f>
        <v/>
      </c>
      <c r="K588" s="34" t="str">
        <f aca="false">IF($A588="","",INDEX(c_Invested,$A588)&amp;"")</f>
        <v/>
      </c>
      <c r="L588" s="12" t="str">
        <f aca="false">IF($A588="","",IF(INDEX(c_AUM,$A588)="","",INDEX(c_AUM,$A588)))</f>
        <v/>
      </c>
      <c r="M588" s="11" t="str">
        <f aca="false">IF($A588="","",INDEX(c_Source,$A588)&amp;"")</f>
        <v/>
      </c>
      <c r="N588" s="11" t="str">
        <f aca="false">IF($A588="","",INDEX(c_Notes,$A588)&amp;"")</f>
        <v/>
      </c>
    </row>
    <row r="589" customFormat="false" ht="15" hidden="false" customHeight="false" outlineLevel="0" collapsed="false">
      <c r="A589" s="32" t="str">
        <f aca="false">IFERROR(MATCH(ROW()-5,c_Seq,0),"")</f>
        <v/>
      </c>
      <c r="B589" s="15" t="str">
        <f aca="false">IF($A589="","",INDEX(c_Name,$A589)&amp;"")</f>
        <v/>
      </c>
      <c r="C589" s="15" t="str">
        <f aca="false">IF($A589="","",INDEX(c_Firm,$A589)&amp;"")</f>
        <v/>
      </c>
      <c r="D589" s="15" t="str">
        <f aca="false">IF($A589="","",INDEX(c_Type,$A589)&amp;"")</f>
        <v/>
      </c>
      <c r="E589" s="15" t="str">
        <f aca="false">IF($A589="","",INDEX(c_Email,$A589)&amp;"")</f>
        <v/>
      </c>
      <c r="F589" s="36" t="str">
        <f aca="false">IF($A589="","",INDEX(c_Met,$A589)&amp;"")</f>
        <v/>
      </c>
      <c r="G589" s="26" t="str">
        <f aca="false">IF($A589="","",IF(INDEX(c_Date,$A589)="","",INDEX(c_Date,$A589)))</f>
        <v/>
      </c>
      <c r="H589" s="35" t="str">
        <f aca="false">IF($A589="","",IF(INDEX(c_Days,$A589)="","",INDEX(c_Days,$A589)))</f>
        <v/>
      </c>
      <c r="I589" s="41" t="str">
        <f aca="false">IF($A589="","",IF(INDEX(c_Mtgs,$A589)="","",INDEX(c_Mtgs,$A589)))</f>
        <v/>
      </c>
      <c r="J589" s="15" t="str">
        <f aca="false">IF($A589="","",INDEX(c_EvtNames,$A589)&amp;"")</f>
        <v/>
      </c>
      <c r="K589" s="36" t="str">
        <f aca="false">IF($A589="","",INDEX(c_Invested,$A589)&amp;"")</f>
        <v/>
      </c>
      <c r="L589" s="16" t="str">
        <f aca="false">IF($A589="","",IF(INDEX(c_AUM,$A589)="","",INDEX(c_AUM,$A589)))</f>
        <v/>
      </c>
      <c r="M589" s="15" t="str">
        <f aca="false">IF($A589="","",INDEX(c_Source,$A589)&amp;"")</f>
        <v/>
      </c>
      <c r="N589" s="15" t="str">
        <f aca="false">IF($A589="","",INDEX(c_Notes,$A589)&amp;"")</f>
        <v/>
      </c>
    </row>
    <row r="590" customFormat="false" ht="15" hidden="false" customHeight="false" outlineLevel="0" collapsed="false">
      <c r="A590" s="32" t="str">
        <f aca="false">IFERROR(MATCH(ROW()-5,c_Seq,0),"")</f>
        <v/>
      </c>
      <c r="B590" s="11" t="str">
        <f aca="false">IF($A590="","",INDEX(c_Name,$A590)&amp;"")</f>
        <v/>
      </c>
      <c r="C590" s="11" t="str">
        <f aca="false">IF($A590="","",INDEX(c_Firm,$A590)&amp;"")</f>
        <v/>
      </c>
      <c r="D590" s="11" t="str">
        <f aca="false">IF($A590="","",INDEX(c_Type,$A590)&amp;"")</f>
        <v/>
      </c>
      <c r="E590" s="11" t="str">
        <f aca="false">IF($A590="","",INDEX(c_Email,$A590)&amp;"")</f>
        <v/>
      </c>
      <c r="F590" s="34" t="str">
        <f aca="false">IF($A590="","",INDEX(c_Met,$A590)&amp;"")</f>
        <v/>
      </c>
      <c r="G590" s="25" t="str">
        <f aca="false">IF($A590="","",IF(INDEX(c_Date,$A590)="","",INDEX(c_Date,$A590)))</f>
        <v/>
      </c>
      <c r="H590" s="33" t="str">
        <f aca="false">IF($A590="","",IF(INDEX(c_Days,$A590)="","",INDEX(c_Days,$A590)))</f>
        <v/>
      </c>
      <c r="I590" s="40" t="str">
        <f aca="false">IF($A590="","",IF(INDEX(c_Mtgs,$A590)="","",INDEX(c_Mtgs,$A590)))</f>
        <v/>
      </c>
      <c r="J590" s="11" t="str">
        <f aca="false">IF($A590="","",INDEX(c_EvtNames,$A590)&amp;"")</f>
        <v/>
      </c>
      <c r="K590" s="34" t="str">
        <f aca="false">IF($A590="","",INDEX(c_Invested,$A590)&amp;"")</f>
        <v/>
      </c>
      <c r="L590" s="12" t="str">
        <f aca="false">IF($A590="","",IF(INDEX(c_AUM,$A590)="","",INDEX(c_AUM,$A590)))</f>
        <v/>
      </c>
      <c r="M590" s="11" t="str">
        <f aca="false">IF($A590="","",INDEX(c_Source,$A590)&amp;"")</f>
        <v/>
      </c>
      <c r="N590" s="11" t="str">
        <f aca="false">IF($A590="","",INDEX(c_Notes,$A590)&amp;"")</f>
        <v/>
      </c>
    </row>
    <row r="591" customFormat="false" ht="15" hidden="false" customHeight="false" outlineLevel="0" collapsed="false">
      <c r="A591" s="32" t="str">
        <f aca="false">IFERROR(MATCH(ROW()-5,c_Seq,0),"")</f>
        <v/>
      </c>
      <c r="B591" s="15" t="str">
        <f aca="false">IF($A591="","",INDEX(c_Name,$A591)&amp;"")</f>
        <v/>
      </c>
      <c r="C591" s="15" t="str">
        <f aca="false">IF($A591="","",INDEX(c_Firm,$A591)&amp;"")</f>
        <v/>
      </c>
      <c r="D591" s="15" t="str">
        <f aca="false">IF($A591="","",INDEX(c_Type,$A591)&amp;"")</f>
        <v/>
      </c>
      <c r="E591" s="15" t="str">
        <f aca="false">IF($A591="","",INDEX(c_Email,$A591)&amp;"")</f>
        <v/>
      </c>
      <c r="F591" s="36" t="str">
        <f aca="false">IF($A591="","",INDEX(c_Met,$A591)&amp;"")</f>
        <v/>
      </c>
      <c r="G591" s="26" t="str">
        <f aca="false">IF($A591="","",IF(INDEX(c_Date,$A591)="","",INDEX(c_Date,$A591)))</f>
        <v/>
      </c>
      <c r="H591" s="35" t="str">
        <f aca="false">IF($A591="","",IF(INDEX(c_Days,$A591)="","",INDEX(c_Days,$A591)))</f>
        <v/>
      </c>
      <c r="I591" s="41" t="str">
        <f aca="false">IF($A591="","",IF(INDEX(c_Mtgs,$A591)="","",INDEX(c_Mtgs,$A591)))</f>
        <v/>
      </c>
      <c r="J591" s="15" t="str">
        <f aca="false">IF($A591="","",INDEX(c_EvtNames,$A591)&amp;"")</f>
        <v/>
      </c>
      <c r="K591" s="36" t="str">
        <f aca="false">IF($A591="","",INDEX(c_Invested,$A591)&amp;"")</f>
        <v/>
      </c>
      <c r="L591" s="16" t="str">
        <f aca="false">IF($A591="","",IF(INDEX(c_AUM,$A591)="","",INDEX(c_AUM,$A591)))</f>
        <v/>
      </c>
      <c r="M591" s="15" t="str">
        <f aca="false">IF($A591="","",INDEX(c_Source,$A591)&amp;"")</f>
        <v/>
      </c>
      <c r="N591" s="15" t="str">
        <f aca="false">IF($A591="","",INDEX(c_Notes,$A591)&amp;"")</f>
        <v/>
      </c>
    </row>
    <row r="592" customFormat="false" ht="15" hidden="false" customHeight="false" outlineLevel="0" collapsed="false">
      <c r="A592" s="32" t="str">
        <f aca="false">IFERROR(MATCH(ROW()-5,c_Seq,0),"")</f>
        <v/>
      </c>
      <c r="B592" s="11" t="str">
        <f aca="false">IF($A592="","",INDEX(c_Name,$A592)&amp;"")</f>
        <v/>
      </c>
      <c r="C592" s="11" t="str">
        <f aca="false">IF($A592="","",INDEX(c_Firm,$A592)&amp;"")</f>
        <v/>
      </c>
      <c r="D592" s="11" t="str">
        <f aca="false">IF($A592="","",INDEX(c_Type,$A592)&amp;"")</f>
        <v/>
      </c>
      <c r="E592" s="11" t="str">
        <f aca="false">IF($A592="","",INDEX(c_Email,$A592)&amp;"")</f>
        <v/>
      </c>
      <c r="F592" s="34" t="str">
        <f aca="false">IF($A592="","",INDEX(c_Met,$A592)&amp;"")</f>
        <v/>
      </c>
      <c r="G592" s="25" t="str">
        <f aca="false">IF($A592="","",IF(INDEX(c_Date,$A592)="","",INDEX(c_Date,$A592)))</f>
        <v/>
      </c>
      <c r="H592" s="33" t="str">
        <f aca="false">IF($A592="","",IF(INDEX(c_Days,$A592)="","",INDEX(c_Days,$A592)))</f>
        <v/>
      </c>
      <c r="I592" s="40" t="str">
        <f aca="false">IF($A592="","",IF(INDEX(c_Mtgs,$A592)="","",INDEX(c_Mtgs,$A592)))</f>
        <v/>
      </c>
      <c r="J592" s="11" t="str">
        <f aca="false">IF($A592="","",INDEX(c_EvtNames,$A592)&amp;"")</f>
        <v/>
      </c>
      <c r="K592" s="34" t="str">
        <f aca="false">IF($A592="","",INDEX(c_Invested,$A592)&amp;"")</f>
        <v/>
      </c>
      <c r="L592" s="12" t="str">
        <f aca="false">IF($A592="","",IF(INDEX(c_AUM,$A592)="","",INDEX(c_AUM,$A592)))</f>
        <v/>
      </c>
      <c r="M592" s="11" t="str">
        <f aca="false">IF($A592="","",INDEX(c_Source,$A592)&amp;"")</f>
        <v/>
      </c>
      <c r="N592" s="11" t="str">
        <f aca="false">IF($A592="","",INDEX(c_Notes,$A592)&amp;"")</f>
        <v/>
      </c>
    </row>
    <row r="593" customFormat="false" ht="15" hidden="false" customHeight="false" outlineLevel="0" collapsed="false">
      <c r="A593" s="32" t="str">
        <f aca="false">IFERROR(MATCH(ROW()-5,c_Seq,0),"")</f>
        <v/>
      </c>
      <c r="B593" s="15" t="str">
        <f aca="false">IF($A593="","",INDEX(c_Name,$A593)&amp;"")</f>
        <v/>
      </c>
      <c r="C593" s="15" t="str">
        <f aca="false">IF($A593="","",INDEX(c_Firm,$A593)&amp;"")</f>
        <v/>
      </c>
      <c r="D593" s="15" t="str">
        <f aca="false">IF($A593="","",INDEX(c_Type,$A593)&amp;"")</f>
        <v/>
      </c>
      <c r="E593" s="15" t="str">
        <f aca="false">IF($A593="","",INDEX(c_Email,$A593)&amp;"")</f>
        <v/>
      </c>
      <c r="F593" s="36" t="str">
        <f aca="false">IF($A593="","",INDEX(c_Met,$A593)&amp;"")</f>
        <v/>
      </c>
      <c r="G593" s="26" t="str">
        <f aca="false">IF($A593="","",IF(INDEX(c_Date,$A593)="","",INDEX(c_Date,$A593)))</f>
        <v/>
      </c>
      <c r="H593" s="35" t="str">
        <f aca="false">IF($A593="","",IF(INDEX(c_Days,$A593)="","",INDEX(c_Days,$A593)))</f>
        <v/>
      </c>
      <c r="I593" s="41" t="str">
        <f aca="false">IF($A593="","",IF(INDEX(c_Mtgs,$A593)="","",INDEX(c_Mtgs,$A593)))</f>
        <v/>
      </c>
      <c r="J593" s="15" t="str">
        <f aca="false">IF($A593="","",INDEX(c_EvtNames,$A593)&amp;"")</f>
        <v/>
      </c>
      <c r="K593" s="36" t="str">
        <f aca="false">IF($A593="","",INDEX(c_Invested,$A593)&amp;"")</f>
        <v/>
      </c>
      <c r="L593" s="16" t="str">
        <f aca="false">IF($A593="","",IF(INDEX(c_AUM,$A593)="","",INDEX(c_AUM,$A593)))</f>
        <v/>
      </c>
      <c r="M593" s="15" t="str">
        <f aca="false">IF($A593="","",INDEX(c_Source,$A593)&amp;"")</f>
        <v/>
      </c>
      <c r="N593" s="15" t="str">
        <f aca="false">IF($A593="","",INDEX(c_Notes,$A593)&amp;"")</f>
        <v/>
      </c>
    </row>
    <row r="594" customFormat="false" ht="15" hidden="false" customHeight="false" outlineLevel="0" collapsed="false">
      <c r="A594" s="32" t="str">
        <f aca="false">IFERROR(MATCH(ROW()-5,c_Seq,0),"")</f>
        <v/>
      </c>
      <c r="B594" s="11" t="str">
        <f aca="false">IF($A594="","",INDEX(c_Name,$A594)&amp;"")</f>
        <v/>
      </c>
      <c r="C594" s="11" t="str">
        <f aca="false">IF($A594="","",INDEX(c_Firm,$A594)&amp;"")</f>
        <v/>
      </c>
      <c r="D594" s="11" t="str">
        <f aca="false">IF($A594="","",INDEX(c_Type,$A594)&amp;"")</f>
        <v/>
      </c>
      <c r="E594" s="11" t="str">
        <f aca="false">IF($A594="","",INDEX(c_Email,$A594)&amp;"")</f>
        <v/>
      </c>
      <c r="F594" s="34" t="str">
        <f aca="false">IF($A594="","",INDEX(c_Met,$A594)&amp;"")</f>
        <v/>
      </c>
      <c r="G594" s="25" t="str">
        <f aca="false">IF($A594="","",IF(INDEX(c_Date,$A594)="","",INDEX(c_Date,$A594)))</f>
        <v/>
      </c>
      <c r="H594" s="33" t="str">
        <f aca="false">IF($A594="","",IF(INDEX(c_Days,$A594)="","",INDEX(c_Days,$A594)))</f>
        <v/>
      </c>
      <c r="I594" s="40" t="str">
        <f aca="false">IF($A594="","",IF(INDEX(c_Mtgs,$A594)="","",INDEX(c_Mtgs,$A594)))</f>
        <v/>
      </c>
      <c r="J594" s="11" t="str">
        <f aca="false">IF($A594="","",INDEX(c_EvtNames,$A594)&amp;"")</f>
        <v/>
      </c>
      <c r="K594" s="34" t="str">
        <f aca="false">IF($A594="","",INDEX(c_Invested,$A594)&amp;"")</f>
        <v/>
      </c>
      <c r="L594" s="12" t="str">
        <f aca="false">IF($A594="","",IF(INDEX(c_AUM,$A594)="","",INDEX(c_AUM,$A594)))</f>
        <v/>
      </c>
      <c r="M594" s="11" t="str">
        <f aca="false">IF($A594="","",INDEX(c_Source,$A594)&amp;"")</f>
        <v/>
      </c>
      <c r="N594" s="11" t="str">
        <f aca="false">IF($A594="","",INDEX(c_Notes,$A594)&amp;"")</f>
        <v/>
      </c>
    </row>
    <row r="595" customFormat="false" ht="15" hidden="false" customHeight="false" outlineLevel="0" collapsed="false">
      <c r="A595" s="32" t="str">
        <f aca="false">IFERROR(MATCH(ROW()-5,c_Seq,0),"")</f>
        <v/>
      </c>
      <c r="B595" s="15" t="str">
        <f aca="false">IF($A595="","",INDEX(c_Name,$A595)&amp;"")</f>
        <v/>
      </c>
      <c r="C595" s="15" t="str">
        <f aca="false">IF($A595="","",INDEX(c_Firm,$A595)&amp;"")</f>
        <v/>
      </c>
      <c r="D595" s="15" t="str">
        <f aca="false">IF($A595="","",INDEX(c_Type,$A595)&amp;"")</f>
        <v/>
      </c>
      <c r="E595" s="15" t="str">
        <f aca="false">IF($A595="","",INDEX(c_Email,$A595)&amp;"")</f>
        <v/>
      </c>
      <c r="F595" s="36" t="str">
        <f aca="false">IF($A595="","",INDEX(c_Met,$A595)&amp;"")</f>
        <v/>
      </c>
      <c r="G595" s="26" t="str">
        <f aca="false">IF($A595="","",IF(INDEX(c_Date,$A595)="","",INDEX(c_Date,$A595)))</f>
        <v/>
      </c>
      <c r="H595" s="35" t="str">
        <f aca="false">IF($A595="","",IF(INDEX(c_Days,$A595)="","",INDEX(c_Days,$A595)))</f>
        <v/>
      </c>
      <c r="I595" s="41" t="str">
        <f aca="false">IF($A595="","",IF(INDEX(c_Mtgs,$A595)="","",INDEX(c_Mtgs,$A595)))</f>
        <v/>
      </c>
      <c r="J595" s="15" t="str">
        <f aca="false">IF($A595="","",INDEX(c_EvtNames,$A595)&amp;"")</f>
        <v/>
      </c>
      <c r="K595" s="36" t="str">
        <f aca="false">IF($A595="","",INDEX(c_Invested,$A595)&amp;"")</f>
        <v/>
      </c>
      <c r="L595" s="16" t="str">
        <f aca="false">IF($A595="","",IF(INDEX(c_AUM,$A595)="","",INDEX(c_AUM,$A595)))</f>
        <v/>
      </c>
      <c r="M595" s="15" t="str">
        <f aca="false">IF($A595="","",INDEX(c_Source,$A595)&amp;"")</f>
        <v/>
      </c>
      <c r="N595" s="15" t="str">
        <f aca="false">IF($A595="","",INDEX(c_Notes,$A595)&amp;"")</f>
        <v/>
      </c>
    </row>
    <row r="596" customFormat="false" ht="15" hidden="false" customHeight="false" outlineLevel="0" collapsed="false">
      <c r="A596" s="32" t="str">
        <f aca="false">IFERROR(MATCH(ROW()-5,c_Seq,0),"")</f>
        <v/>
      </c>
      <c r="B596" s="11" t="str">
        <f aca="false">IF($A596="","",INDEX(c_Name,$A596)&amp;"")</f>
        <v/>
      </c>
      <c r="C596" s="11" t="str">
        <f aca="false">IF($A596="","",INDEX(c_Firm,$A596)&amp;"")</f>
        <v/>
      </c>
      <c r="D596" s="11" t="str">
        <f aca="false">IF($A596="","",INDEX(c_Type,$A596)&amp;"")</f>
        <v/>
      </c>
      <c r="E596" s="11" t="str">
        <f aca="false">IF($A596="","",INDEX(c_Email,$A596)&amp;"")</f>
        <v/>
      </c>
      <c r="F596" s="34" t="str">
        <f aca="false">IF($A596="","",INDEX(c_Met,$A596)&amp;"")</f>
        <v/>
      </c>
      <c r="G596" s="25" t="str">
        <f aca="false">IF($A596="","",IF(INDEX(c_Date,$A596)="","",INDEX(c_Date,$A596)))</f>
        <v/>
      </c>
      <c r="H596" s="33" t="str">
        <f aca="false">IF($A596="","",IF(INDEX(c_Days,$A596)="","",INDEX(c_Days,$A596)))</f>
        <v/>
      </c>
      <c r="I596" s="40" t="str">
        <f aca="false">IF($A596="","",IF(INDEX(c_Mtgs,$A596)="","",INDEX(c_Mtgs,$A596)))</f>
        <v/>
      </c>
      <c r="J596" s="11" t="str">
        <f aca="false">IF($A596="","",INDEX(c_EvtNames,$A596)&amp;"")</f>
        <v/>
      </c>
      <c r="K596" s="34" t="str">
        <f aca="false">IF($A596="","",INDEX(c_Invested,$A596)&amp;"")</f>
        <v/>
      </c>
      <c r="L596" s="12" t="str">
        <f aca="false">IF($A596="","",IF(INDEX(c_AUM,$A596)="","",INDEX(c_AUM,$A596)))</f>
        <v/>
      </c>
      <c r="M596" s="11" t="str">
        <f aca="false">IF($A596="","",INDEX(c_Source,$A596)&amp;"")</f>
        <v/>
      </c>
      <c r="N596" s="11" t="str">
        <f aca="false">IF($A596="","",INDEX(c_Notes,$A596)&amp;"")</f>
        <v/>
      </c>
    </row>
    <row r="597" customFormat="false" ht="15" hidden="false" customHeight="false" outlineLevel="0" collapsed="false">
      <c r="A597" s="32" t="str">
        <f aca="false">IFERROR(MATCH(ROW()-5,c_Seq,0),"")</f>
        <v/>
      </c>
      <c r="B597" s="15" t="str">
        <f aca="false">IF($A597="","",INDEX(c_Name,$A597)&amp;"")</f>
        <v/>
      </c>
      <c r="C597" s="15" t="str">
        <f aca="false">IF($A597="","",INDEX(c_Firm,$A597)&amp;"")</f>
        <v/>
      </c>
      <c r="D597" s="15" t="str">
        <f aca="false">IF($A597="","",INDEX(c_Type,$A597)&amp;"")</f>
        <v/>
      </c>
      <c r="E597" s="15" t="str">
        <f aca="false">IF($A597="","",INDEX(c_Email,$A597)&amp;"")</f>
        <v/>
      </c>
      <c r="F597" s="36" t="str">
        <f aca="false">IF($A597="","",INDEX(c_Met,$A597)&amp;"")</f>
        <v/>
      </c>
      <c r="G597" s="26" t="str">
        <f aca="false">IF($A597="","",IF(INDEX(c_Date,$A597)="","",INDEX(c_Date,$A597)))</f>
        <v/>
      </c>
      <c r="H597" s="35" t="str">
        <f aca="false">IF($A597="","",IF(INDEX(c_Days,$A597)="","",INDEX(c_Days,$A597)))</f>
        <v/>
      </c>
      <c r="I597" s="41" t="str">
        <f aca="false">IF($A597="","",IF(INDEX(c_Mtgs,$A597)="","",INDEX(c_Mtgs,$A597)))</f>
        <v/>
      </c>
      <c r="J597" s="15" t="str">
        <f aca="false">IF($A597="","",INDEX(c_EvtNames,$A597)&amp;"")</f>
        <v/>
      </c>
      <c r="K597" s="36" t="str">
        <f aca="false">IF($A597="","",INDEX(c_Invested,$A597)&amp;"")</f>
        <v/>
      </c>
      <c r="L597" s="16" t="str">
        <f aca="false">IF($A597="","",IF(INDEX(c_AUM,$A597)="","",INDEX(c_AUM,$A597)))</f>
        <v/>
      </c>
      <c r="M597" s="15" t="str">
        <f aca="false">IF($A597="","",INDEX(c_Source,$A597)&amp;"")</f>
        <v/>
      </c>
      <c r="N597" s="15" t="str">
        <f aca="false">IF($A597="","",INDEX(c_Notes,$A597)&amp;"")</f>
        <v/>
      </c>
    </row>
    <row r="598" customFormat="false" ht="15" hidden="false" customHeight="false" outlineLevel="0" collapsed="false">
      <c r="A598" s="32" t="str">
        <f aca="false">IFERROR(MATCH(ROW()-5,c_Seq,0),"")</f>
        <v/>
      </c>
      <c r="B598" s="11" t="str">
        <f aca="false">IF($A598="","",INDEX(c_Name,$A598)&amp;"")</f>
        <v/>
      </c>
      <c r="C598" s="11" t="str">
        <f aca="false">IF($A598="","",INDEX(c_Firm,$A598)&amp;"")</f>
        <v/>
      </c>
      <c r="D598" s="11" t="str">
        <f aca="false">IF($A598="","",INDEX(c_Type,$A598)&amp;"")</f>
        <v/>
      </c>
      <c r="E598" s="11" t="str">
        <f aca="false">IF($A598="","",INDEX(c_Email,$A598)&amp;"")</f>
        <v/>
      </c>
      <c r="F598" s="34" t="str">
        <f aca="false">IF($A598="","",INDEX(c_Met,$A598)&amp;"")</f>
        <v/>
      </c>
      <c r="G598" s="25" t="str">
        <f aca="false">IF($A598="","",IF(INDEX(c_Date,$A598)="","",INDEX(c_Date,$A598)))</f>
        <v/>
      </c>
      <c r="H598" s="33" t="str">
        <f aca="false">IF($A598="","",IF(INDEX(c_Days,$A598)="","",INDEX(c_Days,$A598)))</f>
        <v/>
      </c>
      <c r="I598" s="40" t="str">
        <f aca="false">IF($A598="","",IF(INDEX(c_Mtgs,$A598)="","",INDEX(c_Mtgs,$A598)))</f>
        <v/>
      </c>
      <c r="J598" s="11" t="str">
        <f aca="false">IF($A598="","",INDEX(c_EvtNames,$A598)&amp;"")</f>
        <v/>
      </c>
      <c r="K598" s="34" t="str">
        <f aca="false">IF($A598="","",INDEX(c_Invested,$A598)&amp;"")</f>
        <v/>
      </c>
      <c r="L598" s="12" t="str">
        <f aca="false">IF($A598="","",IF(INDEX(c_AUM,$A598)="","",INDEX(c_AUM,$A598)))</f>
        <v/>
      </c>
      <c r="M598" s="11" t="str">
        <f aca="false">IF($A598="","",INDEX(c_Source,$A598)&amp;"")</f>
        <v/>
      </c>
      <c r="N598" s="11" t="str">
        <f aca="false">IF($A598="","",INDEX(c_Notes,$A598)&amp;"")</f>
        <v/>
      </c>
    </row>
    <row r="599" customFormat="false" ht="15" hidden="false" customHeight="false" outlineLevel="0" collapsed="false">
      <c r="A599" s="32" t="str">
        <f aca="false">IFERROR(MATCH(ROW()-5,c_Seq,0),"")</f>
        <v/>
      </c>
      <c r="B599" s="15" t="str">
        <f aca="false">IF($A599="","",INDEX(c_Name,$A599)&amp;"")</f>
        <v/>
      </c>
      <c r="C599" s="15" t="str">
        <f aca="false">IF($A599="","",INDEX(c_Firm,$A599)&amp;"")</f>
        <v/>
      </c>
      <c r="D599" s="15" t="str">
        <f aca="false">IF($A599="","",INDEX(c_Type,$A599)&amp;"")</f>
        <v/>
      </c>
      <c r="E599" s="15" t="str">
        <f aca="false">IF($A599="","",INDEX(c_Email,$A599)&amp;"")</f>
        <v/>
      </c>
      <c r="F599" s="36" t="str">
        <f aca="false">IF($A599="","",INDEX(c_Met,$A599)&amp;"")</f>
        <v/>
      </c>
      <c r="G599" s="26" t="str">
        <f aca="false">IF($A599="","",IF(INDEX(c_Date,$A599)="","",INDEX(c_Date,$A599)))</f>
        <v/>
      </c>
      <c r="H599" s="35" t="str">
        <f aca="false">IF($A599="","",IF(INDEX(c_Days,$A599)="","",INDEX(c_Days,$A599)))</f>
        <v/>
      </c>
      <c r="I599" s="41" t="str">
        <f aca="false">IF($A599="","",IF(INDEX(c_Mtgs,$A599)="","",INDEX(c_Mtgs,$A599)))</f>
        <v/>
      </c>
      <c r="J599" s="15" t="str">
        <f aca="false">IF($A599="","",INDEX(c_EvtNames,$A599)&amp;"")</f>
        <v/>
      </c>
      <c r="K599" s="36" t="str">
        <f aca="false">IF($A599="","",INDEX(c_Invested,$A599)&amp;"")</f>
        <v/>
      </c>
      <c r="L599" s="16" t="str">
        <f aca="false">IF($A599="","",IF(INDEX(c_AUM,$A599)="","",INDEX(c_AUM,$A599)))</f>
        <v/>
      </c>
      <c r="M599" s="15" t="str">
        <f aca="false">IF($A599="","",INDEX(c_Source,$A599)&amp;"")</f>
        <v/>
      </c>
      <c r="N599" s="15" t="str">
        <f aca="false">IF($A599="","",INDEX(c_Notes,$A599)&amp;"")</f>
        <v/>
      </c>
    </row>
    <row r="600" customFormat="false" ht="15" hidden="false" customHeight="false" outlineLevel="0" collapsed="false">
      <c r="A600" s="32" t="str">
        <f aca="false">IFERROR(MATCH(ROW()-5,c_Seq,0),"")</f>
        <v/>
      </c>
      <c r="B600" s="11" t="str">
        <f aca="false">IF($A600="","",INDEX(c_Name,$A600)&amp;"")</f>
        <v/>
      </c>
      <c r="C600" s="11" t="str">
        <f aca="false">IF($A600="","",INDEX(c_Firm,$A600)&amp;"")</f>
        <v/>
      </c>
      <c r="D600" s="11" t="str">
        <f aca="false">IF($A600="","",INDEX(c_Type,$A600)&amp;"")</f>
        <v/>
      </c>
      <c r="E600" s="11" t="str">
        <f aca="false">IF($A600="","",INDEX(c_Email,$A600)&amp;"")</f>
        <v/>
      </c>
      <c r="F600" s="34" t="str">
        <f aca="false">IF($A600="","",INDEX(c_Met,$A600)&amp;"")</f>
        <v/>
      </c>
      <c r="G600" s="25" t="str">
        <f aca="false">IF($A600="","",IF(INDEX(c_Date,$A600)="","",INDEX(c_Date,$A600)))</f>
        <v/>
      </c>
      <c r="H600" s="33" t="str">
        <f aca="false">IF($A600="","",IF(INDEX(c_Days,$A600)="","",INDEX(c_Days,$A600)))</f>
        <v/>
      </c>
      <c r="I600" s="40" t="str">
        <f aca="false">IF($A600="","",IF(INDEX(c_Mtgs,$A600)="","",INDEX(c_Mtgs,$A600)))</f>
        <v/>
      </c>
      <c r="J600" s="11" t="str">
        <f aca="false">IF($A600="","",INDEX(c_EvtNames,$A600)&amp;"")</f>
        <v/>
      </c>
      <c r="K600" s="34" t="str">
        <f aca="false">IF($A600="","",INDEX(c_Invested,$A600)&amp;"")</f>
        <v/>
      </c>
      <c r="L600" s="12" t="str">
        <f aca="false">IF($A600="","",IF(INDEX(c_AUM,$A600)="","",INDEX(c_AUM,$A600)))</f>
        <v/>
      </c>
      <c r="M600" s="11" t="str">
        <f aca="false">IF($A600="","",INDEX(c_Source,$A600)&amp;"")</f>
        <v/>
      </c>
      <c r="N600" s="11" t="str">
        <f aca="false">IF($A600="","",INDEX(c_Notes,$A600)&amp;"")</f>
        <v/>
      </c>
    </row>
    <row r="601" customFormat="false" ht="15" hidden="false" customHeight="false" outlineLevel="0" collapsed="false">
      <c r="A601" s="32" t="str">
        <f aca="false">IFERROR(MATCH(ROW()-5,c_Seq,0),"")</f>
        <v/>
      </c>
      <c r="B601" s="15" t="str">
        <f aca="false">IF($A601="","",INDEX(c_Name,$A601)&amp;"")</f>
        <v/>
      </c>
      <c r="C601" s="15" t="str">
        <f aca="false">IF($A601="","",INDEX(c_Firm,$A601)&amp;"")</f>
        <v/>
      </c>
      <c r="D601" s="15" t="str">
        <f aca="false">IF($A601="","",INDEX(c_Type,$A601)&amp;"")</f>
        <v/>
      </c>
      <c r="E601" s="15" t="str">
        <f aca="false">IF($A601="","",INDEX(c_Email,$A601)&amp;"")</f>
        <v/>
      </c>
      <c r="F601" s="36" t="str">
        <f aca="false">IF($A601="","",INDEX(c_Met,$A601)&amp;"")</f>
        <v/>
      </c>
      <c r="G601" s="26" t="str">
        <f aca="false">IF($A601="","",IF(INDEX(c_Date,$A601)="","",INDEX(c_Date,$A601)))</f>
        <v/>
      </c>
      <c r="H601" s="35" t="str">
        <f aca="false">IF($A601="","",IF(INDEX(c_Days,$A601)="","",INDEX(c_Days,$A601)))</f>
        <v/>
      </c>
      <c r="I601" s="41" t="str">
        <f aca="false">IF($A601="","",IF(INDEX(c_Mtgs,$A601)="","",INDEX(c_Mtgs,$A601)))</f>
        <v/>
      </c>
      <c r="J601" s="15" t="str">
        <f aca="false">IF($A601="","",INDEX(c_EvtNames,$A601)&amp;"")</f>
        <v/>
      </c>
      <c r="K601" s="36" t="str">
        <f aca="false">IF($A601="","",INDEX(c_Invested,$A601)&amp;"")</f>
        <v/>
      </c>
      <c r="L601" s="16" t="str">
        <f aca="false">IF($A601="","",IF(INDEX(c_AUM,$A601)="","",INDEX(c_AUM,$A601)))</f>
        <v/>
      </c>
      <c r="M601" s="15" t="str">
        <f aca="false">IF($A601="","",INDEX(c_Source,$A601)&amp;"")</f>
        <v/>
      </c>
      <c r="N601" s="15" t="str">
        <f aca="false">IF($A601="","",INDEX(c_Notes,$A601)&amp;"")</f>
        <v/>
      </c>
    </row>
    <row r="602" customFormat="false" ht="15" hidden="false" customHeight="false" outlineLevel="0" collapsed="false">
      <c r="A602" s="32" t="str">
        <f aca="false">IFERROR(MATCH(ROW()-5,c_Seq,0),"")</f>
        <v/>
      </c>
      <c r="B602" s="11" t="str">
        <f aca="false">IF($A602="","",INDEX(c_Name,$A602)&amp;"")</f>
        <v/>
      </c>
      <c r="C602" s="11" t="str">
        <f aca="false">IF($A602="","",INDEX(c_Firm,$A602)&amp;"")</f>
        <v/>
      </c>
      <c r="D602" s="11" t="str">
        <f aca="false">IF($A602="","",INDEX(c_Type,$A602)&amp;"")</f>
        <v/>
      </c>
      <c r="E602" s="11" t="str">
        <f aca="false">IF($A602="","",INDEX(c_Email,$A602)&amp;"")</f>
        <v/>
      </c>
      <c r="F602" s="34" t="str">
        <f aca="false">IF($A602="","",INDEX(c_Met,$A602)&amp;"")</f>
        <v/>
      </c>
      <c r="G602" s="25" t="str">
        <f aca="false">IF($A602="","",IF(INDEX(c_Date,$A602)="","",INDEX(c_Date,$A602)))</f>
        <v/>
      </c>
      <c r="H602" s="33" t="str">
        <f aca="false">IF($A602="","",IF(INDEX(c_Days,$A602)="","",INDEX(c_Days,$A602)))</f>
        <v/>
      </c>
      <c r="I602" s="40" t="str">
        <f aca="false">IF($A602="","",IF(INDEX(c_Mtgs,$A602)="","",INDEX(c_Mtgs,$A602)))</f>
        <v/>
      </c>
      <c r="J602" s="11" t="str">
        <f aca="false">IF($A602="","",INDEX(c_EvtNames,$A602)&amp;"")</f>
        <v/>
      </c>
      <c r="K602" s="34" t="str">
        <f aca="false">IF($A602="","",INDEX(c_Invested,$A602)&amp;"")</f>
        <v/>
      </c>
      <c r="L602" s="12" t="str">
        <f aca="false">IF($A602="","",IF(INDEX(c_AUM,$A602)="","",INDEX(c_AUM,$A602)))</f>
        <v/>
      </c>
      <c r="M602" s="11" t="str">
        <f aca="false">IF($A602="","",INDEX(c_Source,$A602)&amp;"")</f>
        <v/>
      </c>
      <c r="N602" s="11" t="str">
        <f aca="false">IF($A602="","",INDEX(c_Notes,$A602)&amp;"")</f>
        <v/>
      </c>
    </row>
    <row r="603" customFormat="false" ht="15" hidden="false" customHeight="false" outlineLevel="0" collapsed="false">
      <c r="A603" s="32" t="str">
        <f aca="false">IFERROR(MATCH(ROW()-5,c_Seq,0),"")</f>
        <v/>
      </c>
      <c r="B603" s="15" t="str">
        <f aca="false">IF($A603="","",INDEX(c_Name,$A603)&amp;"")</f>
        <v/>
      </c>
      <c r="C603" s="15" t="str">
        <f aca="false">IF($A603="","",INDEX(c_Firm,$A603)&amp;"")</f>
        <v/>
      </c>
      <c r="D603" s="15" t="str">
        <f aca="false">IF($A603="","",INDEX(c_Type,$A603)&amp;"")</f>
        <v/>
      </c>
      <c r="E603" s="15" t="str">
        <f aca="false">IF($A603="","",INDEX(c_Email,$A603)&amp;"")</f>
        <v/>
      </c>
      <c r="F603" s="36" t="str">
        <f aca="false">IF($A603="","",INDEX(c_Met,$A603)&amp;"")</f>
        <v/>
      </c>
      <c r="G603" s="26" t="str">
        <f aca="false">IF($A603="","",IF(INDEX(c_Date,$A603)="","",INDEX(c_Date,$A603)))</f>
        <v/>
      </c>
      <c r="H603" s="35" t="str">
        <f aca="false">IF($A603="","",IF(INDEX(c_Days,$A603)="","",INDEX(c_Days,$A603)))</f>
        <v/>
      </c>
      <c r="I603" s="41" t="str">
        <f aca="false">IF($A603="","",IF(INDEX(c_Mtgs,$A603)="","",INDEX(c_Mtgs,$A603)))</f>
        <v/>
      </c>
      <c r="J603" s="15" t="str">
        <f aca="false">IF($A603="","",INDEX(c_EvtNames,$A603)&amp;"")</f>
        <v/>
      </c>
      <c r="K603" s="36" t="str">
        <f aca="false">IF($A603="","",INDEX(c_Invested,$A603)&amp;"")</f>
        <v/>
      </c>
      <c r="L603" s="16" t="str">
        <f aca="false">IF($A603="","",IF(INDEX(c_AUM,$A603)="","",INDEX(c_AUM,$A603)))</f>
        <v/>
      </c>
      <c r="M603" s="15" t="str">
        <f aca="false">IF($A603="","",INDEX(c_Source,$A603)&amp;"")</f>
        <v/>
      </c>
      <c r="N603" s="15" t="str">
        <f aca="false">IF($A603="","",INDEX(c_Notes,$A603)&amp;"")</f>
        <v/>
      </c>
    </row>
    <row r="604" customFormat="false" ht="15" hidden="false" customHeight="false" outlineLevel="0" collapsed="false">
      <c r="A604" s="32" t="str">
        <f aca="false">IFERROR(MATCH(ROW()-5,c_Seq,0),"")</f>
        <v/>
      </c>
      <c r="B604" s="11" t="str">
        <f aca="false">IF($A604="","",INDEX(c_Name,$A604)&amp;"")</f>
        <v/>
      </c>
      <c r="C604" s="11" t="str">
        <f aca="false">IF($A604="","",INDEX(c_Firm,$A604)&amp;"")</f>
        <v/>
      </c>
      <c r="D604" s="11" t="str">
        <f aca="false">IF($A604="","",INDEX(c_Type,$A604)&amp;"")</f>
        <v/>
      </c>
      <c r="E604" s="11" t="str">
        <f aca="false">IF($A604="","",INDEX(c_Email,$A604)&amp;"")</f>
        <v/>
      </c>
      <c r="F604" s="34" t="str">
        <f aca="false">IF($A604="","",INDEX(c_Met,$A604)&amp;"")</f>
        <v/>
      </c>
      <c r="G604" s="25" t="str">
        <f aca="false">IF($A604="","",IF(INDEX(c_Date,$A604)="","",INDEX(c_Date,$A604)))</f>
        <v/>
      </c>
      <c r="H604" s="33" t="str">
        <f aca="false">IF($A604="","",IF(INDEX(c_Days,$A604)="","",INDEX(c_Days,$A604)))</f>
        <v/>
      </c>
      <c r="I604" s="40" t="str">
        <f aca="false">IF($A604="","",IF(INDEX(c_Mtgs,$A604)="","",INDEX(c_Mtgs,$A604)))</f>
        <v/>
      </c>
      <c r="J604" s="11" t="str">
        <f aca="false">IF($A604="","",INDEX(c_EvtNames,$A604)&amp;"")</f>
        <v/>
      </c>
      <c r="K604" s="34" t="str">
        <f aca="false">IF($A604="","",INDEX(c_Invested,$A604)&amp;"")</f>
        <v/>
      </c>
      <c r="L604" s="12" t="str">
        <f aca="false">IF($A604="","",IF(INDEX(c_AUM,$A604)="","",INDEX(c_AUM,$A604)))</f>
        <v/>
      </c>
      <c r="M604" s="11" t="str">
        <f aca="false">IF($A604="","",INDEX(c_Source,$A604)&amp;"")</f>
        <v/>
      </c>
      <c r="N604" s="11" t="str">
        <f aca="false">IF($A604="","",INDEX(c_Notes,$A604)&amp;"")</f>
        <v/>
      </c>
    </row>
    <row r="605" customFormat="false" ht="15" hidden="false" customHeight="false" outlineLevel="0" collapsed="false">
      <c r="A605" s="32" t="str">
        <f aca="false">IFERROR(MATCH(ROW()-5,c_Seq,0),"")</f>
        <v/>
      </c>
      <c r="B605" s="15" t="str">
        <f aca="false">IF($A605="","",INDEX(c_Name,$A605)&amp;"")</f>
        <v/>
      </c>
      <c r="C605" s="15" t="str">
        <f aca="false">IF($A605="","",INDEX(c_Firm,$A605)&amp;"")</f>
        <v/>
      </c>
      <c r="D605" s="15" t="str">
        <f aca="false">IF($A605="","",INDEX(c_Type,$A605)&amp;"")</f>
        <v/>
      </c>
      <c r="E605" s="15" t="str">
        <f aca="false">IF($A605="","",INDEX(c_Email,$A605)&amp;"")</f>
        <v/>
      </c>
      <c r="F605" s="36" t="str">
        <f aca="false">IF($A605="","",INDEX(c_Met,$A605)&amp;"")</f>
        <v/>
      </c>
      <c r="G605" s="26" t="str">
        <f aca="false">IF($A605="","",IF(INDEX(c_Date,$A605)="","",INDEX(c_Date,$A605)))</f>
        <v/>
      </c>
      <c r="H605" s="35" t="str">
        <f aca="false">IF($A605="","",IF(INDEX(c_Days,$A605)="","",INDEX(c_Days,$A605)))</f>
        <v/>
      </c>
      <c r="I605" s="41" t="str">
        <f aca="false">IF($A605="","",IF(INDEX(c_Mtgs,$A605)="","",INDEX(c_Mtgs,$A605)))</f>
        <v/>
      </c>
      <c r="J605" s="15" t="str">
        <f aca="false">IF($A605="","",INDEX(c_EvtNames,$A605)&amp;"")</f>
        <v/>
      </c>
      <c r="K605" s="36" t="str">
        <f aca="false">IF($A605="","",INDEX(c_Invested,$A605)&amp;"")</f>
        <v/>
      </c>
      <c r="L605" s="16" t="str">
        <f aca="false">IF($A605="","",IF(INDEX(c_AUM,$A605)="","",INDEX(c_AUM,$A605)))</f>
        <v/>
      </c>
      <c r="M605" s="15" t="str">
        <f aca="false">IF($A605="","",INDEX(c_Source,$A605)&amp;"")</f>
        <v/>
      </c>
      <c r="N605" s="15" t="str">
        <f aca="false">IF($A605="","",INDEX(c_Notes,$A605)&amp;"")</f>
        <v/>
      </c>
    </row>
  </sheetData>
  <autoFilter ref="B5:N605"/>
  <mergeCells count="2">
    <mergeCell ref="B1:N1"/>
    <mergeCell ref="B2:N2"/>
  </mergeCells>
  <conditionalFormatting sqref="F6:F605">
    <cfRule type="cellIs" priority="2" operator="equal" aboveAverage="0" equalAverage="0" bottom="0" percent="0" rank="0" text="" dxfId="1">
      <formula>"Yes"</formula>
    </cfRule>
  </conditionalFormatting>
  <conditionalFormatting sqref="H6:H605">
    <cfRule type="cellIs" priority="3" operator="greaterThan" aboveAverage="0" equalAverage="0" bottom="0" percent="0" rank="0" text="" dxfId="0">
      <formula>120</formula>
    </cfRule>
  </conditionalFormatting>
  <conditionalFormatting sqref="K6:K605">
    <cfRule type="cellIs" priority="4" operator="equal" aboveAverage="0" equalAverage="0" bottom="0" percent="0" rank="0" text="" dxfId="1">
      <formula>"Yes"</formula>
    </cfRule>
  </conditionalFormatting>
  <dataValidations count="4">
    <dataValidation allowBlank="true" errorStyle="stop" operator="between" showDropDown="false" showErrorMessage="false" showInputMessage="false" sqref="C3" type="list">
      <formula1>f_Firm</formula1>
      <formula2>0</formula2>
    </dataValidation>
    <dataValidation allowBlank="true" errorStyle="stop" operator="between" showDropDown="false" showErrorMessage="false" showInputMessage="false" sqref="E3" type="list">
      <formula1>f_Met</formula1>
      <formula2>0</formula2>
    </dataValidation>
    <dataValidation allowBlank="true" errorStyle="stop" operator="between" showDropDown="false" showErrorMessage="false" showInputMessage="false" sqref="G3" type="list">
      <formula1>f_Event</formula1>
      <formula2>0</formula2>
    </dataValidation>
    <dataValidation allowBlank="true" errorStyle="stop" operator="between" showDropDown="false" showErrorMessage="false" showInputMessage="false" sqref="I3" type="list">
      <formula1>f_Engage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AB6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22"/>
    <col collapsed="false" customWidth="true" hidden="false" outlineLevel="0" max="7" min="7" style="0" width="8"/>
    <col collapsed="false" customWidth="true" hidden="false" outlineLevel="0" max="8" min="8" style="0" width="13"/>
    <col collapsed="false" customWidth="true" hidden="false" outlineLevel="0" max="10" min="9" style="0" width="10"/>
    <col collapsed="false" customWidth="true" hidden="false" outlineLevel="0" max="11" min="11" style="0" width="14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8" min="14" style="0" width="20"/>
    <col collapsed="false" customWidth="true" hidden="false" outlineLevel="0" max="19" min="19" style="0" width="40"/>
    <col collapsed="false" customWidth="true" hidden="false" outlineLevel="0" max="21" min="20" style="0" width="11"/>
    <col collapsed="false" customWidth="true" hidden="false" outlineLevel="0" max="22" min="22" style="0" width="22"/>
    <col collapsed="false" customWidth="true" hidden="false" outlineLevel="0" max="23" min="23" style="0" width="12"/>
    <col collapsed="false" customWidth="true" hidden="false" outlineLevel="0" max="24" min="24" style="0" width="16"/>
    <col collapsed="false" customWidth="true" hidden="true" outlineLevel="0" max="28" min="25" style="0" width="9"/>
  </cols>
  <sheetData>
    <row r="1" customFormat="false" ht="31.5" hidden="false" customHeight="true" outlineLevel="0" collapsed="false">
      <c r="A1" s="42" t="s">
        <v>114</v>
      </c>
      <c r="B1" s="42" t="s">
        <v>96</v>
      </c>
      <c r="C1" s="42" t="s">
        <v>99</v>
      </c>
      <c r="D1" s="42" t="s">
        <v>16</v>
      </c>
      <c r="E1" s="42" t="s">
        <v>115</v>
      </c>
      <c r="F1" s="42" t="s">
        <v>112</v>
      </c>
      <c r="G1" s="42" t="s">
        <v>109</v>
      </c>
      <c r="H1" s="42" t="s">
        <v>116</v>
      </c>
      <c r="I1" s="42" t="s">
        <v>117</v>
      </c>
      <c r="J1" s="42" t="s">
        <v>98</v>
      </c>
      <c r="K1" s="42" t="s">
        <v>111</v>
      </c>
      <c r="L1" s="42" t="s">
        <v>118</v>
      </c>
      <c r="M1" s="42" t="s">
        <v>119</v>
      </c>
      <c r="N1" s="42" t="str">
        <f aca="false">IF(Setup!$C$15="","Event 1 (free — name it in Setup)",Setup!$C$15)</f>
        <v>H2O AM IFA Symposium (October 2025)</v>
      </c>
      <c r="O1" s="42" t="str">
        <f aca="false">IF(Setup!$C$16="","Event 2 (free — name it in Setup)",Setup!$C$16)</f>
        <v>2nd Edition H2O AM IFA Symposium (May 2026)</v>
      </c>
      <c r="P1" s="42" t="str">
        <f aca="false">IF(Setup!$C$17="","Event 3 (free — name it in Setup)",Setup!$C$17)</f>
        <v>Macro Lunch series</v>
      </c>
      <c r="Q1" s="42" t="str">
        <f aca="false">IF(Setup!$C$18="","Event 4 (free — name it in Setup)",Setup!$C$18)</f>
        <v>Event 4 (free — name it in Setup)</v>
      </c>
      <c r="R1" s="42" t="str">
        <f aca="false">IF(Setup!$C$19="","Event 5 (free — name it in Setup)",Setup!$C$19)</f>
        <v>Event 5 (free — name it in Setup)</v>
      </c>
      <c r="S1" s="42" t="s">
        <v>113</v>
      </c>
      <c r="T1" s="43" t="s">
        <v>120</v>
      </c>
      <c r="U1" s="43" t="s">
        <v>121</v>
      </c>
      <c r="V1" s="43" t="s">
        <v>122</v>
      </c>
      <c r="W1" s="43" t="s">
        <v>123</v>
      </c>
      <c r="X1" s="43" t="s">
        <v>124</v>
      </c>
      <c r="Y1" s="43" t="s">
        <v>125</v>
      </c>
      <c r="Z1" s="43" t="s">
        <v>126</v>
      </c>
      <c r="AA1" s="43" t="s">
        <v>127</v>
      </c>
      <c r="AB1" s="43" t="s">
        <v>128</v>
      </c>
    </row>
    <row r="2" customFormat="false" ht="15" hidden="false" customHeight="false" outlineLevel="0" collapsed="false">
      <c r="A2" s="44" t="n">
        <f aca="false">IF($B2="","",COUNTA($B$2:$B2))</f>
        <v>1</v>
      </c>
      <c r="B2" s="11" t="s">
        <v>129</v>
      </c>
      <c r="C2" s="11" t="s">
        <v>130</v>
      </c>
      <c r="D2" s="11" t="s">
        <v>37</v>
      </c>
      <c r="E2" s="11" t="s">
        <v>131</v>
      </c>
      <c r="F2" s="11" t="s">
        <v>66</v>
      </c>
      <c r="G2" s="34" t="s">
        <v>132</v>
      </c>
      <c r="H2" s="25"/>
      <c r="I2" s="40" t="n">
        <v>0</v>
      </c>
      <c r="J2" s="34" t="s">
        <v>132</v>
      </c>
      <c r="K2" s="45"/>
      <c r="L2" s="34"/>
      <c r="M2" s="34"/>
      <c r="N2" s="11" t="s">
        <v>133</v>
      </c>
      <c r="O2" s="11" t="s">
        <v>134</v>
      </c>
      <c r="P2" s="11" t="s">
        <v>133</v>
      </c>
      <c r="Q2" s="11" t="s">
        <v>133</v>
      </c>
      <c r="R2" s="11" t="s">
        <v>133</v>
      </c>
      <c r="S2" s="46"/>
      <c r="T2" s="44" t="n">
        <f aca="false">IF($B2="","",COUNTA($N2:$R2)-COUNTIF($N2:$R2,"Not Invited"))</f>
        <v>1</v>
      </c>
      <c r="U2" s="44" t="n">
        <f aca="false">IF($B2="","",COUNTIF($N2:$R2,"Attended"))</f>
        <v>0</v>
      </c>
      <c r="V2" s="47" t="str">
        <f aca="false">IF($B2="","",_xlfn.TEXTJOIN(", ",TRUE(),IF($N2="Attended",Setup!$D$15,""),IF($O2="Attended",Setup!$D$16,""),IF($P2="Attended",Setup!$D$17,""),IF($Q2="Attended",Setup!$D$18,""),IF($R2="Attended",Setup!$D$19,"")))</f>
        <v/>
      </c>
      <c r="W2" s="48" t="str">
        <f aca="true">IF(OR($B2="",NOT(ISNUMBER($H2))),"",TODAY()-$H2)</f>
        <v/>
      </c>
      <c r="X2" s="47" t="str">
        <f aca="false">IF($B2="","",IF($U2&gt;0,"Event attendee",IF($G2="Yes","Met (no event)",IF($T2&gt;0,"Invited only",IF(OR($L2="Yes",$M2="Yes"),"Contacted only","Not yet contacted")))))</f>
        <v>Invited only</v>
      </c>
      <c r="Y2" s="47" t="n">
        <f aca="false">IF($B2="","",COUNTIF(c_Firm,"&lt;"&amp;$D2)+COUNTIFS(c_Firm,$D2,c_Name,"&lt;"&amp;$B2)+COUNTIFS($D$2:$D2,$D2,$B$2:$B2,$B2))</f>
        <v>1</v>
      </c>
      <c r="Z2" s="47" t="n">
        <f aca="false">IF($B2="","",IF(AND(OR(Contacts!$C$3="(All)",$D2=Contacts!$C$3),OR(Contacts!$E$3="(All)",$G2=Contacts!$E$3),OR(Contacts!$G$3="(All)",ISNUMBER(SEARCH(Contacts!$G$3,$V2))),OR(Contacts!$I$3="(All)",$X2=Contacts!$I$3),OR(Contacts!$K$3="",ISNUMBER(SEARCH(Contacts!$K$3,$B2&amp;" "&amp;$C2&amp;" "&amp;$D2&amp;" "&amp;$S2)))),1,0))</f>
        <v>1</v>
      </c>
      <c r="AA2" s="47" t="n">
        <f aca="false">IF($Z2=1,COUNTIFS(c_Pass,1,c_Sort,"&lt;="&amp;$Y2),"")</f>
        <v>1</v>
      </c>
      <c r="AB2" s="47" t="str">
        <f aca="false">IF(OR($G2&lt;&gt;"Yes",NOT(ISNUMBER($H2))),"",COUNTIFS(c_Met,"Yes",c_Date,"&lt;"&amp;$H2)+COUNTIFS($G$2:$G2,"Yes",$H$2:$H2,$H2))</f>
        <v/>
      </c>
    </row>
    <row r="3" customFormat="false" ht="15" hidden="false" customHeight="false" outlineLevel="0" collapsed="false">
      <c r="A3" s="44" t="n">
        <f aca="false">IF($B3="","",COUNTA($B$2:$B3))</f>
        <v>2</v>
      </c>
      <c r="B3" s="11" t="s">
        <v>135</v>
      </c>
      <c r="C3" s="11" t="s">
        <v>136</v>
      </c>
      <c r="D3" s="11" t="s">
        <v>37</v>
      </c>
      <c r="E3" s="11" t="s">
        <v>131</v>
      </c>
      <c r="F3" s="11" t="s">
        <v>66</v>
      </c>
      <c r="G3" s="34" t="s">
        <v>132</v>
      </c>
      <c r="H3" s="25"/>
      <c r="I3" s="40" t="n">
        <v>0</v>
      </c>
      <c r="J3" s="34" t="s">
        <v>132</v>
      </c>
      <c r="K3" s="45"/>
      <c r="L3" s="34"/>
      <c r="M3" s="34"/>
      <c r="N3" s="11" t="s">
        <v>133</v>
      </c>
      <c r="O3" s="11" t="s">
        <v>55</v>
      </c>
      <c r="P3" s="11" t="s">
        <v>133</v>
      </c>
      <c r="Q3" s="11" t="s">
        <v>133</v>
      </c>
      <c r="R3" s="11" t="s">
        <v>133</v>
      </c>
      <c r="S3" s="46"/>
      <c r="T3" s="44" t="n">
        <f aca="false">IF($B3="","",COUNTA($N3:$R3)-COUNTIF($N3:$R3,"Not Invited"))</f>
        <v>1</v>
      </c>
      <c r="U3" s="44" t="n">
        <f aca="false">IF($B3="","",COUNTIF($N3:$R3,"Attended"))</f>
        <v>1</v>
      </c>
      <c r="V3" s="47" t="str">
        <f aca="false">IF($B3="","",_xlfn.TEXTJOIN(", ",TRUE(),IF($N3="Attended",Setup!$D$15,""),IF($O3="Attended",Setup!$D$16,""),IF($P3="Attended",Setup!$D$17,""),IF($Q3="Attended",Setup!$D$18,""),IF($R3="Attended",Setup!$D$19,"")))</f>
        <v>May-26 Symposium</v>
      </c>
      <c r="W3" s="48" t="str">
        <f aca="true">IF(OR($B3="",NOT(ISNUMBER($H3))),"",TODAY()-$H3)</f>
        <v/>
      </c>
      <c r="X3" s="47" t="str">
        <f aca="false">IF($B3="","",IF($U3&gt;0,"Event attendee",IF($G3="Yes","Met (no event)",IF($T3&gt;0,"Invited only",IF(OR($L3="Yes",$M3="Yes"),"Contacted only","Not yet contacted")))))</f>
        <v>Event attendee</v>
      </c>
      <c r="Y3" s="47" t="n">
        <f aca="false">IF($B3="","",COUNTIF(c_Firm,"&lt;"&amp;$D3)+COUNTIFS(c_Firm,$D3,c_Name,"&lt;"&amp;$B3)+COUNTIFS($D$2:$D3,$D3,$B$2:$B3,$B3))</f>
        <v>2</v>
      </c>
      <c r="Z3" s="47" t="n">
        <f aca="false">IF($B3="","",IF(AND(OR(Contacts!$C$3="(All)",$D3=Contacts!$C$3),OR(Contacts!$E$3="(All)",$G3=Contacts!$E$3),OR(Contacts!$G$3="(All)",ISNUMBER(SEARCH(Contacts!$G$3,$V3))),OR(Contacts!$I$3="(All)",$X3=Contacts!$I$3),OR(Contacts!$K$3="",ISNUMBER(SEARCH(Contacts!$K$3,$B3&amp;" "&amp;$C3&amp;" "&amp;$D3&amp;" "&amp;$S3)))),1,0))</f>
        <v>1</v>
      </c>
      <c r="AA3" s="47" t="n">
        <f aca="false">IF($Z3=1,COUNTIFS(c_Pass,1,c_Sort,"&lt;="&amp;$Y3),"")</f>
        <v>2</v>
      </c>
      <c r="AB3" s="47" t="str">
        <f aca="false">IF(OR($G3&lt;&gt;"Yes",NOT(ISNUMBER($H3))),"",COUNTIFS(c_Met,"Yes",c_Date,"&lt;"&amp;$H3)+COUNTIFS($G$2:$G3,"Yes",$H$2:$H3,$H3))</f>
        <v/>
      </c>
    </row>
    <row r="4" customFormat="false" ht="15" hidden="false" customHeight="false" outlineLevel="0" collapsed="false">
      <c r="A4" s="44" t="n">
        <f aca="false">IF($B4="","",COUNTA($B$2:$B4))</f>
        <v>3</v>
      </c>
      <c r="B4" s="11" t="s">
        <v>137</v>
      </c>
      <c r="C4" s="11" t="s">
        <v>138</v>
      </c>
      <c r="D4" s="11" t="s">
        <v>37</v>
      </c>
      <c r="E4" s="11" t="s">
        <v>131</v>
      </c>
      <c r="F4" s="11" t="s">
        <v>66</v>
      </c>
      <c r="G4" s="34" t="s">
        <v>132</v>
      </c>
      <c r="H4" s="25"/>
      <c r="I4" s="40" t="n">
        <v>0</v>
      </c>
      <c r="J4" s="34" t="s">
        <v>132</v>
      </c>
      <c r="K4" s="45"/>
      <c r="L4" s="34"/>
      <c r="M4" s="34"/>
      <c r="N4" s="11" t="s">
        <v>133</v>
      </c>
      <c r="O4" s="11" t="s">
        <v>55</v>
      </c>
      <c r="P4" s="11" t="s">
        <v>133</v>
      </c>
      <c r="Q4" s="11" t="s">
        <v>133</v>
      </c>
      <c r="R4" s="11" t="s">
        <v>133</v>
      </c>
      <c r="S4" s="46"/>
      <c r="T4" s="44" t="n">
        <f aca="false">IF($B4="","",COUNTA($N4:$R4)-COUNTIF($N4:$R4,"Not Invited"))</f>
        <v>1</v>
      </c>
      <c r="U4" s="44" t="n">
        <f aca="false">IF($B4="","",COUNTIF($N4:$R4,"Attended"))</f>
        <v>1</v>
      </c>
      <c r="V4" s="47" t="str">
        <f aca="false">IF($B4="","",_xlfn.TEXTJOIN(", ",TRUE(),IF($N4="Attended",Setup!$D$15,""),IF($O4="Attended",Setup!$D$16,""),IF($P4="Attended",Setup!$D$17,""),IF($Q4="Attended",Setup!$D$18,""),IF($R4="Attended",Setup!$D$19,"")))</f>
        <v>May-26 Symposium</v>
      </c>
      <c r="W4" s="48" t="str">
        <f aca="true">IF(OR($B4="",NOT(ISNUMBER($H4))),"",TODAY()-$H4)</f>
        <v/>
      </c>
      <c r="X4" s="47" t="str">
        <f aca="false">IF($B4="","",IF($U4&gt;0,"Event attendee",IF($G4="Yes","Met (no event)",IF($T4&gt;0,"Invited only",IF(OR($L4="Yes",$M4="Yes"),"Contacted only","Not yet contacted")))))</f>
        <v>Event attendee</v>
      </c>
      <c r="Y4" s="47" t="n">
        <f aca="false">IF($B4="","",COUNTIF(c_Firm,"&lt;"&amp;$D4)+COUNTIFS(c_Firm,$D4,c_Name,"&lt;"&amp;$B4)+COUNTIFS($D$2:$D4,$D4,$B$2:$B4,$B4))</f>
        <v>3</v>
      </c>
      <c r="Z4" s="47" t="n">
        <f aca="false">IF($B4="","",IF(AND(OR(Contacts!$C$3="(All)",$D4=Contacts!$C$3),OR(Contacts!$E$3="(All)",$G4=Contacts!$E$3),OR(Contacts!$G$3="(All)",ISNUMBER(SEARCH(Contacts!$G$3,$V4))),OR(Contacts!$I$3="(All)",$X4=Contacts!$I$3),OR(Contacts!$K$3="",ISNUMBER(SEARCH(Contacts!$K$3,$B4&amp;" "&amp;$C4&amp;" "&amp;$D4&amp;" "&amp;$S4)))),1,0))</f>
        <v>1</v>
      </c>
      <c r="AA4" s="47" t="n">
        <f aca="false">IF($Z4=1,COUNTIFS(c_Pass,1,c_Sort,"&lt;="&amp;$Y4),"")</f>
        <v>3</v>
      </c>
      <c r="AB4" s="47" t="str">
        <f aca="false">IF(OR($G4&lt;&gt;"Yes",NOT(ISNUMBER($H4))),"",COUNTIFS(c_Met,"Yes",c_Date,"&lt;"&amp;$H4)+COUNTIFS($G$2:$G4,"Yes",$H$2:$H4,$H4))</f>
        <v/>
      </c>
    </row>
    <row r="5" customFormat="false" ht="15" hidden="false" customHeight="false" outlineLevel="0" collapsed="false">
      <c r="A5" s="44" t="n">
        <f aca="false">IF($B5="","",COUNTA($B$2:$B5))</f>
        <v>4</v>
      </c>
      <c r="B5" s="11" t="s">
        <v>139</v>
      </c>
      <c r="C5" s="11" t="s">
        <v>140</v>
      </c>
      <c r="D5" s="11" t="s">
        <v>31</v>
      </c>
      <c r="E5" s="11" t="s">
        <v>131</v>
      </c>
      <c r="F5" s="11" t="s">
        <v>141</v>
      </c>
      <c r="G5" s="34" t="s">
        <v>142</v>
      </c>
      <c r="H5" s="25" t="n">
        <v>45918</v>
      </c>
      <c r="I5" s="40" t="n">
        <v>1</v>
      </c>
      <c r="J5" s="34" t="s">
        <v>132</v>
      </c>
      <c r="K5" s="45" t="n">
        <v>5000000</v>
      </c>
      <c r="L5" s="34"/>
      <c r="M5" s="34"/>
      <c r="N5" s="11" t="s">
        <v>57</v>
      </c>
      <c r="O5" s="11" t="s">
        <v>143</v>
      </c>
      <c r="P5" s="11" t="s">
        <v>133</v>
      </c>
      <c r="Q5" s="11" t="s">
        <v>133</v>
      </c>
      <c r="R5" s="11" t="s">
        <v>133</v>
      </c>
      <c r="S5" s="46"/>
      <c r="T5" s="44" t="n">
        <f aca="false">IF($B5="","",COUNTA($N5:$R5)-COUNTIF($N5:$R5,"Not Invited"))</f>
        <v>2</v>
      </c>
      <c r="U5" s="44" t="n">
        <f aca="false">IF($B5="","",COUNTIF($N5:$R5,"Attended"))</f>
        <v>0</v>
      </c>
      <c r="V5" s="47" t="str">
        <f aca="false">IF($B5="","",_xlfn.TEXTJOIN(", ",TRUE(),IF($N5="Attended",Setup!$D$15,""),IF($O5="Attended",Setup!$D$16,""),IF($P5="Attended",Setup!$D$17,""),IF($Q5="Attended",Setup!$D$18,""),IF($R5="Attended",Setup!$D$19,"")))</f>
        <v/>
      </c>
      <c r="W5" s="48" t="n">
        <f aca="true">IF(OR($B5="",NOT(ISNUMBER($H5))),"",TODAY()-$H5)</f>
        <v>323</v>
      </c>
      <c r="X5" s="47" t="str">
        <f aca="false">IF($B5="","",IF($U5&gt;0,"Event attendee",IF($G5="Yes","Met (no event)",IF($T5&gt;0,"Invited only",IF(OR($L5="Yes",$M5="Yes"),"Contacted only","Not yet contacted")))))</f>
        <v>Met (no event)</v>
      </c>
      <c r="Y5" s="47" t="n">
        <f aca="false">IF($B5="","",COUNTIF(c_Firm,"&lt;"&amp;$D5)+COUNTIFS(c_Firm,$D5,c_Name,"&lt;"&amp;$B5)+COUNTIFS($D$2:$D5,$D5,$B$2:$B5,$B5))</f>
        <v>4</v>
      </c>
      <c r="Z5" s="47" t="n">
        <f aca="false">IF($B5="","",IF(AND(OR(Contacts!$C$3="(All)",$D5=Contacts!$C$3),OR(Contacts!$E$3="(All)",$G5=Contacts!$E$3),OR(Contacts!$G$3="(All)",ISNUMBER(SEARCH(Contacts!$G$3,$V5))),OR(Contacts!$I$3="(All)",$X5=Contacts!$I$3),OR(Contacts!$K$3="",ISNUMBER(SEARCH(Contacts!$K$3,$B5&amp;" "&amp;$C5&amp;" "&amp;$D5&amp;" "&amp;$S5)))),1,0))</f>
        <v>1</v>
      </c>
      <c r="AA5" s="47" t="n">
        <f aca="false">IF($Z5=1,COUNTIFS(c_Pass,1,c_Sort,"&lt;="&amp;$Y5),"")</f>
        <v>4</v>
      </c>
      <c r="AB5" s="47" t="n">
        <f aca="false">IF(OR($G5&lt;&gt;"Yes",NOT(ISNUMBER($H5))),"",COUNTIFS(c_Met,"Yes",c_Date,"&lt;"&amp;$H5)+COUNTIFS($G$2:$G5,"Yes",$H$2:$H5,$H5))</f>
        <v>14</v>
      </c>
    </row>
    <row r="6" customFormat="false" ht="15" hidden="false" customHeight="false" outlineLevel="0" collapsed="false">
      <c r="A6" s="44" t="n">
        <f aca="false">IF($B6="","",COUNTA($B$2:$B6))</f>
        <v>5</v>
      </c>
      <c r="B6" s="11" t="s">
        <v>144</v>
      </c>
      <c r="C6" s="11" t="s">
        <v>145</v>
      </c>
      <c r="D6" s="11" t="s">
        <v>31</v>
      </c>
      <c r="E6" s="11" t="s">
        <v>131</v>
      </c>
      <c r="F6" s="11" t="s">
        <v>141</v>
      </c>
      <c r="G6" s="34" t="s">
        <v>142</v>
      </c>
      <c r="H6" s="25" t="n">
        <v>45923</v>
      </c>
      <c r="I6" s="40" t="n">
        <v>1</v>
      </c>
      <c r="J6" s="34" t="s">
        <v>132</v>
      </c>
      <c r="K6" s="45" t="n">
        <v>32000000</v>
      </c>
      <c r="L6" s="34"/>
      <c r="M6" s="34"/>
      <c r="N6" s="11" t="s">
        <v>57</v>
      </c>
      <c r="O6" s="11" t="s">
        <v>57</v>
      </c>
      <c r="P6" s="11" t="s">
        <v>133</v>
      </c>
      <c r="Q6" s="11" t="s">
        <v>133</v>
      </c>
      <c r="R6" s="11" t="s">
        <v>133</v>
      </c>
      <c r="S6" s="46" t="s">
        <v>146</v>
      </c>
      <c r="T6" s="44" t="n">
        <f aca="false">IF($B6="","",COUNTA($N6:$R6)-COUNTIF($N6:$R6,"Not Invited"))</f>
        <v>2</v>
      </c>
      <c r="U6" s="44" t="n">
        <f aca="false">IF($B6="","",COUNTIF($N6:$R6,"Attended"))</f>
        <v>0</v>
      </c>
      <c r="V6" s="47" t="str">
        <f aca="false">IF($B6="","",_xlfn.TEXTJOIN(", ",TRUE(),IF($N6="Attended",Setup!$D$15,""),IF($O6="Attended",Setup!$D$16,""),IF($P6="Attended",Setup!$D$17,""),IF($Q6="Attended",Setup!$D$18,""),IF($R6="Attended",Setup!$D$19,"")))</f>
        <v/>
      </c>
      <c r="W6" s="48" t="n">
        <f aca="true">IF(OR($B6="",NOT(ISNUMBER($H6))),"",TODAY()-$H6)</f>
        <v>318</v>
      </c>
      <c r="X6" s="47" t="str">
        <f aca="false">IF($B6="","",IF($U6&gt;0,"Event attendee",IF($G6="Yes","Met (no event)",IF($T6&gt;0,"Invited only",IF(OR($L6="Yes",$M6="Yes"),"Contacted only","Not yet contacted")))))</f>
        <v>Met (no event)</v>
      </c>
      <c r="Y6" s="47" t="n">
        <f aca="false">IF($B6="","",COUNTIF(c_Firm,"&lt;"&amp;$D6)+COUNTIFS(c_Firm,$D6,c_Name,"&lt;"&amp;$B6)+COUNTIFS($D$2:$D6,$D6,$B$2:$B6,$B6))</f>
        <v>5</v>
      </c>
      <c r="Z6" s="47" t="n">
        <f aca="false">IF($B6="","",IF(AND(OR(Contacts!$C$3="(All)",$D6=Contacts!$C$3),OR(Contacts!$E$3="(All)",$G6=Contacts!$E$3),OR(Contacts!$G$3="(All)",ISNUMBER(SEARCH(Contacts!$G$3,$V6))),OR(Contacts!$I$3="(All)",$X6=Contacts!$I$3),OR(Contacts!$K$3="",ISNUMBER(SEARCH(Contacts!$K$3,$B6&amp;" "&amp;$C6&amp;" "&amp;$D6&amp;" "&amp;$S6)))),1,0))</f>
        <v>1</v>
      </c>
      <c r="AA6" s="47" t="n">
        <f aca="false">IF($Z6=1,COUNTIFS(c_Pass,1,c_Sort,"&lt;="&amp;$Y6),"")</f>
        <v>5</v>
      </c>
      <c r="AB6" s="47" t="n">
        <f aca="false">IF(OR($G6&lt;&gt;"Yes",NOT(ISNUMBER($H6))),"",COUNTIFS(c_Met,"Yes",c_Date,"&lt;"&amp;$H6)+COUNTIFS($G$2:$G6,"Yes",$H$2:$H6,$H6))</f>
        <v>18</v>
      </c>
    </row>
    <row r="7" customFormat="false" ht="15" hidden="false" customHeight="false" outlineLevel="0" collapsed="false">
      <c r="A7" s="44" t="n">
        <f aca="false">IF($B7="","",COUNTA($B$2:$B7))</f>
        <v>6</v>
      </c>
      <c r="B7" s="11" t="s">
        <v>147</v>
      </c>
      <c r="C7" s="11" t="s">
        <v>148</v>
      </c>
      <c r="D7" s="11" t="s">
        <v>31</v>
      </c>
      <c r="E7" s="11" t="s">
        <v>131</v>
      </c>
      <c r="F7" s="11" t="s">
        <v>141</v>
      </c>
      <c r="G7" s="34" t="s">
        <v>142</v>
      </c>
      <c r="H7" s="25" t="n">
        <v>45918</v>
      </c>
      <c r="I7" s="40" t="n">
        <v>1</v>
      </c>
      <c r="J7" s="34" t="s">
        <v>132</v>
      </c>
      <c r="K7" s="45" t="n">
        <v>6000000</v>
      </c>
      <c r="L7" s="34"/>
      <c r="M7" s="34"/>
      <c r="N7" s="11" t="s">
        <v>55</v>
      </c>
      <c r="O7" s="11" t="s">
        <v>55</v>
      </c>
      <c r="P7" s="11" t="s">
        <v>133</v>
      </c>
      <c r="Q7" s="11" t="s">
        <v>133</v>
      </c>
      <c r="R7" s="11" t="s">
        <v>133</v>
      </c>
      <c r="S7" s="46"/>
      <c r="T7" s="44" t="n">
        <f aca="false">IF($B7="","",COUNTA($N7:$R7)-COUNTIF($N7:$R7,"Not Invited"))</f>
        <v>2</v>
      </c>
      <c r="U7" s="44" t="n">
        <f aca="false">IF($B7="","",COUNTIF($N7:$R7,"Attended"))</f>
        <v>2</v>
      </c>
      <c r="V7" s="47" t="str">
        <f aca="false">IF($B7="","",_xlfn.TEXTJOIN(", ",TRUE(),IF($N7="Attended",Setup!$D$15,""),IF($O7="Attended",Setup!$D$16,""),IF($P7="Attended",Setup!$D$17,""),IF($Q7="Attended",Setup!$D$18,""),IF($R7="Attended",Setup!$D$19,"")))</f>
        <v>Oct-25 Symposium, May-26 Symposium</v>
      </c>
      <c r="W7" s="48" t="n">
        <f aca="true">IF(OR($B7="",NOT(ISNUMBER($H7))),"",TODAY()-$H7)</f>
        <v>323</v>
      </c>
      <c r="X7" s="47" t="str">
        <f aca="false">IF($B7="","",IF($U7&gt;0,"Event attendee",IF($G7="Yes","Met (no event)",IF($T7&gt;0,"Invited only",IF(OR($L7="Yes",$M7="Yes"),"Contacted only","Not yet contacted")))))</f>
        <v>Event attendee</v>
      </c>
      <c r="Y7" s="47" t="n">
        <f aca="false">IF($B7="","",COUNTIF(c_Firm,"&lt;"&amp;$D7)+COUNTIFS(c_Firm,$D7,c_Name,"&lt;"&amp;$B7)+COUNTIFS($D$2:$D7,$D7,$B$2:$B7,$B7))</f>
        <v>6</v>
      </c>
      <c r="Z7" s="47" t="n">
        <f aca="false">IF($B7="","",IF(AND(OR(Contacts!$C$3="(All)",$D7=Contacts!$C$3),OR(Contacts!$E$3="(All)",$G7=Contacts!$E$3),OR(Contacts!$G$3="(All)",ISNUMBER(SEARCH(Contacts!$G$3,$V7))),OR(Contacts!$I$3="(All)",$X7=Contacts!$I$3),OR(Contacts!$K$3="",ISNUMBER(SEARCH(Contacts!$K$3,$B7&amp;" "&amp;$C7&amp;" "&amp;$D7&amp;" "&amp;$S7)))),1,0))</f>
        <v>1</v>
      </c>
      <c r="AA7" s="47" t="n">
        <f aca="false">IF($Z7=1,COUNTIFS(c_Pass,1,c_Sort,"&lt;="&amp;$Y7),"")</f>
        <v>6</v>
      </c>
      <c r="AB7" s="47" t="n">
        <f aca="false">IF(OR($G7&lt;&gt;"Yes",NOT(ISNUMBER($H7))),"",COUNTIFS(c_Met,"Yes",c_Date,"&lt;"&amp;$H7)+COUNTIFS($G$2:$G7,"Yes",$H$2:$H7,$H7))</f>
        <v>15</v>
      </c>
    </row>
    <row r="8" customFormat="false" ht="15" hidden="false" customHeight="false" outlineLevel="0" collapsed="false">
      <c r="A8" s="44" t="n">
        <f aca="false">IF($B8="","",COUNTA($B$2:$B8))</f>
        <v>7</v>
      </c>
      <c r="B8" s="11" t="s">
        <v>149</v>
      </c>
      <c r="C8" s="11" t="s">
        <v>150</v>
      </c>
      <c r="D8" s="11" t="s">
        <v>31</v>
      </c>
      <c r="E8" s="11" t="s">
        <v>131</v>
      </c>
      <c r="F8" s="11" t="s">
        <v>66</v>
      </c>
      <c r="G8" s="34" t="s">
        <v>132</v>
      </c>
      <c r="H8" s="25"/>
      <c r="I8" s="40" t="n">
        <v>0</v>
      </c>
      <c r="J8" s="34" t="s">
        <v>132</v>
      </c>
      <c r="K8" s="45"/>
      <c r="L8" s="34"/>
      <c r="M8" s="34"/>
      <c r="N8" s="11" t="s">
        <v>133</v>
      </c>
      <c r="O8" s="11" t="s">
        <v>55</v>
      </c>
      <c r="P8" s="11" t="s">
        <v>133</v>
      </c>
      <c r="Q8" s="11" t="s">
        <v>133</v>
      </c>
      <c r="R8" s="11" t="s">
        <v>133</v>
      </c>
      <c r="S8" s="46"/>
      <c r="T8" s="44" t="n">
        <f aca="false">IF($B8="","",COUNTA($N8:$R8)-COUNTIF($N8:$R8,"Not Invited"))</f>
        <v>1</v>
      </c>
      <c r="U8" s="44" t="n">
        <f aca="false">IF($B8="","",COUNTIF($N8:$R8,"Attended"))</f>
        <v>1</v>
      </c>
      <c r="V8" s="47" t="str">
        <f aca="false">IF($B8="","",_xlfn.TEXTJOIN(", ",TRUE(),IF($N8="Attended",Setup!$D$15,""),IF($O8="Attended",Setup!$D$16,""),IF($P8="Attended",Setup!$D$17,""),IF($Q8="Attended",Setup!$D$18,""),IF($R8="Attended",Setup!$D$19,"")))</f>
        <v>May-26 Symposium</v>
      </c>
      <c r="W8" s="48" t="str">
        <f aca="true">IF(OR($B8="",NOT(ISNUMBER($H8))),"",TODAY()-$H8)</f>
        <v/>
      </c>
      <c r="X8" s="47" t="str">
        <f aca="false">IF($B8="","",IF($U8&gt;0,"Event attendee",IF($G8="Yes","Met (no event)",IF($T8&gt;0,"Invited only",IF(OR($L8="Yes",$M8="Yes"),"Contacted only","Not yet contacted")))))</f>
        <v>Event attendee</v>
      </c>
      <c r="Y8" s="47" t="n">
        <f aca="false">IF($B8="","",COUNTIF(c_Firm,"&lt;"&amp;$D8)+COUNTIFS(c_Firm,$D8,c_Name,"&lt;"&amp;$B8)+COUNTIFS($D$2:$D8,$D8,$B$2:$B8,$B8))</f>
        <v>7</v>
      </c>
      <c r="Z8" s="47" t="n">
        <f aca="false">IF($B8="","",IF(AND(OR(Contacts!$C$3="(All)",$D8=Contacts!$C$3),OR(Contacts!$E$3="(All)",$G8=Contacts!$E$3),OR(Contacts!$G$3="(All)",ISNUMBER(SEARCH(Contacts!$G$3,$V8))),OR(Contacts!$I$3="(All)",$X8=Contacts!$I$3),OR(Contacts!$K$3="",ISNUMBER(SEARCH(Contacts!$K$3,$B8&amp;" "&amp;$C8&amp;" "&amp;$D8&amp;" "&amp;$S8)))),1,0))</f>
        <v>1</v>
      </c>
      <c r="AA8" s="47" t="n">
        <f aca="false">IF($Z8=1,COUNTIFS(c_Pass,1,c_Sort,"&lt;="&amp;$Y8),"")</f>
        <v>7</v>
      </c>
      <c r="AB8" s="47" t="str">
        <f aca="false">IF(OR($G8&lt;&gt;"Yes",NOT(ISNUMBER($H8))),"",COUNTIFS(c_Met,"Yes",c_Date,"&lt;"&amp;$H8)+COUNTIFS($G$2:$G8,"Yes",$H$2:$H8,$H8))</f>
        <v/>
      </c>
    </row>
    <row r="9" customFormat="false" ht="15" hidden="false" customHeight="false" outlineLevel="0" collapsed="false">
      <c r="A9" s="44" t="n">
        <f aca="false">IF($B9="","",COUNTA($B$2:$B9))</f>
        <v>8</v>
      </c>
      <c r="B9" s="11" t="s">
        <v>151</v>
      </c>
      <c r="C9" s="11" t="s">
        <v>152</v>
      </c>
      <c r="D9" s="11" t="s">
        <v>31</v>
      </c>
      <c r="E9" s="11" t="s">
        <v>131</v>
      </c>
      <c r="F9" s="11" t="s">
        <v>66</v>
      </c>
      <c r="G9" s="34" t="s">
        <v>132</v>
      </c>
      <c r="H9" s="25"/>
      <c r="I9" s="40" t="n">
        <v>0</v>
      </c>
      <c r="J9" s="34" t="s">
        <v>132</v>
      </c>
      <c r="K9" s="45"/>
      <c r="L9" s="34"/>
      <c r="M9" s="34"/>
      <c r="N9" s="11" t="s">
        <v>133</v>
      </c>
      <c r="O9" s="11" t="s">
        <v>57</v>
      </c>
      <c r="P9" s="11" t="s">
        <v>133</v>
      </c>
      <c r="Q9" s="11" t="s">
        <v>133</v>
      </c>
      <c r="R9" s="11" t="s">
        <v>133</v>
      </c>
      <c r="S9" s="46"/>
      <c r="T9" s="44" t="n">
        <f aca="false">IF($B9="","",COUNTA($N9:$R9)-COUNTIF($N9:$R9,"Not Invited"))</f>
        <v>1</v>
      </c>
      <c r="U9" s="44" t="n">
        <f aca="false">IF($B9="","",COUNTIF($N9:$R9,"Attended"))</f>
        <v>0</v>
      </c>
      <c r="V9" s="47" t="str">
        <f aca="false">IF($B9="","",_xlfn.TEXTJOIN(", ",TRUE(),IF($N9="Attended",Setup!$D$15,""),IF($O9="Attended",Setup!$D$16,""),IF($P9="Attended",Setup!$D$17,""),IF($Q9="Attended",Setup!$D$18,""),IF($R9="Attended",Setup!$D$19,"")))</f>
        <v/>
      </c>
      <c r="W9" s="48" t="str">
        <f aca="true">IF(OR($B9="",NOT(ISNUMBER($H9))),"",TODAY()-$H9)</f>
        <v/>
      </c>
      <c r="X9" s="47" t="str">
        <f aca="false">IF($B9="","",IF($U9&gt;0,"Event attendee",IF($G9="Yes","Met (no event)",IF($T9&gt;0,"Invited only",IF(OR($L9="Yes",$M9="Yes"),"Contacted only","Not yet contacted")))))</f>
        <v>Invited only</v>
      </c>
      <c r="Y9" s="47" t="n">
        <f aca="false">IF($B9="","",COUNTIF(c_Firm,"&lt;"&amp;$D9)+COUNTIFS(c_Firm,$D9,c_Name,"&lt;"&amp;$B9)+COUNTIFS($D$2:$D9,$D9,$B$2:$B9,$B9))</f>
        <v>8</v>
      </c>
      <c r="Z9" s="47" t="n">
        <f aca="false">IF($B9="","",IF(AND(OR(Contacts!$C$3="(All)",$D9=Contacts!$C$3),OR(Contacts!$E$3="(All)",$G9=Contacts!$E$3),OR(Contacts!$G$3="(All)",ISNUMBER(SEARCH(Contacts!$G$3,$V9))),OR(Contacts!$I$3="(All)",$X9=Contacts!$I$3),OR(Contacts!$K$3="",ISNUMBER(SEARCH(Contacts!$K$3,$B9&amp;" "&amp;$C9&amp;" "&amp;$D9&amp;" "&amp;$S9)))),1,0))</f>
        <v>1</v>
      </c>
      <c r="AA9" s="47" t="n">
        <f aca="false">IF($Z9=1,COUNTIFS(c_Pass,1,c_Sort,"&lt;="&amp;$Y9),"")</f>
        <v>8</v>
      </c>
      <c r="AB9" s="47" t="str">
        <f aca="false">IF(OR($G9&lt;&gt;"Yes",NOT(ISNUMBER($H9))),"",COUNTIFS(c_Met,"Yes",c_Date,"&lt;"&amp;$H9)+COUNTIFS($G$2:$G9,"Yes",$H$2:$H9,$H9))</f>
        <v/>
      </c>
    </row>
    <row r="10" customFormat="false" ht="15" hidden="false" customHeight="false" outlineLevel="0" collapsed="false">
      <c r="A10" s="44" t="n">
        <f aca="false">IF($B10="","",COUNTA($B$2:$B10))</f>
        <v>9</v>
      </c>
      <c r="B10" s="11" t="s">
        <v>153</v>
      </c>
      <c r="C10" s="11" t="s">
        <v>154</v>
      </c>
      <c r="D10" s="11" t="s">
        <v>31</v>
      </c>
      <c r="E10" s="11" t="s">
        <v>131</v>
      </c>
      <c r="F10" s="11" t="s">
        <v>141</v>
      </c>
      <c r="G10" s="34" t="s">
        <v>132</v>
      </c>
      <c r="H10" s="25"/>
      <c r="I10" s="40" t="n">
        <v>0</v>
      </c>
      <c r="J10" s="34" t="s">
        <v>132</v>
      </c>
      <c r="K10" s="45" t="n">
        <v>10000000</v>
      </c>
      <c r="L10" s="34"/>
      <c r="M10" s="34"/>
      <c r="N10" s="11" t="s">
        <v>55</v>
      </c>
      <c r="O10" s="11" t="s">
        <v>57</v>
      </c>
      <c r="P10" s="11" t="s">
        <v>133</v>
      </c>
      <c r="Q10" s="11" t="s">
        <v>133</v>
      </c>
      <c r="R10" s="11" t="s">
        <v>133</v>
      </c>
      <c r="S10" s="46"/>
      <c r="T10" s="44" t="n">
        <f aca="false">IF($B10="","",COUNTA($N10:$R10)-COUNTIF($N10:$R10,"Not Invited"))</f>
        <v>2</v>
      </c>
      <c r="U10" s="44" t="n">
        <f aca="false">IF($B10="","",COUNTIF($N10:$R10,"Attended"))</f>
        <v>1</v>
      </c>
      <c r="V10" s="47" t="str">
        <f aca="false">IF($B10="","",_xlfn.TEXTJOIN(", ",TRUE(),IF($N10="Attended",Setup!$D$15,""),IF($O10="Attended",Setup!$D$16,""),IF($P10="Attended",Setup!$D$17,""),IF($Q10="Attended",Setup!$D$18,""),IF($R10="Attended",Setup!$D$19,"")))</f>
        <v>Oct-25 Symposium</v>
      </c>
      <c r="W10" s="48" t="str">
        <f aca="true">IF(OR($B10="",NOT(ISNUMBER($H10))),"",TODAY()-$H10)</f>
        <v/>
      </c>
      <c r="X10" s="47" t="str">
        <f aca="false">IF($B10="","",IF($U10&gt;0,"Event attendee",IF($G10="Yes","Met (no event)",IF($T10&gt;0,"Invited only",IF(OR($L10="Yes",$M10="Yes"),"Contacted only","Not yet contacted")))))</f>
        <v>Event attendee</v>
      </c>
      <c r="Y10" s="47" t="n">
        <f aca="false">IF($B10="","",COUNTIF(c_Firm,"&lt;"&amp;$D10)+COUNTIFS(c_Firm,$D10,c_Name,"&lt;"&amp;$B10)+COUNTIFS($D$2:$D10,$D10,$B$2:$B10,$B10))</f>
        <v>9</v>
      </c>
      <c r="Z10" s="47" t="n">
        <f aca="false">IF($B10="","",IF(AND(OR(Contacts!$C$3="(All)",$D10=Contacts!$C$3),OR(Contacts!$E$3="(All)",$G10=Contacts!$E$3),OR(Contacts!$G$3="(All)",ISNUMBER(SEARCH(Contacts!$G$3,$V10))),OR(Contacts!$I$3="(All)",$X10=Contacts!$I$3),OR(Contacts!$K$3="",ISNUMBER(SEARCH(Contacts!$K$3,$B10&amp;" "&amp;$C10&amp;" "&amp;$D10&amp;" "&amp;$S10)))),1,0))</f>
        <v>1</v>
      </c>
      <c r="AA10" s="47" t="n">
        <f aca="false">IF($Z10=1,COUNTIFS(c_Pass,1,c_Sort,"&lt;="&amp;$Y10),"")</f>
        <v>9</v>
      </c>
      <c r="AB10" s="47" t="str">
        <f aca="false">IF(OR($G10&lt;&gt;"Yes",NOT(ISNUMBER($H10))),"",COUNTIFS(c_Met,"Yes",c_Date,"&lt;"&amp;$H10)+COUNTIFS($G$2:$G10,"Yes",$H$2:$H10,$H10))</f>
        <v/>
      </c>
    </row>
    <row r="11" customFormat="false" ht="15" hidden="false" customHeight="false" outlineLevel="0" collapsed="false">
      <c r="A11" s="44" t="n">
        <f aca="false">IF($B11="","",COUNTA($B$2:$B11))</f>
        <v>10</v>
      </c>
      <c r="B11" s="11" t="s">
        <v>155</v>
      </c>
      <c r="C11" s="11" t="s">
        <v>156</v>
      </c>
      <c r="D11" s="11" t="s">
        <v>31</v>
      </c>
      <c r="E11" s="11" t="s">
        <v>131</v>
      </c>
      <c r="F11" s="11" t="s">
        <v>141</v>
      </c>
      <c r="G11" s="34" t="s">
        <v>142</v>
      </c>
      <c r="H11" s="25" t="n">
        <v>45923</v>
      </c>
      <c r="I11" s="40" t="n">
        <v>1</v>
      </c>
      <c r="J11" s="34" t="s">
        <v>132</v>
      </c>
      <c r="K11" s="45" t="n">
        <v>4000000</v>
      </c>
      <c r="L11" s="34"/>
      <c r="M11" s="34"/>
      <c r="N11" s="11" t="s">
        <v>57</v>
      </c>
      <c r="O11" s="11" t="s">
        <v>57</v>
      </c>
      <c r="P11" s="11" t="s">
        <v>133</v>
      </c>
      <c r="Q11" s="11" t="s">
        <v>133</v>
      </c>
      <c r="R11" s="11" t="s">
        <v>133</v>
      </c>
      <c r="S11" s="46" t="s">
        <v>146</v>
      </c>
      <c r="T11" s="44" t="n">
        <f aca="false">IF($B11="","",COUNTA($N11:$R11)-COUNTIF($N11:$R11,"Not Invited"))</f>
        <v>2</v>
      </c>
      <c r="U11" s="44" t="n">
        <f aca="false">IF($B11="","",COUNTIF($N11:$R11,"Attended"))</f>
        <v>0</v>
      </c>
      <c r="V11" s="47" t="str">
        <f aca="false">IF($B11="","",_xlfn.TEXTJOIN(", ",TRUE(),IF($N11="Attended",Setup!$D$15,""),IF($O11="Attended",Setup!$D$16,""),IF($P11="Attended",Setup!$D$17,""),IF($Q11="Attended",Setup!$D$18,""),IF($R11="Attended",Setup!$D$19,"")))</f>
        <v/>
      </c>
      <c r="W11" s="48" t="n">
        <f aca="true">IF(OR($B11="",NOT(ISNUMBER($H11))),"",TODAY()-$H11)</f>
        <v>318</v>
      </c>
      <c r="X11" s="47" t="str">
        <f aca="false">IF($B11="","",IF($U11&gt;0,"Event attendee",IF($G11="Yes","Met (no event)",IF($T11&gt;0,"Invited only",IF(OR($L11="Yes",$M11="Yes"),"Contacted only","Not yet contacted")))))</f>
        <v>Met (no event)</v>
      </c>
      <c r="Y11" s="47" t="n">
        <f aca="false">IF($B11="","",COUNTIF(c_Firm,"&lt;"&amp;$D11)+COUNTIFS(c_Firm,$D11,c_Name,"&lt;"&amp;$B11)+COUNTIFS($D$2:$D11,$D11,$B$2:$B11,$B11))</f>
        <v>10</v>
      </c>
      <c r="Z11" s="47" t="n">
        <f aca="false">IF($B11="","",IF(AND(OR(Contacts!$C$3="(All)",$D11=Contacts!$C$3),OR(Contacts!$E$3="(All)",$G11=Contacts!$E$3),OR(Contacts!$G$3="(All)",ISNUMBER(SEARCH(Contacts!$G$3,$V11))),OR(Contacts!$I$3="(All)",$X11=Contacts!$I$3),OR(Contacts!$K$3="",ISNUMBER(SEARCH(Contacts!$K$3,$B11&amp;" "&amp;$C11&amp;" "&amp;$D11&amp;" "&amp;$S11)))),1,0))</f>
        <v>1</v>
      </c>
      <c r="AA11" s="47" t="n">
        <f aca="false">IF($Z11=1,COUNTIFS(c_Pass,1,c_Sort,"&lt;="&amp;$Y11),"")</f>
        <v>10</v>
      </c>
      <c r="AB11" s="47" t="n">
        <f aca="false">IF(OR($G11&lt;&gt;"Yes",NOT(ISNUMBER($H11))),"",COUNTIFS(c_Met,"Yes",c_Date,"&lt;"&amp;$H11)+COUNTIFS($G$2:$G11,"Yes",$H$2:$H11,$H11))</f>
        <v>19</v>
      </c>
    </row>
    <row r="12" customFormat="false" ht="15" hidden="false" customHeight="false" outlineLevel="0" collapsed="false">
      <c r="A12" s="44" t="n">
        <f aca="false">IF($B12="","",COUNTA($B$2:$B12))</f>
        <v>11</v>
      </c>
      <c r="B12" s="11" t="s">
        <v>157</v>
      </c>
      <c r="C12" s="11" t="s">
        <v>158</v>
      </c>
      <c r="D12" s="11" t="s">
        <v>31</v>
      </c>
      <c r="E12" s="11" t="s">
        <v>131</v>
      </c>
      <c r="F12" s="11" t="s">
        <v>66</v>
      </c>
      <c r="G12" s="34" t="s">
        <v>132</v>
      </c>
      <c r="H12" s="25"/>
      <c r="I12" s="40" t="n">
        <v>0</v>
      </c>
      <c r="J12" s="34" t="s">
        <v>132</v>
      </c>
      <c r="K12" s="45"/>
      <c r="L12" s="34"/>
      <c r="M12" s="34"/>
      <c r="N12" s="11" t="s">
        <v>133</v>
      </c>
      <c r="O12" s="11" t="s">
        <v>143</v>
      </c>
      <c r="P12" s="11" t="s">
        <v>133</v>
      </c>
      <c r="Q12" s="11" t="s">
        <v>133</v>
      </c>
      <c r="R12" s="11" t="s">
        <v>133</v>
      </c>
      <c r="S12" s="46"/>
      <c r="T12" s="44" t="n">
        <f aca="false">IF($B12="","",COUNTA($N12:$R12)-COUNTIF($N12:$R12,"Not Invited"))</f>
        <v>1</v>
      </c>
      <c r="U12" s="44" t="n">
        <f aca="false">IF($B12="","",COUNTIF($N12:$R12,"Attended"))</f>
        <v>0</v>
      </c>
      <c r="V12" s="47" t="str">
        <f aca="false">IF($B12="","",_xlfn.TEXTJOIN(", ",TRUE(),IF($N12="Attended",Setup!$D$15,""),IF($O12="Attended",Setup!$D$16,""),IF($P12="Attended",Setup!$D$17,""),IF($Q12="Attended",Setup!$D$18,""),IF($R12="Attended",Setup!$D$19,"")))</f>
        <v/>
      </c>
      <c r="W12" s="48" t="str">
        <f aca="true">IF(OR($B12="",NOT(ISNUMBER($H12))),"",TODAY()-$H12)</f>
        <v/>
      </c>
      <c r="X12" s="47" t="str">
        <f aca="false">IF($B12="","",IF($U12&gt;0,"Event attendee",IF($G12="Yes","Met (no event)",IF($T12&gt;0,"Invited only",IF(OR($L12="Yes",$M12="Yes"),"Contacted only","Not yet contacted")))))</f>
        <v>Invited only</v>
      </c>
      <c r="Y12" s="47" t="n">
        <f aca="false">IF($B12="","",COUNTIF(c_Firm,"&lt;"&amp;$D12)+COUNTIFS(c_Firm,$D12,c_Name,"&lt;"&amp;$B12)+COUNTIFS($D$2:$D12,$D12,$B$2:$B12,$B12))</f>
        <v>11</v>
      </c>
      <c r="Z12" s="47" t="n">
        <f aca="false">IF($B12="","",IF(AND(OR(Contacts!$C$3="(All)",$D12=Contacts!$C$3),OR(Contacts!$E$3="(All)",$G12=Contacts!$E$3),OR(Contacts!$G$3="(All)",ISNUMBER(SEARCH(Contacts!$G$3,$V12))),OR(Contacts!$I$3="(All)",$X12=Contacts!$I$3),OR(Contacts!$K$3="",ISNUMBER(SEARCH(Contacts!$K$3,$B12&amp;" "&amp;$C12&amp;" "&amp;$D12&amp;" "&amp;$S12)))),1,0))</f>
        <v>1</v>
      </c>
      <c r="AA12" s="47" t="n">
        <f aca="false">IF($Z12=1,COUNTIFS(c_Pass,1,c_Sort,"&lt;="&amp;$Y12),"")</f>
        <v>11</v>
      </c>
      <c r="AB12" s="47" t="str">
        <f aca="false">IF(OR($G12&lt;&gt;"Yes",NOT(ISNUMBER($H12))),"",COUNTIFS(c_Met,"Yes",c_Date,"&lt;"&amp;$H12)+COUNTIFS($G$2:$G12,"Yes",$H$2:$H12,$H12))</f>
        <v/>
      </c>
    </row>
    <row r="13" customFormat="false" ht="15" hidden="false" customHeight="false" outlineLevel="0" collapsed="false">
      <c r="A13" s="44" t="n">
        <f aca="false">IF($B13="","",COUNTA($B$2:$B13))</f>
        <v>12</v>
      </c>
      <c r="B13" s="11" t="s">
        <v>159</v>
      </c>
      <c r="C13" s="11" t="s">
        <v>160</v>
      </c>
      <c r="D13" s="11" t="s">
        <v>31</v>
      </c>
      <c r="E13" s="11" t="s">
        <v>131</v>
      </c>
      <c r="F13" s="11" t="s">
        <v>66</v>
      </c>
      <c r="G13" s="34" t="s">
        <v>132</v>
      </c>
      <c r="H13" s="25"/>
      <c r="I13" s="40" t="n">
        <v>0</v>
      </c>
      <c r="J13" s="34" t="s">
        <v>132</v>
      </c>
      <c r="K13" s="45"/>
      <c r="L13" s="34"/>
      <c r="M13" s="34"/>
      <c r="N13" s="11" t="s">
        <v>133</v>
      </c>
      <c r="O13" s="11" t="s">
        <v>55</v>
      </c>
      <c r="P13" s="11" t="s">
        <v>133</v>
      </c>
      <c r="Q13" s="11" t="s">
        <v>133</v>
      </c>
      <c r="R13" s="11" t="s">
        <v>133</v>
      </c>
      <c r="S13" s="46"/>
      <c r="T13" s="44" t="n">
        <f aca="false">IF($B13="","",COUNTA($N13:$R13)-COUNTIF($N13:$R13,"Not Invited"))</f>
        <v>1</v>
      </c>
      <c r="U13" s="44" t="n">
        <f aca="false">IF($B13="","",COUNTIF($N13:$R13,"Attended"))</f>
        <v>1</v>
      </c>
      <c r="V13" s="47" t="str">
        <f aca="false">IF($B13="","",_xlfn.TEXTJOIN(", ",TRUE(),IF($N13="Attended",Setup!$D$15,""),IF($O13="Attended",Setup!$D$16,""),IF($P13="Attended",Setup!$D$17,""),IF($Q13="Attended",Setup!$D$18,""),IF($R13="Attended",Setup!$D$19,"")))</f>
        <v>May-26 Symposium</v>
      </c>
      <c r="W13" s="48" t="str">
        <f aca="true">IF(OR($B13="",NOT(ISNUMBER($H13))),"",TODAY()-$H13)</f>
        <v/>
      </c>
      <c r="X13" s="47" t="str">
        <f aca="false">IF($B13="","",IF($U13&gt;0,"Event attendee",IF($G13="Yes","Met (no event)",IF($T13&gt;0,"Invited only",IF(OR($L13="Yes",$M13="Yes"),"Contacted only","Not yet contacted")))))</f>
        <v>Event attendee</v>
      </c>
      <c r="Y13" s="47" t="n">
        <f aca="false">IF($B13="","",COUNTIF(c_Firm,"&lt;"&amp;$D13)+COUNTIFS(c_Firm,$D13,c_Name,"&lt;"&amp;$B13)+COUNTIFS($D$2:$D13,$D13,$B$2:$B13,$B13))</f>
        <v>12</v>
      </c>
      <c r="Z13" s="47" t="n">
        <f aca="false">IF($B13="","",IF(AND(OR(Contacts!$C$3="(All)",$D13=Contacts!$C$3),OR(Contacts!$E$3="(All)",$G13=Contacts!$E$3),OR(Contacts!$G$3="(All)",ISNUMBER(SEARCH(Contacts!$G$3,$V13))),OR(Contacts!$I$3="(All)",$X13=Contacts!$I$3),OR(Contacts!$K$3="",ISNUMBER(SEARCH(Contacts!$K$3,$B13&amp;" "&amp;$C13&amp;" "&amp;$D13&amp;" "&amp;$S13)))),1,0))</f>
        <v>1</v>
      </c>
      <c r="AA13" s="47" t="n">
        <f aca="false">IF($Z13=1,COUNTIFS(c_Pass,1,c_Sort,"&lt;="&amp;$Y13),"")</f>
        <v>12</v>
      </c>
      <c r="AB13" s="47" t="str">
        <f aca="false">IF(OR($G13&lt;&gt;"Yes",NOT(ISNUMBER($H13))),"",COUNTIFS(c_Met,"Yes",c_Date,"&lt;"&amp;$H13)+COUNTIFS($G$2:$G13,"Yes",$H$2:$H13,$H13))</f>
        <v/>
      </c>
    </row>
    <row r="14" customFormat="false" ht="15" hidden="false" customHeight="false" outlineLevel="0" collapsed="false">
      <c r="A14" s="44" t="n">
        <f aca="false">IF($B14="","",COUNTA($B$2:$B14))</f>
        <v>13</v>
      </c>
      <c r="B14" s="11" t="s">
        <v>161</v>
      </c>
      <c r="C14" s="11" t="s">
        <v>162</v>
      </c>
      <c r="D14" s="11" t="s">
        <v>31</v>
      </c>
      <c r="E14" s="11" t="s">
        <v>131</v>
      </c>
      <c r="F14" s="11" t="s">
        <v>66</v>
      </c>
      <c r="G14" s="34" t="s">
        <v>132</v>
      </c>
      <c r="H14" s="25"/>
      <c r="I14" s="40" t="n">
        <v>0</v>
      </c>
      <c r="J14" s="34" t="s">
        <v>132</v>
      </c>
      <c r="K14" s="45"/>
      <c r="L14" s="34"/>
      <c r="M14" s="34"/>
      <c r="N14" s="11" t="s">
        <v>133</v>
      </c>
      <c r="O14" s="11" t="s">
        <v>55</v>
      </c>
      <c r="P14" s="11" t="s">
        <v>133</v>
      </c>
      <c r="Q14" s="11" t="s">
        <v>133</v>
      </c>
      <c r="R14" s="11" t="s">
        <v>133</v>
      </c>
      <c r="S14" s="46"/>
      <c r="T14" s="44" t="n">
        <f aca="false">IF($B14="","",COUNTA($N14:$R14)-COUNTIF($N14:$R14,"Not Invited"))</f>
        <v>1</v>
      </c>
      <c r="U14" s="44" t="n">
        <f aca="false">IF($B14="","",COUNTIF($N14:$R14,"Attended"))</f>
        <v>1</v>
      </c>
      <c r="V14" s="47" t="str">
        <f aca="false">IF($B14="","",_xlfn.TEXTJOIN(", ",TRUE(),IF($N14="Attended",Setup!$D$15,""),IF($O14="Attended",Setup!$D$16,""),IF($P14="Attended",Setup!$D$17,""),IF($Q14="Attended",Setup!$D$18,""),IF($R14="Attended",Setup!$D$19,"")))</f>
        <v>May-26 Symposium</v>
      </c>
      <c r="W14" s="48" t="str">
        <f aca="true">IF(OR($B14="",NOT(ISNUMBER($H14))),"",TODAY()-$H14)</f>
        <v/>
      </c>
      <c r="X14" s="47" t="str">
        <f aca="false">IF($B14="","",IF($U14&gt;0,"Event attendee",IF($G14="Yes","Met (no event)",IF($T14&gt;0,"Invited only",IF(OR($L14="Yes",$M14="Yes"),"Contacted only","Not yet contacted")))))</f>
        <v>Event attendee</v>
      </c>
      <c r="Y14" s="47" t="n">
        <f aca="false">IF($B14="","",COUNTIF(c_Firm,"&lt;"&amp;$D14)+COUNTIFS(c_Firm,$D14,c_Name,"&lt;"&amp;$B14)+COUNTIFS($D$2:$D14,$D14,$B$2:$B14,$B14))</f>
        <v>13</v>
      </c>
      <c r="Z14" s="47" t="n">
        <f aca="false">IF($B14="","",IF(AND(OR(Contacts!$C$3="(All)",$D14=Contacts!$C$3),OR(Contacts!$E$3="(All)",$G14=Contacts!$E$3),OR(Contacts!$G$3="(All)",ISNUMBER(SEARCH(Contacts!$G$3,$V14))),OR(Contacts!$I$3="(All)",$X14=Contacts!$I$3),OR(Contacts!$K$3="",ISNUMBER(SEARCH(Contacts!$K$3,$B14&amp;" "&amp;$C14&amp;" "&amp;$D14&amp;" "&amp;$S14)))),1,0))</f>
        <v>1</v>
      </c>
      <c r="AA14" s="47" t="n">
        <f aca="false">IF($Z14=1,COUNTIFS(c_Pass,1,c_Sort,"&lt;="&amp;$Y14),"")</f>
        <v>13</v>
      </c>
      <c r="AB14" s="47" t="str">
        <f aca="false">IF(OR($G14&lt;&gt;"Yes",NOT(ISNUMBER($H14))),"",COUNTIFS(c_Met,"Yes",c_Date,"&lt;"&amp;$H14)+COUNTIFS($G$2:$G14,"Yes",$H$2:$H14,$H14))</f>
        <v/>
      </c>
    </row>
    <row r="15" customFormat="false" ht="15" hidden="false" customHeight="false" outlineLevel="0" collapsed="false">
      <c r="A15" s="44" t="n">
        <f aca="false">IF($B15="","",COUNTA($B$2:$B15))</f>
        <v>14</v>
      </c>
      <c r="B15" s="11" t="s">
        <v>163</v>
      </c>
      <c r="C15" s="11" t="s">
        <v>164</v>
      </c>
      <c r="D15" s="11" t="s">
        <v>31</v>
      </c>
      <c r="E15" s="11" t="s">
        <v>131</v>
      </c>
      <c r="F15" s="11" t="s">
        <v>141</v>
      </c>
      <c r="G15" s="34" t="s">
        <v>142</v>
      </c>
      <c r="H15" s="25" t="n">
        <v>45919</v>
      </c>
      <c r="I15" s="40" t="n">
        <v>1</v>
      </c>
      <c r="J15" s="34" t="s">
        <v>132</v>
      </c>
      <c r="K15" s="45" t="n">
        <v>5000000</v>
      </c>
      <c r="L15" s="34"/>
      <c r="M15" s="34"/>
      <c r="N15" s="11" t="s">
        <v>55</v>
      </c>
      <c r="O15" s="11" t="s">
        <v>57</v>
      </c>
      <c r="P15" s="11" t="s">
        <v>133</v>
      </c>
      <c r="Q15" s="11" t="s">
        <v>133</v>
      </c>
      <c r="R15" s="11" t="s">
        <v>133</v>
      </c>
      <c r="S15" s="46"/>
      <c r="T15" s="44" t="n">
        <f aca="false">IF($B15="","",COUNTA($N15:$R15)-COUNTIF($N15:$R15,"Not Invited"))</f>
        <v>2</v>
      </c>
      <c r="U15" s="44" t="n">
        <f aca="false">IF($B15="","",COUNTIF($N15:$R15,"Attended"))</f>
        <v>1</v>
      </c>
      <c r="V15" s="47" t="str">
        <f aca="false">IF($B15="","",_xlfn.TEXTJOIN(", ",TRUE(),IF($N15="Attended",Setup!$D$15,""),IF($O15="Attended",Setup!$D$16,""),IF($P15="Attended",Setup!$D$17,""),IF($Q15="Attended",Setup!$D$18,""),IF($R15="Attended",Setup!$D$19,"")))</f>
        <v>Oct-25 Symposium</v>
      </c>
      <c r="W15" s="48" t="n">
        <f aca="true">IF(OR($B15="",NOT(ISNUMBER($H15))),"",TODAY()-$H15)</f>
        <v>322</v>
      </c>
      <c r="X15" s="47" t="str">
        <f aca="false">IF($B15="","",IF($U15&gt;0,"Event attendee",IF($G15="Yes","Met (no event)",IF($T15&gt;0,"Invited only",IF(OR($L15="Yes",$M15="Yes"),"Contacted only","Not yet contacted")))))</f>
        <v>Event attendee</v>
      </c>
      <c r="Y15" s="47" t="n">
        <f aca="false">IF($B15="","",COUNTIF(c_Firm,"&lt;"&amp;$D15)+COUNTIFS(c_Firm,$D15,c_Name,"&lt;"&amp;$B15)+COUNTIFS($D$2:$D15,$D15,$B$2:$B15,$B15))</f>
        <v>14</v>
      </c>
      <c r="Z15" s="47" t="n">
        <f aca="false">IF($B15="","",IF(AND(OR(Contacts!$C$3="(All)",$D15=Contacts!$C$3),OR(Contacts!$E$3="(All)",$G15=Contacts!$E$3),OR(Contacts!$G$3="(All)",ISNUMBER(SEARCH(Contacts!$G$3,$V15))),OR(Contacts!$I$3="(All)",$X15=Contacts!$I$3),OR(Contacts!$K$3="",ISNUMBER(SEARCH(Contacts!$K$3,$B15&amp;" "&amp;$C15&amp;" "&amp;$D15&amp;" "&amp;$S15)))),1,0))</f>
        <v>1</v>
      </c>
      <c r="AA15" s="47" t="n">
        <f aca="false">IF($Z15=1,COUNTIFS(c_Pass,1,c_Sort,"&lt;="&amp;$Y15),"")</f>
        <v>14</v>
      </c>
      <c r="AB15" s="47" t="n">
        <f aca="false">IF(OR($G15&lt;&gt;"Yes",NOT(ISNUMBER($H15))),"",COUNTIFS(c_Met,"Yes",c_Date,"&lt;"&amp;$H15)+COUNTIFS($G$2:$G15,"Yes",$H$2:$H15,$H15))</f>
        <v>16</v>
      </c>
    </row>
    <row r="16" customFormat="false" ht="15" hidden="false" customHeight="false" outlineLevel="0" collapsed="false">
      <c r="A16" s="44" t="n">
        <f aca="false">IF($B16="","",COUNTA($B$2:$B16))</f>
        <v>15</v>
      </c>
      <c r="B16" s="11" t="s">
        <v>165</v>
      </c>
      <c r="C16" s="11" t="s">
        <v>166</v>
      </c>
      <c r="D16" s="11" t="s">
        <v>31</v>
      </c>
      <c r="E16" s="11" t="s">
        <v>131</v>
      </c>
      <c r="F16" s="11" t="s">
        <v>141</v>
      </c>
      <c r="G16" s="34" t="s">
        <v>142</v>
      </c>
      <c r="H16" s="25" t="n">
        <v>45965</v>
      </c>
      <c r="I16" s="40" t="n">
        <v>1</v>
      </c>
      <c r="J16" s="34" t="s">
        <v>132</v>
      </c>
      <c r="K16" s="45" t="n">
        <v>3000000</v>
      </c>
      <c r="L16" s="34"/>
      <c r="M16" s="34"/>
      <c r="N16" s="11" t="s">
        <v>143</v>
      </c>
      <c r="O16" s="11" t="s">
        <v>55</v>
      </c>
      <c r="P16" s="11" t="s">
        <v>133</v>
      </c>
      <c r="Q16" s="11" t="s">
        <v>133</v>
      </c>
      <c r="R16" s="11" t="s">
        <v>133</v>
      </c>
      <c r="S16" s="46"/>
      <c r="T16" s="44" t="n">
        <f aca="false">IF($B16="","",COUNTA($N16:$R16)-COUNTIF($N16:$R16,"Not Invited"))</f>
        <v>2</v>
      </c>
      <c r="U16" s="44" t="n">
        <f aca="false">IF($B16="","",COUNTIF($N16:$R16,"Attended"))</f>
        <v>1</v>
      </c>
      <c r="V16" s="47" t="str">
        <f aca="false">IF($B16="","",_xlfn.TEXTJOIN(", ",TRUE(),IF($N16="Attended",Setup!$D$15,""),IF($O16="Attended",Setup!$D$16,""),IF($P16="Attended",Setup!$D$17,""),IF($Q16="Attended",Setup!$D$18,""),IF($R16="Attended",Setup!$D$19,"")))</f>
        <v>May-26 Symposium</v>
      </c>
      <c r="W16" s="48" t="n">
        <f aca="true">IF(OR($B16="",NOT(ISNUMBER($H16))),"",TODAY()-$H16)</f>
        <v>276</v>
      </c>
      <c r="X16" s="47" t="str">
        <f aca="false">IF($B16="","",IF($U16&gt;0,"Event attendee",IF($G16="Yes","Met (no event)",IF($T16&gt;0,"Invited only",IF(OR($L16="Yes",$M16="Yes"),"Contacted only","Not yet contacted")))))</f>
        <v>Event attendee</v>
      </c>
      <c r="Y16" s="47" t="n">
        <f aca="false">IF($B16="","",COUNTIF(c_Firm,"&lt;"&amp;$D16)+COUNTIFS(c_Firm,$D16,c_Name,"&lt;"&amp;$B16)+COUNTIFS($D$2:$D16,$D16,$B$2:$B16,$B16))</f>
        <v>15</v>
      </c>
      <c r="Z16" s="47" t="n">
        <f aca="false">IF($B16="","",IF(AND(OR(Contacts!$C$3="(All)",$D16=Contacts!$C$3),OR(Contacts!$E$3="(All)",$G16=Contacts!$E$3),OR(Contacts!$G$3="(All)",ISNUMBER(SEARCH(Contacts!$G$3,$V16))),OR(Contacts!$I$3="(All)",$X16=Contacts!$I$3),OR(Contacts!$K$3="",ISNUMBER(SEARCH(Contacts!$K$3,$B16&amp;" "&amp;$C16&amp;" "&amp;$D16&amp;" "&amp;$S16)))),1,0))</f>
        <v>1</v>
      </c>
      <c r="AA16" s="47" t="n">
        <f aca="false">IF($Z16=1,COUNTIFS(c_Pass,1,c_Sort,"&lt;="&amp;$Y16),"")</f>
        <v>15</v>
      </c>
      <c r="AB16" s="47" t="n">
        <f aca="false">IF(OR($G16&lt;&gt;"Yes",NOT(ISNUMBER($H16))),"",COUNTIFS(c_Met,"Yes",c_Date,"&lt;"&amp;$H16)+COUNTIFS($G$2:$G16,"Yes",$H$2:$H16,$H16))</f>
        <v>31</v>
      </c>
    </row>
    <row r="17" customFormat="false" ht="15" hidden="false" customHeight="false" outlineLevel="0" collapsed="false">
      <c r="A17" s="44" t="n">
        <f aca="false">IF($B17="","",COUNTA($B$2:$B17))</f>
        <v>16</v>
      </c>
      <c r="B17" s="11" t="s">
        <v>167</v>
      </c>
      <c r="C17" s="11" t="s">
        <v>168</v>
      </c>
      <c r="D17" s="11" t="s">
        <v>31</v>
      </c>
      <c r="E17" s="11" t="s">
        <v>131</v>
      </c>
      <c r="F17" s="11" t="s">
        <v>141</v>
      </c>
      <c r="G17" s="34" t="s">
        <v>132</v>
      </c>
      <c r="H17" s="25"/>
      <c r="I17" s="40" t="n">
        <v>0</v>
      </c>
      <c r="J17" s="34" t="s">
        <v>132</v>
      </c>
      <c r="K17" s="45"/>
      <c r="L17" s="34"/>
      <c r="M17" s="34"/>
      <c r="N17" s="11" t="s">
        <v>55</v>
      </c>
      <c r="O17" s="11" t="s">
        <v>143</v>
      </c>
      <c r="P17" s="11" t="s">
        <v>133</v>
      </c>
      <c r="Q17" s="11" t="s">
        <v>133</v>
      </c>
      <c r="R17" s="11" t="s">
        <v>133</v>
      </c>
      <c r="S17" s="46" t="s">
        <v>169</v>
      </c>
      <c r="T17" s="44" t="n">
        <f aca="false">IF($B17="","",COUNTA($N17:$R17)-COUNTIF($N17:$R17,"Not Invited"))</f>
        <v>2</v>
      </c>
      <c r="U17" s="44" t="n">
        <f aca="false">IF($B17="","",COUNTIF($N17:$R17,"Attended"))</f>
        <v>1</v>
      </c>
      <c r="V17" s="47" t="str">
        <f aca="false">IF($B17="","",_xlfn.TEXTJOIN(", ",TRUE(),IF($N17="Attended",Setup!$D$15,""),IF($O17="Attended",Setup!$D$16,""),IF($P17="Attended",Setup!$D$17,""),IF($Q17="Attended",Setup!$D$18,""),IF($R17="Attended",Setup!$D$19,"")))</f>
        <v>Oct-25 Symposium</v>
      </c>
      <c r="W17" s="48" t="str">
        <f aca="true">IF(OR($B17="",NOT(ISNUMBER($H17))),"",TODAY()-$H17)</f>
        <v/>
      </c>
      <c r="X17" s="47" t="str">
        <f aca="false">IF($B17="","",IF($U17&gt;0,"Event attendee",IF($G17="Yes","Met (no event)",IF($T17&gt;0,"Invited only",IF(OR($L17="Yes",$M17="Yes"),"Contacted only","Not yet contacted")))))</f>
        <v>Event attendee</v>
      </c>
      <c r="Y17" s="47" t="n">
        <f aca="false">IF($B17="","",COUNTIF(c_Firm,"&lt;"&amp;$D17)+COUNTIFS(c_Firm,$D17,c_Name,"&lt;"&amp;$B17)+COUNTIFS($D$2:$D17,$D17,$B$2:$B17,$B17))</f>
        <v>16</v>
      </c>
      <c r="Z17" s="47" t="n">
        <f aca="false">IF($B17="","",IF(AND(OR(Contacts!$C$3="(All)",$D17=Contacts!$C$3),OR(Contacts!$E$3="(All)",$G17=Contacts!$E$3),OR(Contacts!$G$3="(All)",ISNUMBER(SEARCH(Contacts!$G$3,$V17))),OR(Contacts!$I$3="(All)",$X17=Contacts!$I$3),OR(Contacts!$K$3="",ISNUMBER(SEARCH(Contacts!$K$3,$B17&amp;" "&amp;$C17&amp;" "&amp;$D17&amp;" "&amp;$S17)))),1,0))</f>
        <v>1</v>
      </c>
      <c r="AA17" s="47" t="n">
        <f aca="false">IF($Z17=1,COUNTIFS(c_Pass,1,c_Sort,"&lt;="&amp;$Y17),"")</f>
        <v>16</v>
      </c>
      <c r="AB17" s="47" t="str">
        <f aca="false">IF(OR($G17&lt;&gt;"Yes",NOT(ISNUMBER($H17))),"",COUNTIFS(c_Met,"Yes",c_Date,"&lt;"&amp;$H17)+COUNTIFS($G$2:$G17,"Yes",$H$2:$H17,$H17))</f>
        <v/>
      </c>
    </row>
    <row r="18" customFormat="false" ht="15" hidden="false" customHeight="false" outlineLevel="0" collapsed="false">
      <c r="A18" s="44" t="n">
        <f aca="false">IF($B18="","",COUNTA($B$2:$B18))</f>
        <v>17</v>
      </c>
      <c r="B18" s="11" t="s">
        <v>170</v>
      </c>
      <c r="C18" s="11" t="s">
        <v>171</v>
      </c>
      <c r="D18" s="11" t="s">
        <v>31</v>
      </c>
      <c r="E18" s="11" t="s">
        <v>131</v>
      </c>
      <c r="F18" s="11" t="s">
        <v>141</v>
      </c>
      <c r="G18" s="34" t="s">
        <v>142</v>
      </c>
      <c r="H18" s="25" t="n">
        <v>46043</v>
      </c>
      <c r="I18" s="40" t="n">
        <v>1</v>
      </c>
      <c r="J18" s="34" t="s">
        <v>132</v>
      </c>
      <c r="K18" s="45" t="n">
        <v>5000000</v>
      </c>
      <c r="L18" s="34"/>
      <c r="M18" s="34"/>
      <c r="N18" s="11" t="s">
        <v>143</v>
      </c>
      <c r="O18" s="11" t="s">
        <v>57</v>
      </c>
      <c r="P18" s="11" t="s">
        <v>133</v>
      </c>
      <c r="Q18" s="11" t="s">
        <v>133</v>
      </c>
      <c r="R18" s="11" t="s">
        <v>133</v>
      </c>
      <c r="S18" s="46"/>
      <c r="T18" s="44" t="n">
        <f aca="false">IF($B18="","",COUNTA($N18:$R18)-COUNTIF($N18:$R18,"Not Invited"))</f>
        <v>2</v>
      </c>
      <c r="U18" s="44" t="n">
        <f aca="false">IF($B18="","",COUNTIF($N18:$R18,"Attended"))</f>
        <v>0</v>
      </c>
      <c r="V18" s="47" t="str">
        <f aca="false">IF($B18="","",_xlfn.TEXTJOIN(", ",TRUE(),IF($N18="Attended",Setup!$D$15,""),IF($O18="Attended",Setup!$D$16,""),IF($P18="Attended",Setup!$D$17,""),IF($Q18="Attended",Setup!$D$18,""),IF($R18="Attended",Setup!$D$19,"")))</f>
        <v/>
      </c>
      <c r="W18" s="48" t="n">
        <f aca="true">IF(OR($B18="",NOT(ISNUMBER($H18))),"",TODAY()-$H18)</f>
        <v>198</v>
      </c>
      <c r="X18" s="47" t="str">
        <f aca="false">IF($B18="","",IF($U18&gt;0,"Event attendee",IF($G18="Yes","Met (no event)",IF($T18&gt;0,"Invited only",IF(OR($L18="Yes",$M18="Yes"),"Contacted only","Not yet contacted")))))</f>
        <v>Met (no event)</v>
      </c>
      <c r="Y18" s="47" t="n">
        <f aca="false">IF($B18="","",COUNTIF(c_Firm,"&lt;"&amp;$D18)+COUNTIFS(c_Firm,$D18,c_Name,"&lt;"&amp;$B18)+COUNTIFS($D$2:$D18,$D18,$B$2:$B18,$B18))</f>
        <v>17</v>
      </c>
      <c r="Z18" s="47" t="n">
        <f aca="false">IF($B18="","",IF(AND(OR(Contacts!$C$3="(All)",$D18=Contacts!$C$3),OR(Contacts!$E$3="(All)",$G18=Contacts!$E$3),OR(Contacts!$G$3="(All)",ISNUMBER(SEARCH(Contacts!$G$3,$V18))),OR(Contacts!$I$3="(All)",$X18=Contacts!$I$3),OR(Contacts!$K$3="",ISNUMBER(SEARCH(Contacts!$K$3,$B18&amp;" "&amp;$C18&amp;" "&amp;$D18&amp;" "&amp;$S18)))),1,0))</f>
        <v>1</v>
      </c>
      <c r="AA18" s="47" t="n">
        <f aca="false">IF($Z18=1,COUNTIFS(c_Pass,1,c_Sort,"&lt;="&amp;$Y18),"")</f>
        <v>17</v>
      </c>
      <c r="AB18" s="47" t="n">
        <f aca="false">IF(OR($G18&lt;&gt;"Yes",NOT(ISNUMBER($H18))),"",COUNTIFS(c_Met,"Yes",c_Date,"&lt;"&amp;$H18)+COUNTIFS($G$2:$G18,"Yes",$H$2:$H18,$H18))</f>
        <v>41</v>
      </c>
    </row>
    <row r="19" customFormat="false" ht="15" hidden="false" customHeight="false" outlineLevel="0" collapsed="false">
      <c r="A19" s="44" t="n">
        <f aca="false">IF($B19="","",COUNTA($B$2:$B19))</f>
        <v>18</v>
      </c>
      <c r="B19" s="11" t="s">
        <v>172</v>
      </c>
      <c r="C19" s="11" t="s">
        <v>173</v>
      </c>
      <c r="D19" s="11" t="s">
        <v>31</v>
      </c>
      <c r="E19" s="11" t="s">
        <v>131</v>
      </c>
      <c r="F19" s="11" t="s">
        <v>66</v>
      </c>
      <c r="G19" s="34" t="s">
        <v>132</v>
      </c>
      <c r="H19" s="25"/>
      <c r="I19" s="40" t="n">
        <v>0</v>
      </c>
      <c r="J19" s="34" t="s">
        <v>132</v>
      </c>
      <c r="K19" s="45"/>
      <c r="L19" s="34"/>
      <c r="M19" s="34"/>
      <c r="N19" s="11" t="s">
        <v>133</v>
      </c>
      <c r="O19" s="11" t="s">
        <v>55</v>
      </c>
      <c r="P19" s="11" t="s">
        <v>133</v>
      </c>
      <c r="Q19" s="11" t="s">
        <v>133</v>
      </c>
      <c r="R19" s="11" t="s">
        <v>133</v>
      </c>
      <c r="S19" s="46"/>
      <c r="T19" s="44" t="n">
        <f aca="false">IF($B19="","",COUNTA($N19:$R19)-COUNTIF($N19:$R19,"Not Invited"))</f>
        <v>1</v>
      </c>
      <c r="U19" s="44" t="n">
        <f aca="false">IF($B19="","",COUNTIF($N19:$R19,"Attended"))</f>
        <v>1</v>
      </c>
      <c r="V19" s="47" t="str">
        <f aca="false">IF($B19="","",_xlfn.TEXTJOIN(", ",TRUE(),IF($N19="Attended",Setup!$D$15,""),IF($O19="Attended",Setup!$D$16,""),IF($P19="Attended",Setup!$D$17,""),IF($Q19="Attended",Setup!$D$18,""),IF($R19="Attended",Setup!$D$19,"")))</f>
        <v>May-26 Symposium</v>
      </c>
      <c r="W19" s="48" t="str">
        <f aca="true">IF(OR($B19="",NOT(ISNUMBER($H19))),"",TODAY()-$H19)</f>
        <v/>
      </c>
      <c r="X19" s="47" t="str">
        <f aca="false">IF($B19="","",IF($U19&gt;0,"Event attendee",IF($G19="Yes","Met (no event)",IF($T19&gt;0,"Invited only",IF(OR($L19="Yes",$M19="Yes"),"Contacted only","Not yet contacted")))))</f>
        <v>Event attendee</v>
      </c>
      <c r="Y19" s="47" t="n">
        <f aca="false">IF($B19="","",COUNTIF(c_Firm,"&lt;"&amp;$D19)+COUNTIFS(c_Firm,$D19,c_Name,"&lt;"&amp;$B19)+COUNTIFS($D$2:$D19,$D19,$B$2:$B19,$B19))</f>
        <v>18</v>
      </c>
      <c r="Z19" s="47" t="n">
        <f aca="false">IF($B19="","",IF(AND(OR(Contacts!$C$3="(All)",$D19=Contacts!$C$3),OR(Contacts!$E$3="(All)",$G19=Contacts!$E$3),OR(Contacts!$G$3="(All)",ISNUMBER(SEARCH(Contacts!$G$3,$V19))),OR(Contacts!$I$3="(All)",$X19=Contacts!$I$3),OR(Contacts!$K$3="",ISNUMBER(SEARCH(Contacts!$K$3,$B19&amp;" "&amp;$C19&amp;" "&amp;$D19&amp;" "&amp;$S19)))),1,0))</f>
        <v>1</v>
      </c>
      <c r="AA19" s="47" t="n">
        <f aca="false">IF($Z19=1,COUNTIFS(c_Pass,1,c_Sort,"&lt;="&amp;$Y19),"")</f>
        <v>18</v>
      </c>
      <c r="AB19" s="47" t="str">
        <f aca="false">IF(OR($G19&lt;&gt;"Yes",NOT(ISNUMBER($H19))),"",COUNTIFS(c_Met,"Yes",c_Date,"&lt;"&amp;$H19)+COUNTIFS($G$2:$G19,"Yes",$H$2:$H19,$H19))</f>
        <v/>
      </c>
    </row>
    <row r="20" customFormat="false" ht="15" hidden="false" customHeight="false" outlineLevel="0" collapsed="false">
      <c r="A20" s="44" t="n">
        <f aca="false">IF($B20="","",COUNTA($B$2:$B20))</f>
        <v>19</v>
      </c>
      <c r="B20" s="11" t="s">
        <v>174</v>
      </c>
      <c r="C20" s="11" t="s">
        <v>175</v>
      </c>
      <c r="D20" s="11" t="s">
        <v>31</v>
      </c>
      <c r="E20" s="11" t="s">
        <v>131</v>
      </c>
      <c r="F20" s="11" t="s">
        <v>141</v>
      </c>
      <c r="G20" s="34" t="s">
        <v>142</v>
      </c>
      <c r="H20" s="25" t="n">
        <v>45829</v>
      </c>
      <c r="I20" s="40" t="n">
        <v>1</v>
      </c>
      <c r="J20" s="34" t="s">
        <v>142</v>
      </c>
      <c r="K20" s="45" t="n">
        <v>5000000</v>
      </c>
      <c r="L20" s="34"/>
      <c r="M20" s="34"/>
      <c r="N20" s="11" t="s">
        <v>143</v>
      </c>
      <c r="O20" s="11" t="s">
        <v>57</v>
      </c>
      <c r="P20" s="11" t="s">
        <v>133</v>
      </c>
      <c r="Q20" s="11" t="s">
        <v>133</v>
      </c>
      <c r="R20" s="11" t="s">
        <v>133</v>
      </c>
      <c r="S20" s="46" t="s">
        <v>146</v>
      </c>
      <c r="T20" s="44" t="n">
        <f aca="false">IF($B20="","",COUNTA($N20:$R20)-COUNTIF($N20:$R20,"Not Invited"))</f>
        <v>2</v>
      </c>
      <c r="U20" s="44" t="n">
        <f aca="false">IF($B20="","",COUNTIF($N20:$R20,"Attended"))</f>
        <v>0</v>
      </c>
      <c r="V20" s="47" t="str">
        <f aca="false">IF($B20="","",_xlfn.TEXTJOIN(", ",TRUE(),IF($N20="Attended",Setup!$D$15,""),IF($O20="Attended",Setup!$D$16,""),IF($P20="Attended",Setup!$D$17,""),IF($Q20="Attended",Setup!$D$18,""),IF($R20="Attended",Setup!$D$19,"")))</f>
        <v/>
      </c>
      <c r="W20" s="48" t="n">
        <f aca="true">IF(OR($B20="",NOT(ISNUMBER($H20))),"",TODAY()-$H20)</f>
        <v>412</v>
      </c>
      <c r="X20" s="47" t="str">
        <f aca="false">IF($B20="","",IF($U20&gt;0,"Event attendee",IF($G20="Yes","Met (no event)",IF($T20&gt;0,"Invited only",IF(OR($L20="Yes",$M20="Yes"),"Contacted only","Not yet contacted")))))</f>
        <v>Met (no event)</v>
      </c>
      <c r="Y20" s="47" t="n">
        <f aca="false">IF($B20="","",COUNTIF(c_Firm,"&lt;"&amp;$D20)+COUNTIFS(c_Firm,$D20,c_Name,"&lt;"&amp;$B20)+COUNTIFS($D$2:$D20,$D20,$B$2:$B20,$B20))</f>
        <v>19</v>
      </c>
      <c r="Z20" s="47" t="n">
        <f aca="false">IF($B20="","",IF(AND(OR(Contacts!$C$3="(All)",$D20=Contacts!$C$3),OR(Contacts!$E$3="(All)",$G20=Contacts!$E$3),OR(Contacts!$G$3="(All)",ISNUMBER(SEARCH(Contacts!$G$3,$V20))),OR(Contacts!$I$3="(All)",$X20=Contacts!$I$3),OR(Contacts!$K$3="",ISNUMBER(SEARCH(Contacts!$K$3,$B20&amp;" "&amp;$C20&amp;" "&amp;$D20&amp;" "&amp;$S20)))),1,0))</f>
        <v>1</v>
      </c>
      <c r="AA20" s="47" t="n">
        <f aca="false">IF($Z20=1,COUNTIFS(c_Pass,1,c_Sort,"&lt;="&amp;$Y20),"")</f>
        <v>19</v>
      </c>
      <c r="AB20" s="47" t="n">
        <f aca="false">IF(OR($G20&lt;&gt;"Yes",NOT(ISNUMBER($H20))),"",COUNTIFS(c_Met,"Yes",c_Date,"&lt;"&amp;$H20)+COUNTIFS($G$2:$G20,"Yes",$H$2:$H20,$H20))</f>
        <v>8</v>
      </c>
    </row>
    <row r="21" customFormat="false" ht="15" hidden="false" customHeight="false" outlineLevel="0" collapsed="false">
      <c r="A21" s="44" t="n">
        <f aca="false">IF($B21="","",COUNTA($B$2:$B21))</f>
        <v>20</v>
      </c>
      <c r="B21" s="11" t="s">
        <v>176</v>
      </c>
      <c r="C21" s="11" t="s">
        <v>177</v>
      </c>
      <c r="D21" s="11" t="s">
        <v>31</v>
      </c>
      <c r="E21" s="11" t="s">
        <v>131</v>
      </c>
      <c r="F21" s="11" t="s">
        <v>141</v>
      </c>
      <c r="G21" s="34" t="s">
        <v>132</v>
      </c>
      <c r="H21" s="25"/>
      <c r="I21" s="40" t="n">
        <v>0</v>
      </c>
      <c r="J21" s="34" t="s">
        <v>132</v>
      </c>
      <c r="K21" s="45"/>
      <c r="L21" s="34"/>
      <c r="M21" s="34"/>
      <c r="N21" s="11" t="s">
        <v>55</v>
      </c>
      <c r="O21" s="11" t="s">
        <v>55</v>
      </c>
      <c r="P21" s="11" t="s">
        <v>133</v>
      </c>
      <c r="Q21" s="11" t="s">
        <v>133</v>
      </c>
      <c r="R21" s="11" t="s">
        <v>133</v>
      </c>
      <c r="S21" s="46" t="s">
        <v>178</v>
      </c>
      <c r="T21" s="44" t="n">
        <f aca="false">IF($B21="","",COUNTA($N21:$R21)-COUNTIF($N21:$R21,"Not Invited"))</f>
        <v>2</v>
      </c>
      <c r="U21" s="44" t="n">
        <f aca="false">IF($B21="","",COUNTIF($N21:$R21,"Attended"))</f>
        <v>2</v>
      </c>
      <c r="V21" s="47" t="str">
        <f aca="false">IF($B21="","",_xlfn.TEXTJOIN(", ",TRUE(),IF($N21="Attended",Setup!$D$15,""),IF($O21="Attended",Setup!$D$16,""),IF($P21="Attended",Setup!$D$17,""),IF($Q21="Attended",Setup!$D$18,""),IF($R21="Attended",Setup!$D$19,"")))</f>
        <v>Oct-25 Symposium, May-26 Symposium</v>
      </c>
      <c r="W21" s="48" t="str">
        <f aca="true">IF(OR($B21="",NOT(ISNUMBER($H21))),"",TODAY()-$H21)</f>
        <v/>
      </c>
      <c r="X21" s="47" t="str">
        <f aca="false">IF($B21="","",IF($U21&gt;0,"Event attendee",IF($G21="Yes","Met (no event)",IF($T21&gt;0,"Invited only",IF(OR($L21="Yes",$M21="Yes"),"Contacted only","Not yet contacted")))))</f>
        <v>Event attendee</v>
      </c>
      <c r="Y21" s="47" t="n">
        <f aca="false">IF($B21="","",COUNTIF(c_Firm,"&lt;"&amp;$D21)+COUNTIFS(c_Firm,$D21,c_Name,"&lt;"&amp;$B21)+COUNTIFS($D$2:$D21,$D21,$B$2:$B21,$B21))</f>
        <v>20</v>
      </c>
      <c r="Z21" s="47" t="n">
        <f aca="false">IF($B21="","",IF(AND(OR(Contacts!$C$3="(All)",$D21=Contacts!$C$3),OR(Contacts!$E$3="(All)",$G21=Contacts!$E$3),OR(Contacts!$G$3="(All)",ISNUMBER(SEARCH(Contacts!$G$3,$V21))),OR(Contacts!$I$3="(All)",$X21=Contacts!$I$3),OR(Contacts!$K$3="",ISNUMBER(SEARCH(Contacts!$K$3,$B21&amp;" "&amp;$C21&amp;" "&amp;$D21&amp;" "&amp;$S21)))),1,0))</f>
        <v>1</v>
      </c>
      <c r="AA21" s="47" t="n">
        <f aca="false">IF($Z21=1,COUNTIFS(c_Pass,1,c_Sort,"&lt;="&amp;$Y21),"")</f>
        <v>20</v>
      </c>
      <c r="AB21" s="47" t="str">
        <f aca="false">IF(OR($G21&lt;&gt;"Yes",NOT(ISNUMBER($H21))),"",COUNTIFS(c_Met,"Yes",c_Date,"&lt;"&amp;$H21)+COUNTIFS($G$2:$G21,"Yes",$H$2:$H21,$H21))</f>
        <v/>
      </c>
    </row>
    <row r="22" customFormat="false" ht="15" hidden="false" customHeight="false" outlineLevel="0" collapsed="false">
      <c r="A22" s="44" t="n">
        <f aca="false">IF($B22="","",COUNTA($B$2:$B22))</f>
        <v>21</v>
      </c>
      <c r="B22" s="11" t="s">
        <v>179</v>
      </c>
      <c r="C22" s="11" t="s">
        <v>180</v>
      </c>
      <c r="D22" s="11" t="s">
        <v>31</v>
      </c>
      <c r="E22" s="11" t="s">
        <v>131</v>
      </c>
      <c r="F22" s="11" t="s">
        <v>141</v>
      </c>
      <c r="G22" s="34" t="s">
        <v>142</v>
      </c>
      <c r="H22" s="25" t="n">
        <v>45819</v>
      </c>
      <c r="I22" s="40" t="n">
        <v>1</v>
      </c>
      <c r="J22" s="34" t="s">
        <v>132</v>
      </c>
      <c r="K22" s="45"/>
      <c r="L22" s="34"/>
      <c r="M22" s="34"/>
      <c r="N22" s="11" t="s">
        <v>55</v>
      </c>
      <c r="O22" s="11" t="s">
        <v>57</v>
      </c>
      <c r="P22" s="11" t="s">
        <v>133</v>
      </c>
      <c r="Q22" s="11" t="s">
        <v>133</v>
      </c>
      <c r="R22" s="11" t="s">
        <v>133</v>
      </c>
      <c r="S22" s="46" t="s">
        <v>181</v>
      </c>
      <c r="T22" s="44" t="n">
        <f aca="false">IF($B22="","",COUNTA($N22:$R22)-COUNTIF($N22:$R22,"Not Invited"))</f>
        <v>2</v>
      </c>
      <c r="U22" s="44" t="n">
        <f aca="false">IF($B22="","",COUNTIF($N22:$R22,"Attended"))</f>
        <v>1</v>
      </c>
      <c r="V22" s="47" t="str">
        <f aca="false">IF($B22="","",_xlfn.TEXTJOIN(", ",TRUE(),IF($N22="Attended",Setup!$D$15,""),IF($O22="Attended",Setup!$D$16,""),IF($P22="Attended",Setup!$D$17,""),IF($Q22="Attended",Setup!$D$18,""),IF($R22="Attended",Setup!$D$19,"")))</f>
        <v>Oct-25 Symposium</v>
      </c>
      <c r="W22" s="48" t="n">
        <f aca="true">IF(OR($B22="",NOT(ISNUMBER($H22))),"",TODAY()-$H22)</f>
        <v>422</v>
      </c>
      <c r="X22" s="47" t="str">
        <f aca="false">IF($B22="","",IF($U22&gt;0,"Event attendee",IF($G22="Yes","Met (no event)",IF($T22&gt;0,"Invited only",IF(OR($L22="Yes",$M22="Yes"),"Contacted only","Not yet contacted")))))</f>
        <v>Event attendee</v>
      </c>
      <c r="Y22" s="47" t="n">
        <f aca="false">IF($B22="","",COUNTIF(c_Firm,"&lt;"&amp;$D22)+COUNTIFS(c_Firm,$D22,c_Name,"&lt;"&amp;$B22)+COUNTIFS($D$2:$D22,$D22,$B$2:$B22,$B22))</f>
        <v>21</v>
      </c>
      <c r="Z22" s="47" t="n">
        <f aca="false">IF($B22="","",IF(AND(OR(Contacts!$C$3="(All)",$D22=Contacts!$C$3),OR(Contacts!$E$3="(All)",$G22=Contacts!$E$3),OR(Contacts!$G$3="(All)",ISNUMBER(SEARCH(Contacts!$G$3,$V22))),OR(Contacts!$I$3="(All)",$X22=Contacts!$I$3),OR(Contacts!$K$3="",ISNUMBER(SEARCH(Contacts!$K$3,$B22&amp;" "&amp;$C22&amp;" "&amp;$D22&amp;" "&amp;$S22)))),1,0))</f>
        <v>1</v>
      </c>
      <c r="AA22" s="47" t="n">
        <f aca="false">IF($Z22=1,COUNTIFS(c_Pass,1,c_Sort,"&lt;="&amp;$Y22),"")</f>
        <v>21</v>
      </c>
      <c r="AB22" s="47" t="n">
        <f aca="false">IF(OR($G22&lt;&gt;"Yes",NOT(ISNUMBER($H22))),"",COUNTIFS(c_Met,"Yes",c_Date,"&lt;"&amp;$H22)+COUNTIFS($G$2:$G22,"Yes",$H$2:$H22,$H22))</f>
        <v>7</v>
      </c>
    </row>
    <row r="23" customFormat="false" ht="15" hidden="false" customHeight="false" outlineLevel="0" collapsed="false">
      <c r="A23" s="44" t="n">
        <f aca="false">IF($B23="","",COUNTA($B$2:$B23))</f>
        <v>22</v>
      </c>
      <c r="B23" s="11" t="s">
        <v>182</v>
      </c>
      <c r="C23" s="11" t="s">
        <v>183</v>
      </c>
      <c r="D23" s="11" t="s">
        <v>31</v>
      </c>
      <c r="E23" s="11" t="s">
        <v>131</v>
      </c>
      <c r="F23" s="11" t="s">
        <v>66</v>
      </c>
      <c r="G23" s="34" t="s">
        <v>132</v>
      </c>
      <c r="H23" s="25"/>
      <c r="I23" s="40" t="n">
        <v>0</v>
      </c>
      <c r="J23" s="34" t="s">
        <v>132</v>
      </c>
      <c r="K23" s="45"/>
      <c r="L23" s="34"/>
      <c r="M23" s="34"/>
      <c r="N23" s="11" t="s">
        <v>133</v>
      </c>
      <c r="O23" s="11" t="s">
        <v>134</v>
      </c>
      <c r="P23" s="11" t="s">
        <v>133</v>
      </c>
      <c r="Q23" s="11" t="s">
        <v>133</v>
      </c>
      <c r="R23" s="11" t="s">
        <v>133</v>
      </c>
      <c r="S23" s="46"/>
      <c r="T23" s="44" t="n">
        <f aca="false">IF($B23="","",COUNTA($N23:$R23)-COUNTIF($N23:$R23,"Not Invited"))</f>
        <v>1</v>
      </c>
      <c r="U23" s="44" t="n">
        <f aca="false">IF($B23="","",COUNTIF($N23:$R23,"Attended"))</f>
        <v>0</v>
      </c>
      <c r="V23" s="47" t="str">
        <f aca="false">IF($B23="","",_xlfn.TEXTJOIN(", ",TRUE(),IF($N23="Attended",Setup!$D$15,""),IF($O23="Attended",Setup!$D$16,""),IF($P23="Attended",Setup!$D$17,""),IF($Q23="Attended",Setup!$D$18,""),IF($R23="Attended",Setup!$D$19,"")))</f>
        <v/>
      </c>
      <c r="W23" s="48" t="str">
        <f aca="true">IF(OR($B23="",NOT(ISNUMBER($H23))),"",TODAY()-$H23)</f>
        <v/>
      </c>
      <c r="X23" s="47" t="str">
        <f aca="false">IF($B23="","",IF($U23&gt;0,"Event attendee",IF($G23="Yes","Met (no event)",IF($T23&gt;0,"Invited only",IF(OR($L23="Yes",$M23="Yes"),"Contacted only","Not yet contacted")))))</f>
        <v>Invited only</v>
      </c>
      <c r="Y23" s="47" t="n">
        <f aca="false">IF($B23="","",COUNTIF(c_Firm,"&lt;"&amp;$D23)+COUNTIFS(c_Firm,$D23,c_Name,"&lt;"&amp;$B23)+COUNTIFS($D$2:$D23,$D23,$B$2:$B23,$B23))</f>
        <v>22</v>
      </c>
      <c r="Z23" s="47" t="n">
        <f aca="false">IF($B23="","",IF(AND(OR(Contacts!$C$3="(All)",$D23=Contacts!$C$3),OR(Contacts!$E$3="(All)",$G23=Contacts!$E$3),OR(Contacts!$G$3="(All)",ISNUMBER(SEARCH(Contacts!$G$3,$V23))),OR(Contacts!$I$3="(All)",$X23=Contacts!$I$3),OR(Contacts!$K$3="",ISNUMBER(SEARCH(Contacts!$K$3,$B23&amp;" "&amp;$C23&amp;" "&amp;$D23&amp;" "&amp;$S23)))),1,0))</f>
        <v>1</v>
      </c>
      <c r="AA23" s="47" t="n">
        <f aca="false">IF($Z23=1,COUNTIFS(c_Pass,1,c_Sort,"&lt;="&amp;$Y23),"")</f>
        <v>22</v>
      </c>
      <c r="AB23" s="47" t="str">
        <f aca="false">IF(OR($G23&lt;&gt;"Yes",NOT(ISNUMBER($H23))),"",COUNTIFS(c_Met,"Yes",c_Date,"&lt;"&amp;$H23)+COUNTIFS($G$2:$G23,"Yes",$H$2:$H23,$H23))</f>
        <v/>
      </c>
    </row>
    <row r="24" customFormat="false" ht="15" hidden="false" customHeight="false" outlineLevel="0" collapsed="false">
      <c r="A24" s="44" t="n">
        <f aca="false">IF($B24="","",COUNTA($B$2:$B24))</f>
        <v>23</v>
      </c>
      <c r="B24" s="11" t="s">
        <v>184</v>
      </c>
      <c r="C24" s="11" t="s">
        <v>185</v>
      </c>
      <c r="D24" s="11" t="s">
        <v>31</v>
      </c>
      <c r="E24" s="11" t="s">
        <v>131</v>
      </c>
      <c r="F24" s="11" t="s">
        <v>66</v>
      </c>
      <c r="G24" s="34" t="s">
        <v>132</v>
      </c>
      <c r="H24" s="25"/>
      <c r="I24" s="40" t="n">
        <v>0</v>
      </c>
      <c r="J24" s="34" t="s">
        <v>132</v>
      </c>
      <c r="K24" s="45"/>
      <c r="L24" s="34"/>
      <c r="M24" s="34"/>
      <c r="N24" s="11" t="s">
        <v>133</v>
      </c>
      <c r="O24" s="11" t="s">
        <v>55</v>
      </c>
      <c r="P24" s="11" t="s">
        <v>133</v>
      </c>
      <c r="Q24" s="11" t="s">
        <v>133</v>
      </c>
      <c r="R24" s="11" t="s">
        <v>133</v>
      </c>
      <c r="S24" s="46"/>
      <c r="T24" s="44" t="n">
        <f aca="false">IF($B24="","",COUNTA($N24:$R24)-COUNTIF($N24:$R24,"Not Invited"))</f>
        <v>1</v>
      </c>
      <c r="U24" s="44" t="n">
        <f aca="false">IF($B24="","",COUNTIF($N24:$R24,"Attended"))</f>
        <v>1</v>
      </c>
      <c r="V24" s="47" t="str">
        <f aca="false">IF($B24="","",_xlfn.TEXTJOIN(", ",TRUE(),IF($N24="Attended",Setup!$D$15,""),IF($O24="Attended",Setup!$D$16,""),IF($P24="Attended",Setup!$D$17,""),IF($Q24="Attended",Setup!$D$18,""),IF($R24="Attended",Setup!$D$19,"")))</f>
        <v>May-26 Symposium</v>
      </c>
      <c r="W24" s="48" t="str">
        <f aca="true">IF(OR($B24="",NOT(ISNUMBER($H24))),"",TODAY()-$H24)</f>
        <v/>
      </c>
      <c r="X24" s="47" t="str">
        <f aca="false">IF($B24="","",IF($U24&gt;0,"Event attendee",IF($G24="Yes","Met (no event)",IF($T24&gt;0,"Invited only",IF(OR($L24="Yes",$M24="Yes"),"Contacted only","Not yet contacted")))))</f>
        <v>Event attendee</v>
      </c>
      <c r="Y24" s="47" t="n">
        <f aca="false">IF($B24="","",COUNTIF(c_Firm,"&lt;"&amp;$D24)+COUNTIFS(c_Firm,$D24,c_Name,"&lt;"&amp;$B24)+COUNTIFS($D$2:$D24,$D24,$B$2:$B24,$B24))</f>
        <v>23</v>
      </c>
      <c r="Z24" s="47" t="n">
        <f aca="false">IF($B24="","",IF(AND(OR(Contacts!$C$3="(All)",$D24=Contacts!$C$3),OR(Contacts!$E$3="(All)",$G24=Contacts!$E$3),OR(Contacts!$G$3="(All)",ISNUMBER(SEARCH(Contacts!$G$3,$V24))),OR(Contacts!$I$3="(All)",$X24=Contacts!$I$3),OR(Contacts!$K$3="",ISNUMBER(SEARCH(Contacts!$K$3,$B24&amp;" "&amp;$C24&amp;" "&amp;$D24&amp;" "&amp;$S24)))),1,0))</f>
        <v>1</v>
      </c>
      <c r="AA24" s="47" t="n">
        <f aca="false">IF($Z24=1,COUNTIFS(c_Pass,1,c_Sort,"&lt;="&amp;$Y24),"")</f>
        <v>23</v>
      </c>
      <c r="AB24" s="47" t="str">
        <f aca="false">IF(OR($G24&lt;&gt;"Yes",NOT(ISNUMBER($H24))),"",COUNTIFS(c_Met,"Yes",c_Date,"&lt;"&amp;$H24)+COUNTIFS($G$2:$G24,"Yes",$H$2:$H24,$H24))</f>
        <v/>
      </c>
    </row>
    <row r="25" customFormat="false" ht="15" hidden="false" customHeight="false" outlineLevel="0" collapsed="false">
      <c r="A25" s="44" t="n">
        <f aca="false">IF($B25="","",COUNTA($B$2:$B25))</f>
        <v>24</v>
      </c>
      <c r="B25" s="11" t="s">
        <v>186</v>
      </c>
      <c r="C25" s="11" t="s">
        <v>187</v>
      </c>
      <c r="D25" s="11" t="s">
        <v>31</v>
      </c>
      <c r="E25" s="11" t="s">
        <v>131</v>
      </c>
      <c r="F25" s="11" t="s">
        <v>66</v>
      </c>
      <c r="G25" s="34" t="s">
        <v>132</v>
      </c>
      <c r="H25" s="25"/>
      <c r="I25" s="40" t="n">
        <v>0</v>
      </c>
      <c r="J25" s="34" t="s">
        <v>132</v>
      </c>
      <c r="K25" s="45"/>
      <c r="L25" s="34"/>
      <c r="M25" s="34"/>
      <c r="N25" s="11" t="s">
        <v>133</v>
      </c>
      <c r="O25" s="11" t="s">
        <v>55</v>
      </c>
      <c r="P25" s="11" t="s">
        <v>133</v>
      </c>
      <c r="Q25" s="11" t="s">
        <v>133</v>
      </c>
      <c r="R25" s="11" t="s">
        <v>133</v>
      </c>
      <c r="S25" s="46"/>
      <c r="T25" s="44" t="n">
        <f aca="false">IF($B25="","",COUNTA($N25:$R25)-COUNTIF($N25:$R25,"Not Invited"))</f>
        <v>1</v>
      </c>
      <c r="U25" s="44" t="n">
        <f aca="false">IF($B25="","",COUNTIF($N25:$R25,"Attended"))</f>
        <v>1</v>
      </c>
      <c r="V25" s="47" t="str">
        <f aca="false">IF($B25="","",_xlfn.TEXTJOIN(", ",TRUE(),IF($N25="Attended",Setup!$D$15,""),IF($O25="Attended",Setup!$D$16,""),IF($P25="Attended",Setup!$D$17,""),IF($Q25="Attended",Setup!$D$18,""),IF($R25="Attended",Setup!$D$19,"")))</f>
        <v>May-26 Symposium</v>
      </c>
      <c r="W25" s="48" t="str">
        <f aca="true">IF(OR($B25="",NOT(ISNUMBER($H25))),"",TODAY()-$H25)</f>
        <v/>
      </c>
      <c r="X25" s="47" t="str">
        <f aca="false">IF($B25="","",IF($U25&gt;0,"Event attendee",IF($G25="Yes","Met (no event)",IF($T25&gt;0,"Invited only",IF(OR($L25="Yes",$M25="Yes"),"Contacted only","Not yet contacted")))))</f>
        <v>Event attendee</v>
      </c>
      <c r="Y25" s="47" t="n">
        <f aca="false">IF($B25="","",COUNTIF(c_Firm,"&lt;"&amp;$D25)+COUNTIFS(c_Firm,$D25,c_Name,"&lt;"&amp;$B25)+COUNTIFS($D$2:$D25,$D25,$B$2:$B25,$B25))</f>
        <v>24</v>
      </c>
      <c r="Z25" s="47" t="n">
        <f aca="false">IF($B25="","",IF(AND(OR(Contacts!$C$3="(All)",$D25=Contacts!$C$3),OR(Contacts!$E$3="(All)",$G25=Contacts!$E$3),OR(Contacts!$G$3="(All)",ISNUMBER(SEARCH(Contacts!$G$3,$V25))),OR(Contacts!$I$3="(All)",$X25=Contacts!$I$3),OR(Contacts!$K$3="",ISNUMBER(SEARCH(Contacts!$K$3,$B25&amp;" "&amp;$C25&amp;" "&amp;$D25&amp;" "&amp;$S25)))),1,0))</f>
        <v>1</v>
      </c>
      <c r="AA25" s="47" t="n">
        <f aca="false">IF($Z25=1,COUNTIFS(c_Pass,1,c_Sort,"&lt;="&amp;$Y25),"")</f>
        <v>24</v>
      </c>
      <c r="AB25" s="47" t="str">
        <f aca="false">IF(OR($G25&lt;&gt;"Yes",NOT(ISNUMBER($H25))),"",COUNTIFS(c_Met,"Yes",c_Date,"&lt;"&amp;$H25)+COUNTIFS($G$2:$G25,"Yes",$H$2:$H25,$H25))</f>
        <v/>
      </c>
    </row>
    <row r="26" customFormat="false" ht="15" hidden="false" customHeight="false" outlineLevel="0" collapsed="false">
      <c r="A26" s="44" t="n">
        <f aca="false">IF($B26="","",COUNTA($B$2:$B26))</f>
        <v>25</v>
      </c>
      <c r="B26" s="11" t="s">
        <v>188</v>
      </c>
      <c r="C26" s="11" t="s">
        <v>189</v>
      </c>
      <c r="D26" s="11" t="s">
        <v>31</v>
      </c>
      <c r="E26" s="11" t="s">
        <v>131</v>
      </c>
      <c r="F26" s="11" t="s">
        <v>66</v>
      </c>
      <c r="G26" s="34" t="s">
        <v>132</v>
      </c>
      <c r="H26" s="25"/>
      <c r="I26" s="40" t="n">
        <v>0</v>
      </c>
      <c r="J26" s="34" t="s">
        <v>132</v>
      </c>
      <c r="K26" s="45"/>
      <c r="L26" s="34"/>
      <c r="M26" s="34"/>
      <c r="N26" s="11" t="s">
        <v>133</v>
      </c>
      <c r="O26" s="11" t="s">
        <v>55</v>
      </c>
      <c r="P26" s="11" t="s">
        <v>133</v>
      </c>
      <c r="Q26" s="11" t="s">
        <v>133</v>
      </c>
      <c r="R26" s="11" t="s">
        <v>133</v>
      </c>
      <c r="S26" s="46"/>
      <c r="T26" s="44" t="n">
        <f aca="false">IF($B26="","",COUNTA($N26:$R26)-COUNTIF($N26:$R26,"Not Invited"))</f>
        <v>1</v>
      </c>
      <c r="U26" s="44" t="n">
        <f aca="false">IF($B26="","",COUNTIF($N26:$R26,"Attended"))</f>
        <v>1</v>
      </c>
      <c r="V26" s="47" t="str">
        <f aca="false">IF($B26="","",_xlfn.TEXTJOIN(", ",TRUE(),IF($N26="Attended",Setup!$D$15,""),IF($O26="Attended",Setup!$D$16,""),IF($P26="Attended",Setup!$D$17,""),IF($Q26="Attended",Setup!$D$18,""),IF($R26="Attended",Setup!$D$19,"")))</f>
        <v>May-26 Symposium</v>
      </c>
      <c r="W26" s="48" t="str">
        <f aca="true">IF(OR($B26="",NOT(ISNUMBER($H26))),"",TODAY()-$H26)</f>
        <v/>
      </c>
      <c r="X26" s="47" t="str">
        <f aca="false">IF($B26="","",IF($U26&gt;0,"Event attendee",IF($G26="Yes","Met (no event)",IF($T26&gt;0,"Invited only",IF(OR($L26="Yes",$M26="Yes"),"Contacted only","Not yet contacted")))))</f>
        <v>Event attendee</v>
      </c>
      <c r="Y26" s="47" t="n">
        <f aca="false">IF($B26="","",COUNTIF(c_Firm,"&lt;"&amp;$D26)+COUNTIFS(c_Firm,$D26,c_Name,"&lt;"&amp;$B26)+COUNTIFS($D$2:$D26,$D26,$B$2:$B26,$B26))</f>
        <v>25</v>
      </c>
      <c r="Z26" s="47" t="n">
        <f aca="false">IF($B26="","",IF(AND(OR(Contacts!$C$3="(All)",$D26=Contacts!$C$3),OR(Contacts!$E$3="(All)",$G26=Contacts!$E$3),OR(Contacts!$G$3="(All)",ISNUMBER(SEARCH(Contacts!$G$3,$V26))),OR(Contacts!$I$3="(All)",$X26=Contacts!$I$3),OR(Contacts!$K$3="",ISNUMBER(SEARCH(Contacts!$K$3,$B26&amp;" "&amp;$C26&amp;" "&amp;$D26&amp;" "&amp;$S26)))),1,0))</f>
        <v>1</v>
      </c>
      <c r="AA26" s="47" t="n">
        <f aca="false">IF($Z26=1,COUNTIFS(c_Pass,1,c_Sort,"&lt;="&amp;$Y26),"")</f>
        <v>25</v>
      </c>
      <c r="AB26" s="47" t="str">
        <f aca="false">IF(OR($G26&lt;&gt;"Yes",NOT(ISNUMBER($H26))),"",COUNTIFS(c_Met,"Yes",c_Date,"&lt;"&amp;$H26)+COUNTIFS($G$2:$G26,"Yes",$H$2:$H26,$H26))</f>
        <v/>
      </c>
    </row>
    <row r="27" customFormat="false" ht="15" hidden="false" customHeight="false" outlineLevel="0" collapsed="false">
      <c r="A27" s="44" t="n">
        <f aca="false">IF($B27="","",COUNTA($B$2:$B27))</f>
        <v>26</v>
      </c>
      <c r="B27" s="11" t="s">
        <v>190</v>
      </c>
      <c r="C27" s="11" t="s">
        <v>191</v>
      </c>
      <c r="D27" s="11" t="s">
        <v>31</v>
      </c>
      <c r="E27" s="11" t="s">
        <v>131</v>
      </c>
      <c r="F27" s="11" t="s">
        <v>66</v>
      </c>
      <c r="G27" s="34" t="s">
        <v>132</v>
      </c>
      <c r="H27" s="25"/>
      <c r="I27" s="40" t="n">
        <v>0</v>
      </c>
      <c r="J27" s="34" t="s">
        <v>132</v>
      </c>
      <c r="K27" s="45"/>
      <c r="L27" s="34"/>
      <c r="M27" s="34"/>
      <c r="N27" s="11" t="s">
        <v>133</v>
      </c>
      <c r="O27" s="11" t="s">
        <v>55</v>
      </c>
      <c r="P27" s="11" t="s">
        <v>133</v>
      </c>
      <c r="Q27" s="11" t="s">
        <v>133</v>
      </c>
      <c r="R27" s="11" t="s">
        <v>133</v>
      </c>
      <c r="S27" s="46"/>
      <c r="T27" s="44" t="n">
        <f aca="false">IF($B27="","",COUNTA($N27:$R27)-COUNTIF($N27:$R27,"Not Invited"))</f>
        <v>1</v>
      </c>
      <c r="U27" s="44" t="n">
        <f aca="false">IF($B27="","",COUNTIF($N27:$R27,"Attended"))</f>
        <v>1</v>
      </c>
      <c r="V27" s="47" t="str">
        <f aca="false">IF($B27="","",_xlfn.TEXTJOIN(", ",TRUE(),IF($N27="Attended",Setup!$D$15,""),IF($O27="Attended",Setup!$D$16,""),IF($P27="Attended",Setup!$D$17,""),IF($Q27="Attended",Setup!$D$18,""),IF($R27="Attended",Setup!$D$19,"")))</f>
        <v>May-26 Symposium</v>
      </c>
      <c r="W27" s="48" t="str">
        <f aca="true">IF(OR($B27="",NOT(ISNUMBER($H27))),"",TODAY()-$H27)</f>
        <v/>
      </c>
      <c r="X27" s="47" t="str">
        <f aca="false">IF($B27="","",IF($U27&gt;0,"Event attendee",IF($G27="Yes","Met (no event)",IF($T27&gt;0,"Invited only",IF(OR($L27="Yes",$M27="Yes"),"Contacted only","Not yet contacted")))))</f>
        <v>Event attendee</v>
      </c>
      <c r="Y27" s="47" t="n">
        <f aca="false">IF($B27="","",COUNTIF(c_Firm,"&lt;"&amp;$D27)+COUNTIFS(c_Firm,$D27,c_Name,"&lt;"&amp;$B27)+COUNTIFS($D$2:$D27,$D27,$B$2:$B27,$B27))</f>
        <v>26</v>
      </c>
      <c r="Z27" s="47" t="n">
        <f aca="false">IF($B27="","",IF(AND(OR(Contacts!$C$3="(All)",$D27=Contacts!$C$3),OR(Contacts!$E$3="(All)",$G27=Contacts!$E$3),OR(Contacts!$G$3="(All)",ISNUMBER(SEARCH(Contacts!$G$3,$V27))),OR(Contacts!$I$3="(All)",$X27=Contacts!$I$3),OR(Contacts!$K$3="",ISNUMBER(SEARCH(Contacts!$K$3,$B27&amp;" "&amp;$C27&amp;" "&amp;$D27&amp;" "&amp;$S27)))),1,0))</f>
        <v>1</v>
      </c>
      <c r="AA27" s="47" t="n">
        <f aca="false">IF($Z27=1,COUNTIFS(c_Pass,1,c_Sort,"&lt;="&amp;$Y27),"")</f>
        <v>26</v>
      </c>
      <c r="AB27" s="47" t="str">
        <f aca="false">IF(OR($G27&lt;&gt;"Yes",NOT(ISNUMBER($H27))),"",COUNTIFS(c_Met,"Yes",c_Date,"&lt;"&amp;$H27)+COUNTIFS($G$2:$G27,"Yes",$H$2:$H27,$H27))</f>
        <v/>
      </c>
    </row>
    <row r="28" customFormat="false" ht="15" hidden="false" customHeight="false" outlineLevel="0" collapsed="false">
      <c r="A28" s="44" t="n">
        <f aca="false">IF($B28="","",COUNTA($B$2:$B28))</f>
        <v>27</v>
      </c>
      <c r="B28" s="11" t="s">
        <v>192</v>
      </c>
      <c r="C28" s="11"/>
      <c r="D28" s="11" t="s">
        <v>27</v>
      </c>
      <c r="E28" s="11" t="s">
        <v>193</v>
      </c>
      <c r="F28" s="11" t="s">
        <v>68</v>
      </c>
      <c r="G28" s="34" t="s">
        <v>132</v>
      </c>
      <c r="H28" s="25"/>
      <c r="I28" s="40" t="n">
        <v>0</v>
      </c>
      <c r="J28" s="34" t="s">
        <v>132</v>
      </c>
      <c r="K28" s="45"/>
      <c r="L28" s="34"/>
      <c r="M28" s="34" t="s">
        <v>142</v>
      </c>
      <c r="N28" s="11" t="s">
        <v>133</v>
      </c>
      <c r="O28" s="11" t="s">
        <v>133</v>
      </c>
      <c r="P28" s="11" t="s">
        <v>133</v>
      </c>
      <c r="Q28" s="11" t="s">
        <v>133</v>
      </c>
      <c r="R28" s="11" t="s">
        <v>133</v>
      </c>
      <c r="S28" s="46" t="s">
        <v>194</v>
      </c>
      <c r="T28" s="44" t="n">
        <f aca="false">IF($B28="","",COUNTA($N28:$R28)-COUNTIF($N28:$R28,"Not Invited"))</f>
        <v>0</v>
      </c>
      <c r="U28" s="44" t="n">
        <f aca="false">IF($B28="","",COUNTIF($N28:$R28,"Attended"))</f>
        <v>0</v>
      </c>
      <c r="V28" s="47" t="str">
        <f aca="false">IF($B28="","",_xlfn.TEXTJOIN(", ",TRUE(),IF($N28="Attended",Setup!$D$15,""),IF($O28="Attended",Setup!$D$16,""),IF($P28="Attended",Setup!$D$17,""),IF($Q28="Attended",Setup!$D$18,""),IF($R28="Attended",Setup!$D$19,"")))</f>
        <v/>
      </c>
      <c r="W28" s="48" t="str">
        <f aca="true">IF(OR($B28="",NOT(ISNUMBER($H28))),"",TODAY()-$H28)</f>
        <v/>
      </c>
      <c r="X28" s="47" t="str">
        <f aca="false">IF($B28="","",IF($U28&gt;0,"Event attendee",IF($G28="Yes","Met (no event)",IF($T28&gt;0,"Invited only",IF(OR($L28="Yes",$M28="Yes"),"Contacted only","Not yet contacted")))))</f>
        <v>Contacted only</v>
      </c>
      <c r="Y28" s="47" t="n">
        <f aca="false">IF($B28="","",COUNTIF(c_Firm,"&lt;"&amp;$D28)+COUNTIFS(c_Firm,$D28,c_Name,"&lt;"&amp;$B28)+COUNTIFS($D$2:$D28,$D28,$B$2:$B28,$B28))</f>
        <v>27</v>
      </c>
      <c r="Z28" s="47" t="n">
        <f aca="false">IF($B28="","",IF(AND(OR(Contacts!$C$3="(All)",$D28=Contacts!$C$3),OR(Contacts!$E$3="(All)",$G28=Contacts!$E$3),OR(Contacts!$G$3="(All)",ISNUMBER(SEARCH(Contacts!$G$3,$V28))),OR(Contacts!$I$3="(All)",$X28=Contacts!$I$3),OR(Contacts!$K$3="",ISNUMBER(SEARCH(Contacts!$K$3,$B28&amp;" "&amp;$C28&amp;" "&amp;$D28&amp;" "&amp;$S28)))),1,0))</f>
        <v>1</v>
      </c>
      <c r="AA28" s="47" t="n">
        <f aca="false">IF($Z28=1,COUNTIFS(c_Pass,1,c_Sort,"&lt;="&amp;$Y28),"")</f>
        <v>27</v>
      </c>
      <c r="AB28" s="47" t="str">
        <f aca="false">IF(OR($G28&lt;&gt;"Yes",NOT(ISNUMBER($H28))),"",COUNTIFS(c_Met,"Yes",c_Date,"&lt;"&amp;$H28)+COUNTIFS($G$2:$G28,"Yes",$H$2:$H28,$H28))</f>
        <v/>
      </c>
    </row>
    <row r="29" customFormat="false" ht="15" hidden="false" customHeight="false" outlineLevel="0" collapsed="false">
      <c r="A29" s="44" t="n">
        <f aca="false">IF($B29="","",COUNTA($B$2:$B29))</f>
        <v>28</v>
      </c>
      <c r="B29" s="11" t="s">
        <v>195</v>
      </c>
      <c r="C29" s="11"/>
      <c r="D29" s="11" t="s">
        <v>27</v>
      </c>
      <c r="E29" s="11" t="s">
        <v>193</v>
      </c>
      <c r="F29" s="11" t="s">
        <v>68</v>
      </c>
      <c r="G29" s="34" t="s">
        <v>132</v>
      </c>
      <c r="H29" s="25"/>
      <c r="I29" s="40" t="n">
        <v>0</v>
      </c>
      <c r="J29" s="34" t="s">
        <v>132</v>
      </c>
      <c r="K29" s="45"/>
      <c r="L29" s="34"/>
      <c r="M29" s="34" t="s">
        <v>142</v>
      </c>
      <c r="N29" s="11" t="s">
        <v>133</v>
      </c>
      <c r="O29" s="11" t="s">
        <v>133</v>
      </c>
      <c r="P29" s="11" t="s">
        <v>133</v>
      </c>
      <c r="Q29" s="11" t="s">
        <v>133</v>
      </c>
      <c r="R29" s="11" t="s">
        <v>133</v>
      </c>
      <c r="S29" s="46" t="s">
        <v>196</v>
      </c>
      <c r="T29" s="44" t="n">
        <f aca="false">IF($B29="","",COUNTA($N29:$R29)-COUNTIF($N29:$R29,"Not Invited"))</f>
        <v>0</v>
      </c>
      <c r="U29" s="44" t="n">
        <f aca="false">IF($B29="","",COUNTIF($N29:$R29,"Attended"))</f>
        <v>0</v>
      </c>
      <c r="V29" s="47" t="str">
        <f aca="false">IF($B29="","",_xlfn.TEXTJOIN(", ",TRUE(),IF($N29="Attended",Setup!$D$15,""),IF($O29="Attended",Setup!$D$16,""),IF($P29="Attended",Setup!$D$17,""),IF($Q29="Attended",Setup!$D$18,""),IF($R29="Attended",Setup!$D$19,"")))</f>
        <v/>
      </c>
      <c r="W29" s="48" t="str">
        <f aca="true">IF(OR($B29="",NOT(ISNUMBER($H29))),"",TODAY()-$H29)</f>
        <v/>
      </c>
      <c r="X29" s="47" t="str">
        <f aca="false">IF($B29="","",IF($U29&gt;0,"Event attendee",IF($G29="Yes","Met (no event)",IF($T29&gt;0,"Invited only",IF(OR($L29="Yes",$M29="Yes"),"Contacted only","Not yet contacted")))))</f>
        <v>Contacted only</v>
      </c>
      <c r="Y29" s="47" t="n">
        <f aca="false">IF($B29="","",COUNTIF(c_Firm,"&lt;"&amp;$D29)+COUNTIFS(c_Firm,$D29,c_Name,"&lt;"&amp;$B29)+COUNTIFS($D$2:$D29,$D29,$B$2:$B29,$B29))</f>
        <v>28</v>
      </c>
      <c r="Z29" s="47" t="n">
        <f aca="false">IF($B29="","",IF(AND(OR(Contacts!$C$3="(All)",$D29=Contacts!$C$3),OR(Contacts!$E$3="(All)",$G29=Contacts!$E$3),OR(Contacts!$G$3="(All)",ISNUMBER(SEARCH(Contacts!$G$3,$V29))),OR(Contacts!$I$3="(All)",$X29=Contacts!$I$3),OR(Contacts!$K$3="",ISNUMBER(SEARCH(Contacts!$K$3,$B29&amp;" "&amp;$C29&amp;" "&amp;$D29&amp;" "&amp;$S29)))),1,0))</f>
        <v>1</v>
      </c>
      <c r="AA29" s="47" t="n">
        <f aca="false">IF($Z29=1,COUNTIFS(c_Pass,1,c_Sort,"&lt;="&amp;$Y29),"")</f>
        <v>28</v>
      </c>
      <c r="AB29" s="47" t="str">
        <f aca="false">IF(OR($G29&lt;&gt;"Yes",NOT(ISNUMBER($H29))),"",COUNTIFS(c_Met,"Yes",c_Date,"&lt;"&amp;$H29)+COUNTIFS($G$2:$G29,"Yes",$H$2:$H29,$H29))</f>
        <v/>
      </c>
    </row>
    <row r="30" customFormat="false" ht="15" hidden="false" customHeight="false" outlineLevel="0" collapsed="false">
      <c r="A30" s="44" t="n">
        <f aca="false">IF($B30="","",COUNTA($B$2:$B30))</f>
        <v>29</v>
      </c>
      <c r="B30" s="11" t="s">
        <v>197</v>
      </c>
      <c r="C30" s="11" t="s">
        <v>198</v>
      </c>
      <c r="D30" s="11" t="s">
        <v>27</v>
      </c>
      <c r="E30" s="11" t="s">
        <v>131</v>
      </c>
      <c r="F30" s="11" t="s">
        <v>141</v>
      </c>
      <c r="G30" s="34" t="s">
        <v>142</v>
      </c>
      <c r="H30" s="25" t="n">
        <v>45992</v>
      </c>
      <c r="I30" s="40" t="n">
        <v>1</v>
      </c>
      <c r="J30" s="34" t="s">
        <v>132</v>
      </c>
      <c r="K30" s="45" t="n">
        <v>40000000</v>
      </c>
      <c r="L30" s="34"/>
      <c r="M30" s="34"/>
      <c r="N30" s="11" t="s">
        <v>55</v>
      </c>
      <c r="O30" s="11" t="s">
        <v>55</v>
      </c>
      <c r="P30" s="11" t="s">
        <v>133</v>
      </c>
      <c r="Q30" s="11" t="s">
        <v>133</v>
      </c>
      <c r="R30" s="11" t="s">
        <v>133</v>
      </c>
      <c r="S30" s="46"/>
      <c r="T30" s="44" t="n">
        <f aca="false">IF($B30="","",COUNTA($N30:$R30)-COUNTIF($N30:$R30,"Not Invited"))</f>
        <v>2</v>
      </c>
      <c r="U30" s="44" t="n">
        <f aca="false">IF($B30="","",COUNTIF($N30:$R30,"Attended"))</f>
        <v>2</v>
      </c>
      <c r="V30" s="47" t="str">
        <f aca="false">IF($B30="","",_xlfn.TEXTJOIN(", ",TRUE(),IF($N30="Attended",Setup!$D$15,""),IF($O30="Attended",Setup!$D$16,""),IF($P30="Attended",Setup!$D$17,""),IF($Q30="Attended",Setup!$D$18,""),IF($R30="Attended",Setup!$D$19,"")))</f>
        <v>Oct-25 Symposium, May-26 Symposium</v>
      </c>
      <c r="W30" s="48" t="n">
        <f aca="true">IF(OR($B30="",NOT(ISNUMBER($H30))),"",TODAY()-$H30)</f>
        <v>249</v>
      </c>
      <c r="X30" s="47" t="str">
        <f aca="false">IF($B30="","",IF($U30&gt;0,"Event attendee",IF($G30="Yes","Met (no event)",IF($T30&gt;0,"Invited only",IF(OR($L30="Yes",$M30="Yes"),"Contacted only","Not yet contacted")))))</f>
        <v>Event attendee</v>
      </c>
      <c r="Y30" s="47" t="n">
        <f aca="false">IF($B30="","",COUNTIF(c_Firm,"&lt;"&amp;$D30)+COUNTIFS(c_Firm,$D30,c_Name,"&lt;"&amp;$B30)+COUNTIFS($D$2:$D30,$D30,$B$2:$B30,$B30))</f>
        <v>29</v>
      </c>
      <c r="Z30" s="47" t="n">
        <f aca="false">IF($B30="","",IF(AND(OR(Contacts!$C$3="(All)",$D30=Contacts!$C$3),OR(Contacts!$E$3="(All)",$G30=Contacts!$E$3),OR(Contacts!$G$3="(All)",ISNUMBER(SEARCH(Contacts!$G$3,$V30))),OR(Contacts!$I$3="(All)",$X30=Contacts!$I$3),OR(Contacts!$K$3="",ISNUMBER(SEARCH(Contacts!$K$3,$B30&amp;" "&amp;$C30&amp;" "&amp;$D30&amp;" "&amp;$S30)))),1,0))</f>
        <v>1</v>
      </c>
      <c r="AA30" s="47" t="n">
        <f aca="false">IF($Z30=1,COUNTIFS(c_Pass,1,c_Sort,"&lt;="&amp;$Y30),"")</f>
        <v>29</v>
      </c>
      <c r="AB30" s="47" t="n">
        <f aca="false">IF(OR($G30&lt;&gt;"Yes",NOT(ISNUMBER($H30))),"",COUNTIFS(c_Met,"Yes",c_Date,"&lt;"&amp;$H30)+COUNTIFS($G$2:$G30,"Yes",$H$2:$H30,$H30))</f>
        <v>36</v>
      </c>
    </row>
    <row r="31" customFormat="false" ht="15" hidden="false" customHeight="false" outlineLevel="0" collapsed="false">
      <c r="A31" s="44" t="n">
        <f aca="false">IF($B31="","",COUNTA($B$2:$B31))</f>
        <v>30</v>
      </c>
      <c r="B31" s="11" t="s">
        <v>199</v>
      </c>
      <c r="C31" s="11"/>
      <c r="D31" s="11" t="s">
        <v>27</v>
      </c>
      <c r="E31" s="11" t="s">
        <v>193</v>
      </c>
      <c r="F31" s="11" t="s">
        <v>68</v>
      </c>
      <c r="G31" s="34" t="s">
        <v>132</v>
      </c>
      <c r="H31" s="25"/>
      <c r="I31" s="40" t="n">
        <v>0</v>
      </c>
      <c r="J31" s="34" t="s">
        <v>132</v>
      </c>
      <c r="K31" s="45"/>
      <c r="L31" s="34"/>
      <c r="M31" s="34" t="s">
        <v>142</v>
      </c>
      <c r="N31" s="11" t="s">
        <v>133</v>
      </c>
      <c r="O31" s="11" t="s">
        <v>133</v>
      </c>
      <c r="P31" s="11" t="s">
        <v>133</v>
      </c>
      <c r="Q31" s="11" t="s">
        <v>133</v>
      </c>
      <c r="R31" s="11" t="s">
        <v>133</v>
      </c>
      <c r="S31" s="46" t="s">
        <v>200</v>
      </c>
      <c r="T31" s="44" t="n">
        <f aca="false">IF($B31="","",COUNTA($N31:$R31)-COUNTIF($N31:$R31,"Not Invited"))</f>
        <v>0</v>
      </c>
      <c r="U31" s="44" t="n">
        <f aca="false">IF($B31="","",COUNTIF($N31:$R31,"Attended"))</f>
        <v>0</v>
      </c>
      <c r="V31" s="47" t="str">
        <f aca="false">IF($B31="","",_xlfn.TEXTJOIN(", ",TRUE(),IF($N31="Attended",Setup!$D$15,""),IF($O31="Attended",Setup!$D$16,""),IF($P31="Attended",Setup!$D$17,""),IF($Q31="Attended",Setup!$D$18,""),IF($R31="Attended",Setup!$D$19,"")))</f>
        <v/>
      </c>
      <c r="W31" s="48" t="str">
        <f aca="true">IF(OR($B31="",NOT(ISNUMBER($H31))),"",TODAY()-$H31)</f>
        <v/>
      </c>
      <c r="X31" s="47" t="str">
        <f aca="false">IF($B31="","",IF($U31&gt;0,"Event attendee",IF($G31="Yes","Met (no event)",IF($T31&gt;0,"Invited only",IF(OR($L31="Yes",$M31="Yes"),"Contacted only","Not yet contacted")))))</f>
        <v>Contacted only</v>
      </c>
      <c r="Y31" s="47" t="n">
        <f aca="false">IF($B31="","",COUNTIF(c_Firm,"&lt;"&amp;$D31)+COUNTIFS(c_Firm,$D31,c_Name,"&lt;"&amp;$B31)+COUNTIFS($D$2:$D31,$D31,$B$2:$B31,$B31))</f>
        <v>30</v>
      </c>
      <c r="Z31" s="47" t="n">
        <f aca="false">IF($B31="","",IF(AND(OR(Contacts!$C$3="(All)",$D31=Contacts!$C$3),OR(Contacts!$E$3="(All)",$G31=Contacts!$E$3),OR(Contacts!$G$3="(All)",ISNUMBER(SEARCH(Contacts!$G$3,$V31))),OR(Contacts!$I$3="(All)",$X31=Contacts!$I$3),OR(Contacts!$K$3="",ISNUMBER(SEARCH(Contacts!$K$3,$B31&amp;" "&amp;$C31&amp;" "&amp;$D31&amp;" "&amp;$S31)))),1,0))</f>
        <v>1</v>
      </c>
      <c r="AA31" s="47" t="n">
        <f aca="false">IF($Z31=1,COUNTIFS(c_Pass,1,c_Sort,"&lt;="&amp;$Y31),"")</f>
        <v>30</v>
      </c>
      <c r="AB31" s="47" t="str">
        <f aca="false">IF(OR($G31&lt;&gt;"Yes",NOT(ISNUMBER($H31))),"",COUNTIFS(c_Met,"Yes",c_Date,"&lt;"&amp;$H31)+COUNTIFS($G$2:$G31,"Yes",$H$2:$H31,$H31))</f>
        <v/>
      </c>
    </row>
    <row r="32" customFormat="false" ht="15" hidden="false" customHeight="false" outlineLevel="0" collapsed="false">
      <c r="A32" s="44" t="n">
        <f aca="false">IF($B32="","",COUNTA($B$2:$B32))</f>
        <v>31</v>
      </c>
      <c r="B32" s="11" t="s">
        <v>201</v>
      </c>
      <c r="C32" s="11" t="s">
        <v>202</v>
      </c>
      <c r="D32" s="11" t="s">
        <v>27</v>
      </c>
      <c r="E32" s="11" t="s">
        <v>131</v>
      </c>
      <c r="F32" s="11" t="s">
        <v>66</v>
      </c>
      <c r="G32" s="34" t="s">
        <v>132</v>
      </c>
      <c r="H32" s="25"/>
      <c r="I32" s="40" t="n">
        <v>0</v>
      </c>
      <c r="J32" s="34" t="s">
        <v>132</v>
      </c>
      <c r="K32" s="45"/>
      <c r="L32" s="34"/>
      <c r="M32" s="34"/>
      <c r="N32" s="11" t="s">
        <v>133</v>
      </c>
      <c r="O32" s="11" t="s">
        <v>55</v>
      </c>
      <c r="P32" s="11" t="s">
        <v>133</v>
      </c>
      <c r="Q32" s="11" t="s">
        <v>133</v>
      </c>
      <c r="R32" s="11" t="s">
        <v>133</v>
      </c>
      <c r="S32" s="46"/>
      <c r="T32" s="44" t="n">
        <f aca="false">IF($B32="","",COUNTA($N32:$R32)-COUNTIF($N32:$R32,"Not Invited"))</f>
        <v>1</v>
      </c>
      <c r="U32" s="44" t="n">
        <f aca="false">IF($B32="","",COUNTIF($N32:$R32,"Attended"))</f>
        <v>1</v>
      </c>
      <c r="V32" s="47" t="str">
        <f aca="false">IF($B32="","",_xlfn.TEXTJOIN(", ",TRUE(),IF($N32="Attended",Setup!$D$15,""),IF($O32="Attended",Setup!$D$16,""),IF($P32="Attended",Setup!$D$17,""),IF($Q32="Attended",Setup!$D$18,""),IF($R32="Attended",Setup!$D$19,"")))</f>
        <v>May-26 Symposium</v>
      </c>
      <c r="W32" s="48" t="str">
        <f aca="true">IF(OR($B32="",NOT(ISNUMBER($H32))),"",TODAY()-$H32)</f>
        <v/>
      </c>
      <c r="X32" s="47" t="str">
        <f aca="false">IF($B32="","",IF($U32&gt;0,"Event attendee",IF($G32="Yes","Met (no event)",IF($T32&gt;0,"Invited only",IF(OR($L32="Yes",$M32="Yes"),"Contacted only","Not yet contacted")))))</f>
        <v>Event attendee</v>
      </c>
      <c r="Y32" s="47" t="n">
        <f aca="false">IF($B32="","",COUNTIF(c_Firm,"&lt;"&amp;$D32)+COUNTIFS(c_Firm,$D32,c_Name,"&lt;"&amp;$B32)+COUNTIFS($D$2:$D32,$D32,$B$2:$B32,$B32))</f>
        <v>31</v>
      </c>
      <c r="Z32" s="47" t="n">
        <f aca="false">IF($B32="","",IF(AND(OR(Contacts!$C$3="(All)",$D32=Contacts!$C$3),OR(Contacts!$E$3="(All)",$G32=Contacts!$E$3),OR(Contacts!$G$3="(All)",ISNUMBER(SEARCH(Contacts!$G$3,$V32))),OR(Contacts!$I$3="(All)",$X32=Contacts!$I$3),OR(Contacts!$K$3="",ISNUMBER(SEARCH(Contacts!$K$3,$B32&amp;" "&amp;$C32&amp;" "&amp;$D32&amp;" "&amp;$S32)))),1,0))</f>
        <v>1</v>
      </c>
      <c r="AA32" s="47" t="n">
        <f aca="false">IF($Z32=1,COUNTIFS(c_Pass,1,c_Sort,"&lt;="&amp;$Y32),"")</f>
        <v>31</v>
      </c>
      <c r="AB32" s="47" t="str">
        <f aca="false">IF(OR($G32&lt;&gt;"Yes",NOT(ISNUMBER($H32))),"",COUNTIFS(c_Met,"Yes",c_Date,"&lt;"&amp;$H32)+COUNTIFS($G$2:$G32,"Yes",$H$2:$H32,$H32))</f>
        <v/>
      </c>
    </row>
    <row r="33" customFormat="false" ht="15" hidden="false" customHeight="false" outlineLevel="0" collapsed="false">
      <c r="A33" s="44" t="n">
        <f aca="false">IF($B33="","",COUNTA($B$2:$B33))</f>
        <v>32</v>
      </c>
      <c r="B33" s="11" t="s">
        <v>203</v>
      </c>
      <c r="C33" s="11" t="s">
        <v>204</v>
      </c>
      <c r="D33" s="11" t="s">
        <v>27</v>
      </c>
      <c r="E33" s="11" t="s">
        <v>131</v>
      </c>
      <c r="F33" s="11" t="s">
        <v>141</v>
      </c>
      <c r="G33" s="34" t="s">
        <v>142</v>
      </c>
      <c r="H33" s="25" t="n">
        <v>46007</v>
      </c>
      <c r="I33" s="40" t="n">
        <v>1</v>
      </c>
      <c r="J33" s="34" t="s">
        <v>142</v>
      </c>
      <c r="K33" s="45" t="n">
        <v>60000000</v>
      </c>
      <c r="L33" s="34"/>
      <c r="M33" s="34"/>
      <c r="N33" s="11" t="s">
        <v>57</v>
      </c>
      <c r="O33" s="11" t="s">
        <v>55</v>
      </c>
      <c r="P33" s="11" t="s">
        <v>133</v>
      </c>
      <c r="Q33" s="11" t="s">
        <v>133</v>
      </c>
      <c r="R33" s="11" t="s">
        <v>133</v>
      </c>
      <c r="S33" s="46"/>
      <c r="T33" s="44" t="n">
        <f aca="false">IF($B33="","",COUNTA($N33:$R33)-COUNTIF($N33:$R33,"Not Invited"))</f>
        <v>2</v>
      </c>
      <c r="U33" s="44" t="n">
        <f aca="false">IF($B33="","",COUNTIF($N33:$R33,"Attended"))</f>
        <v>1</v>
      </c>
      <c r="V33" s="47" t="str">
        <f aca="false">IF($B33="","",_xlfn.TEXTJOIN(", ",TRUE(),IF($N33="Attended",Setup!$D$15,""),IF($O33="Attended",Setup!$D$16,""),IF($P33="Attended",Setup!$D$17,""),IF($Q33="Attended",Setup!$D$18,""),IF($R33="Attended",Setup!$D$19,"")))</f>
        <v>May-26 Symposium</v>
      </c>
      <c r="W33" s="48" t="n">
        <f aca="true">IF(OR($B33="",NOT(ISNUMBER($H33))),"",TODAY()-$H33)</f>
        <v>234</v>
      </c>
      <c r="X33" s="47" t="str">
        <f aca="false">IF($B33="","",IF($U33&gt;0,"Event attendee",IF($G33="Yes","Met (no event)",IF($T33&gt;0,"Invited only",IF(OR($L33="Yes",$M33="Yes"),"Contacted only","Not yet contacted")))))</f>
        <v>Event attendee</v>
      </c>
      <c r="Y33" s="47" t="n">
        <f aca="false">IF($B33="","",COUNTIF(c_Firm,"&lt;"&amp;$D33)+COUNTIFS(c_Firm,$D33,c_Name,"&lt;"&amp;$B33)+COUNTIFS($D$2:$D33,$D33,$B$2:$B33,$B33))</f>
        <v>32</v>
      </c>
      <c r="Z33" s="47" t="n">
        <f aca="false">IF($B33="","",IF(AND(OR(Contacts!$C$3="(All)",$D33=Contacts!$C$3),OR(Contacts!$E$3="(All)",$G33=Contacts!$E$3),OR(Contacts!$G$3="(All)",ISNUMBER(SEARCH(Contacts!$G$3,$V33))),OR(Contacts!$I$3="(All)",$X33=Contacts!$I$3),OR(Contacts!$K$3="",ISNUMBER(SEARCH(Contacts!$K$3,$B33&amp;" "&amp;$C33&amp;" "&amp;$D33&amp;" "&amp;$S33)))),1,0))</f>
        <v>1</v>
      </c>
      <c r="AA33" s="47" t="n">
        <f aca="false">IF($Z33=1,COUNTIFS(c_Pass,1,c_Sort,"&lt;="&amp;$Y33),"")</f>
        <v>32</v>
      </c>
      <c r="AB33" s="47" t="n">
        <f aca="false">IF(OR($G33&lt;&gt;"Yes",NOT(ISNUMBER($H33))),"",COUNTIFS(c_Met,"Yes",c_Date,"&lt;"&amp;$H33)+COUNTIFS($G$2:$G33,"Yes",$H$2:$H33,$H33))</f>
        <v>39</v>
      </c>
    </row>
    <row r="34" customFormat="false" ht="15" hidden="false" customHeight="false" outlineLevel="0" collapsed="false">
      <c r="A34" s="44" t="n">
        <f aca="false">IF($B34="","",COUNTA($B$2:$B34))</f>
        <v>33</v>
      </c>
      <c r="B34" s="11" t="s">
        <v>205</v>
      </c>
      <c r="C34" s="11" t="s">
        <v>206</v>
      </c>
      <c r="D34" s="11" t="s">
        <v>27</v>
      </c>
      <c r="E34" s="11" t="s">
        <v>131</v>
      </c>
      <c r="F34" s="11" t="s">
        <v>207</v>
      </c>
      <c r="G34" s="34" t="s">
        <v>142</v>
      </c>
      <c r="H34" s="25" t="n">
        <v>45954</v>
      </c>
      <c r="I34" s="40" t="n">
        <v>1</v>
      </c>
      <c r="J34" s="34" t="s">
        <v>132</v>
      </c>
      <c r="K34" s="45" t="n">
        <v>60000000</v>
      </c>
      <c r="L34" s="34"/>
      <c r="M34" s="34" t="s">
        <v>132</v>
      </c>
      <c r="N34" s="11" t="s">
        <v>57</v>
      </c>
      <c r="O34" s="11" t="s">
        <v>57</v>
      </c>
      <c r="P34" s="11" t="s">
        <v>133</v>
      </c>
      <c r="Q34" s="11" t="s">
        <v>133</v>
      </c>
      <c r="R34" s="11" t="s">
        <v>133</v>
      </c>
      <c r="S34" s="46" t="s">
        <v>146</v>
      </c>
      <c r="T34" s="44" t="n">
        <f aca="false">IF($B34="","",COUNTA($N34:$R34)-COUNTIF($N34:$R34,"Not Invited"))</f>
        <v>2</v>
      </c>
      <c r="U34" s="44" t="n">
        <f aca="false">IF($B34="","",COUNTIF($N34:$R34,"Attended"))</f>
        <v>0</v>
      </c>
      <c r="V34" s="47" t="str">
        <f aca="false">IF($B34="","",_xlfn.TEXTJOIN(", ",TRUE(),IF($N34="Attended",Setup!$D$15,""),IF($O34="Attended",Setup!$D$16,""),IF($P34="Attended",Setup!$D$17,""),IF($Q34="Attended",Setup!$D$18,""),IF($R34="Attended",Setup!$D$19,"")))</f>
        <v/>
      </c>
      <c r="W34" s="48" t="n">
        <f aca="true">IF(OR($B34="",NOT(ISNUMBER($H34))),"",TODAY()-$H34)</f>
        <v>287</v>
      </c>
      <c r="X34" s="47" t="str">
        <f aca="false">IF($B34="","",IF($U34&gt;0,"Event attendee",IF($G34="Yes","Met (no event)",IF($T34&gt;0,"Invited only",IF(OR($L34="Yes",$M34="Yes"),"Contacted only","Not yet contacted")))))</f>
        <v>Met (no event)</v>
      </c>
      <c r="Y34" s="47" t="n">
        <f aca="false">IF($B34="","",COUNTIF(c_Firm,"&lt;"&amp;$D34)+COUNTIFS(c_Firm,$D34,c_Name,"&lt;"&amp;$B34)+COUNTIFS($D$2:$D34,$D34,$B$2:$B34,$B34))</f>
        <v>33</v>
      </c>
      <c r="Z34" s="47" t="n">
        <f aca="false">IF($B34="","",IF(AND(OR(Contacts!$C$3="(All)",$D34=Contacts!$C$3),OR(Contacts!$E$3="(All)",$G34=Contacts!$E$3),OR(Contacts!$G$3="(All)",ISNUMBER(SEARCH(Contacts!$G$3,$V34))),OR(Contacts!$I$3="(All)",$X34=Contacts!$I$3),OR(Contacts!$K$3="",ISNUMBER(SEARCH(Contacts!$K$3,$B34&amp;" "&amp;$C34&amp;" "&amp;$D34&amp;" "&amp;$S34)))),1,0))</f>
        <v>1</v>
      </c>
      <c r="AA34" s="47" t="n">
        <f aca="false">IF($Z34=1,COUNTIFS(c_Pass,1,c_Sort,"&lt;="&amp;$Y34),"")</f>
        <v>33</v>
      </c>
      <c r="AB34" s="47" t="n">
        <f aca="false">IF(OR($G34&lt;&gt;"Yes",NOT(ISNUMBER($H34))),"",COUNTIFS(c_Met,"Yes",c_Date,"&lt;"&amp;$H34)+COUNTIFS($G$2:$G34,"Yes",$H$2:$H34,$H34))</f>
        <v>29</v>
      </c>
    </row>
    <row r="35" customFormat="false" ht="15" hidden="false" customHeight="false" outlineLevel="0" collapsed="false">
      <c r="A35" s="44" t="n">
        <f aca="false">IF($B35="","",COUNTA($B$2:$B35))</f>
        <v>34</v>
      </c>
      <c r="B35" s="11" t="s">
        <v>208</v>
      </c>
      <c r="C35" s="11"/>
      <c r="D35" s="11" t="s">
        <v>27</v>
      </c>
      <c r="E35" s="11" t="s">
        <v>193</v>
      </c>
      <c r="F35" s="11" t="s">
        <v>68</v>
      </c>
      <c r="G35" s="34" t="s">
        <v>132</v>
      </c>
      <c r="H35" s="25"/>
      <c r="I35" s="40" t="n">
        <v>0</v>
      </c>
      <c r="J35" s="34" t="s">
        <v>132</v>
      </c>
      <c r="K35" s="45"/>
      <c r="L35" s="34"/>
      <c r="M35" s="34" t="s">
        <v>142</v>
      </c>
      <c r="N35" s="11" t="s">
        <v>133</v>
      </c>
      <c r="O35" s="11" t="s">
        <v>133</v>
      </c>
      <c r="P35" s="11" t="s">
        <v>133</v>
      </c>
      <c r="Q35" s="11" t="s">
        <v>133</v>
      </c>
      <c r="R35" s="11" t="s">
        <v>133</v>
      </c>
      <c r="S35" s="46" t="s">
        <v>209</v>
      </c>
      <c r="T35" s="44" t="n">
        <f aca="false">IF($B35="","",COUNTA($N35:$R35)-COUNTIF($N35:$R35,"Not Invited"))</f>
        <v>0</v>
      </c>
      <c r="U35" s="44" t="n">
        <f aca="false">IF($B35="","",COUNTIF($N35:$R35,"Attended"))</f>
        <v>0</v>
      </c>
      <c r="V35" s="47" t="str">
        <f aca="false">IF($B35="","",_xlfn.TEXTJOIN(", ",TRUE(),IF($N35="Attended",Setup!$D$15,""),IF($O35="Attended",Setup!$D$16,""),IF($P35="Attended",Setup!$D$17,""),IF($Q35="Attended",Setup!$D$18,""),IF($R35="Attended",Setup!$D$19,"")))</f>
        <v/>
      </c>
      <c r="W35" s="48" t="str">
        <f aca="true">IF(OR($B35="",NOT(ISNUMBER($H35))),"",TODAY()-$H35)</f>
        <v/>
      </c>
      <c r="X35" s="47" t="str">
        <f aca="false">IF($B35="","",IF($U35&gt;0,"Event attendee",IF($G35="Yes","Met (no event)",IF($T35&gt;0,"Invited only",IF(OR($L35="Yes",$M35="Yes"),"Contacted only","Not yet contacted")))))</f>
        <v>Contacted only</v>
      </c>
      <c r="Y35" s="47" t="n">
        <f aca="false">IF($B35="","",COUNTIF(c_Firm,"&lt;"&amp;$D35)+COUNTIFS(c_Firm,$D35,c_Name,"&lt;"&amp;$B35)+COUNTIFS($D$2:$D35,$D35,$B$2:$B35,$B35))</f>
        <v>34</v>
      </c>
      <c r="Z35" s="47" t="n">
        <f aca="false">IF($B35="","",IF(AND(OR(Contacts!$C$3="(All)",$D35=Contacts!$C$3),OR(Contacts!$E$3="(All)",$G35=Contacts!$E$3),OR(Contacts!$G$3="(All)",ISNUMBER(SEARCH(Contacts!$G$3,$V35))),OR(Contacts!$I$3="(All)",$X35=Contacts!$I$3),OR(Contacts!$K$3="",ISNUMBER(SEARCH(Contacts!$K$3,$B35&amp;" "&amp;$C35&amp;" "&amp;$D35&amp;" "&amp;$S35)))),1,0))</f>
        <v>1</v>
      </c>
      <c r="AA35" s="47" t="n">
        <f aca="false">IF($Z35=1,COUNTIFS(c_Pass,1,c_Sort,"&lt;="&amp;$Y35),"")</f>
        <v>34</v>
      </c>
      <c r="AB35" s="47" t="str">
        <f aca="false">IF(OR($G35&lt;&gt;"Yes",NOT(ISNUMBER($H35))),"",COUNTIFS(c_Met,"Yes",c_Date,"&lt;"&amp;$H35)+COUNTIFS($G$2:$G35,"Yes",$H$2:$H35,$H35))</f>
        <v/>
      </c>
    </row>
    <row r="36" customFormat="false" ht="15" hidden="false" customHeight="false" outlineLevel="0" collapsed="false">
      <c r="A36" s="44" t="n">
        <f aca="false">IF($B36="","",COUNTA($B$2:$B36))</f>
        <v>35</v>
      </c>
      <c r="B36" s="11" t="s">
        <v>210</v>
      </c>
      <c r="C36" s="11"/>
      <c r="D36" s="11" t="s">
        <v>27</v>
      </c>
      <c r="E36" s="11" t="s">
        <v>193</v>
      </c>
      <c r="F36" s="11" t="s">
        <v>68</v>
      </c>
      <c r="G36" s="34" t="s">
        <v>132</v>
      </c>
      <c r="H36" s="25"/>
      <c r="I36" s="40" t="n">
        <v>0</v>
      </c>
      <c r="J36" s="34" t="s">
        <v>132</v>
      </c>
      <c r="K36" s="45"/>
      <c r="L36" s="34"/>
      <c r="M36" s="34" t="s">
        <v>142</v>
      </c>
      <c r="N36" s="11" t="s">
        <v>133</v>
      </c>
      <c r="O36" s="11" t="s">
        <v>133</v>
      </c>
      <c r="P36" s="11" t="s">
        <v>133</v>
      </c>
      <c r="Q36" s="11" t="s">
        <v>133</v>
      </c>
      <c r="R36" s="11" t="s">
        <v>133</v>
      </c>
      <c r="S36" s="46"/>
      <c r="T36" s="44" t="n">
        <f aca="false">IF($B36="","",COUNTA($N36:$R36)-COUNTIF($N36:$R36,"Not Invited"))</f>
        <v>0</v>
      </c>
      <c r="U36" s="44" t="n">
        <f aca="false">IF($B36="","",COUNTIF($N36:$R36,"Attended"))</f>
        <v>0</v>
      </c>
      <c r="V36" s="47" t="str">
        <f aca="false">IF($B36="","",_xlfn.TEXTJOIN(", ",TRUE(),IF($N36="Attended",Setup!$D$15,""),IF($O36="Attended",Setup!$D$16,""),IF($P36="Attended",Setup!$D$17,""),IF($Q36="Attended",Setup!$D$18,""),IF($R36="Attended",Setup!$D$19,"")))</f>
        <v/>
      </c>
      <c r="W36" s="48" t="str">
        <f aca="true">IF(OR($B36="",NOT(ISNUMBER($H36))),"",TODAY()-$H36)</f>
        <v/>
      </c>
      <c r="X36" s="47" t="str">
        <f aca="false">IF($B36="","",IF($U36&gt;0,"Event attendee",IF($G36="Yes","Met (no event)",IF($T36&gt;0,"Invited only",IF(OR($L36="Yes",$M36="Yes"),"Contacted only","Not yet contacted")))))</f>
        <v>Contacted only</v>
      </c>
      <c r="Y36" s="47" t="n">
        <f aca="false">IF($B36="","",COUNTIF(c_Firm,"&lt;"&amp;$D36)+COUNTIFS(c_Firm,$D36,c_Name,"&lt;"&amp;$B36)+COUNTIFS($D$2:$D36,$D36,$B$2:$B36,$B36))</f>
        <v>35</v>
      </c>
      <c r="Z36" s="47" t="n">
        <f aca="false">IF($B36="","",IF(AND(OR(Contacts!$C$3="(All)",$D36=Contacts!$C$3),OR(Contacts!$E$3="(All)",$G36=Contacts!$E$3),OR(Contacts!$G$3="(All)",ISNUMBER(SEARCH(Contacts!$G$3,$V36))),OR(Contacts!$I$3="(All)",$X36=Contacts!$I$3),OR(Contacts!$K$3="",ISNUMBER(SEARCH(Contacts!$K$3,$B36&amp;" "&amp;$C36&amp;" "&amp;$D36&amp;" "&amp;$S36)))),1,0))</f>
        <v>1</v>
      </c>
      <c r="AA36" s="47" t="n">
        <f aca="false">IF($Z36=1,COUNTIFS(c_Pass,1,c_Sort,"&lt;="&amp;$Y36),"")</f>
        <v>35</v>
      </c>
      <c r="AB36" s="47" t="str">
        <f aca="false">IF(OR($G36&lt;&gt;"Yes",NOT(ISNUMBER($H36))),"",COUNTIFS(c_Met,"Yes",c_Date,"&lt;"&amp;$H36)+COUNTIFS($G$2:$G36,"Yes",$H$2:$H36,$H36))</f>
        <v/>
      </c>
    </row>
    <row r="37" customFormat="false" ht="15" hidden="false" customHeight="false" outlineLevel="0" collapsed="false">
      <c r="A37" s="44" t="n">
        <f aca="false">IF($B37="","",COUNTA($B$2:$B37))</f>
        <v>36</v>
      </c>
      <c r="B37" s="11" t="s">
        <v>211</v>
      </c>
      <c r="C37" s="11"/>
      <c r="D37" s="11" t="s">
        <v>27</v>
      </c>
      <c r="E37" s="11" t="s">
        <v>193</v>
      </c>
      <c r="F37" s="11" t="s">
        <v>68</v>
      </c>
      <c r="G37" s="34" t="s">
        <v>132</v>
      </c>
      <c r="H37" s="25"/>
      <c r="I37" s="40" t="n">
        <v>0</v>
      </c>
      <c r="J37" s="34" t="s">
        <v>132</v>
      </c>
      <c r="K37" s="45"/>
      <c r="L37" s="34"/>
      <c r="M37" s="34" t="s">
        <v>142</v>
      </c>
      <c r="N37" s="11" t="s">
        <v>133</v>
      </c>
      <c r="O37" s="11" t="s">
        <v>133</v>
      </c>
      <c r="P37" s="11" t="s">
        <v>133</v>
      </c>
      <c r="Q37" s="11" t="s">
        <v>133</v>
      </c>
      <c r="R37" s="11" t="s">
        <v>133</v>
      </c>
      <c r="S37" s="46" t="s">
        <v>212</v>
      </c>
      <c r="T37" s="44" t="n">
        <f aca="false">IF($B37="","",COUNTA($N37:$R37)-COUNTIF($N37:$R37,"Not Invited"))</f>
        <v>0</v>
      </c>
      <c r="U37" s="44" t="n">
        <f aca="false">IF($B37="","",COUNTIF($N37:$R37,"Attended"))</f>
        <v>0</v>
      </c>
      <c r="V37" s="47" t="str">
        <f aca="false">IF($B37="","",_xlfn.TEXTJOIN(", ",TRUE(),IF($N37="Attended",Setup!$D$15,""),IF($O37="Attended",Setup!$D$16,""),IF($P37="Attended",Setup!$D$17,""),IF($Q37="Attended",Setup!$D$18,""),IF($R37="Attended",Setup!$D$19,"")))</f>
        <v/>
      </c>
      <c r="W37" s="48" t="str">
        <f aca="true">IF(OR($B37="",NOT(ISNUMBER($H37))),"",TODAY()-$H37)</f>
        <v/>
      </c>
      <c r="X37" s="47" t="str">
        <f aca="false">IF($B37="","",IF($U37&gt;0,"Event attendee",IF($G37="Yes","Met (no event)",IF($T37&gt;0,"Invited only",IF(OR($L37="Yes",$M37="Yes"),"Contacted only","Not yet contacted")))))</f>
        <v>Contacted only</v>
      </c>
      <c r="Y37" s="47" t="n">
        <f aca="false">IF($B37="","",COUNTIF(c_Firm,"&lt;"&amp;$D37)+COUNTIFS(c_Firm,$D37,c_Name,"&lt;"&amp;$B37)+COUNTIFS($D$2:$D37,$D37,$B$2:$B37,$B37))</f>
        <v>36</v>
      </c>
      <c r="Z37" s="47" t="n">
        <f aca="false">IF($B37="","",IF(AND(OR(Contacts!$C$3="(All)",$D37=Contacts!$C$3),OR(Contacts!$E$3="(All)",$G37=Contacts!$E$3),OR(Contacts!$G$3="(All)",ISNUMBER(SEARCH(Contacts!$G$3,$V37))),OR(Contacts!$I$3="(All)",$X37=Contacts!$I$3),OR(Contacts!$K$3="",ISNUMBER(SEARCH(Contacts!$K$3,$B37&amp;" "&amp;$C37&amp;" "&amp;$D37&amp;" "&amp;$S37)))),1,0))</f>
        <v>1</v>
      </c>
      <c r="AA37" s="47" t="n">
        <f aca="false">IF($Z37=1,COUNTIFS(c_Pass,1,c_Sort,"&lt;="&amp;$Y37),"")</f>
        <v>36</v>
      </c>
      <c r="AB37" s="47" t="str">
        <f aca="false">IF(OR($G37&lt;&gt;"Yes",NOT(ISNUMBER($H37))),"",COUNTIFS(c_Met,"Yes",c_Date,"&lt;"&amp;$H37)+COUNTIFS($G$2:$G37,"Yes",$H$2:$H37,$H37))</f>
        <v/>
      </c>
    </row>
    <row r="38" customFormat="false" ht="15" hidden="false" customHeight="false" outlineLevel="0" collapsed="false">
      <c r="A38" s="44" t="n">
        <f aca="false">IF($B38="","",COUNTA($B$2:$B38))</f>
        <v>37</v>
      </c>
      <c r="B38" s="11" t="s">
        <v>213</v>
      </c>
      <c r="C38" s="11"/>
      <c r="D38" s="11" t="s">
        <v>27</v>
      </c>
      <c r="E38" s="11" t="s">
        <v>193</v>
      </c>
      <c r="F38" s="11" t="s">
        <v>68</v>
      </c>
      <c r="G38" s="34" t="s">
        <v>132</v>
      </c>
      <c r="H38" s="25"/>
      <c r="I38" s="40" t="n">
        <v>0</v>
      </c>
      <c r="J38" s="34" t="s">
        <v>132</v>
      </c>
      <c r="K38" s="45"/>
      <c r="L38" s="34"/>
      <c r="M38" s="34" t="s">
        <v>142</v>
      </c>
      <c r="N38" s="11" t="s">
        <v>133</v>
      </c>
      <c r="O38" s="11" t="s">
        <v>133</v>
      </c>
      <c r="P38" s="11" t="s">
        <v>133</v>
      </c>
      <c r="Q38" s="11" t="s">
        <v>133</v>
      </c>
      <c r="R38" s="11" t="s">
        <v>133</v>
      </c>
      <c r="S38" s="46" t="s">
        <v>214</v>
      </c>
      <c r="T38" s="44" t="n">
        <f aca="false">IF($B38="","",COUNTA($N38:$R38)-COUNTIF($N38:$R38,"Not Invited"))</f>
        <v>0</v>
      </c>
      <c r="U38" s="44" t="n">
        <f aca="false">IF($B38="","",COUNTIF($N38:$R38,"Attended"))</f>
        <v>0</v>
      </c>
      <c r="V38" s="47" t="str">
        <f aca="false">IF($B38="","",_xlfn.TEXTJOIN(", ",TRUE(),IF($N38="Attended",Setup!$D$15,""),IF($O38="Attended",Setup!$D$16,""),IF($P38="Attended",Setup!$D$17,""),IF($Q38="Attended",Setup!$D$18,""),IF($R38="Attended",Setup!$D$19,"")))</f>
        <v/>
      </c>
      <c r="W38" s="48" t="str">
        <f aca="true">IF(OR($B38="",NOT(ISNUMBER($H38))),"",TODAY()-$H38)</f>
        <v/>
      </c>
      <c r="X38" s="47" t="str">
        <f aca="false">IF($B38="","",IF($U38&gt;0,"Event attendee",IF($G38="Yes","Met (no event)",IF($T38&gt;0,"Invited only",IF(OR($L38="Yes",$M38="Yes"),"Contacted only","Not yet contacted")))))</f>
        <v>Contacted only</v>
      </c>
      <c r="Y38" s="47" t="n">
        <f aca="false">IF($B38="","",COUNTIF(c_Firm,"&lt;"&amp;$D38)+COUNTIFS(c_Firm,$D38,c_Name,"&lt;"&amp;$B38)+COUNTIFS($D$2:$D38,$D38,$B$2:$B38,$B38))</f>
        <v>37</v>
      </c>
      <c r="Z38" s="47" t="n">
        <f aca="false">IF($B38="","",IF(AND(OR(Contacts!$C$3="(All)",$D38=Contacts!$C$3),OR(Contacts!$E$3="(All)",$G38=Contacts!$E$3),OR(Contacts!$G$3="(All)",ISNUMBER(SEARCH(Contacts!$G$3,$V38))),OR(Contacts!$I$3="(All)",$X38=Contacts!$I$3),OR(Contacts!$K$3="",ISNUMBER(SEARCH(Contacts!$K$3,$B38&amp;" "&amp;$C38&amp;" "&amp;$D38&amp;" "&amp;$S38)))),1,0))</f>
        <v>1</v>
      </c>
      <c r="AA38" s="47" t="n">
        <f aca="false">IF($Z38=1,COUNTIFS(c_Pass,1,c_Sort,"&lt;="&amp;$Y38),"")</f>
        <v>37</v>
      </c>
      <c r="AB38" s="47" t="str">
        <f aca="false">IF(OR($G38&lt;&gt;"Yes",NOT(ISNUMBER($H38))),"",COUNTIFS(c_Met,"Yes",c_Date,"&lt;"&amp;$H38)+COUNTIFS($G$2:$G38,"Yes",$H$2:$H38,$H38))</f>
        <v/>
      </c>
    </row>
    <row r="39" customFormat="false" ht="15" hidden="false" customHeight="false" outlineLevel="0" collapsed="false">
      <c r="A39" s="44" t="n">
        <f aca="false">IF($B39="","",COUNTA($B$2:$B39))</f>
        <v>38</v>
      </c>
      <c r="B39" s="11" t="s">
        <v>215</v>
      </c>
      <c r="C39" s="11"/>
      <c r="D39" s="11" t="s">
        <v>27</v>
      </c>
      <c r="E39" s="11" t="s">
        <v>193</v>
      </c>
      <c r="F39" s="11" t="s">
        <v>68</v>
      </c>
      <c r="G39" s="34" t="s">
        <v>132</v>
      </c>
      <c r="H39" s="25"/>
      <c r="I39" s="40" t="n">
        <v>0</v>
      </c>
      <c r="J39" s="34" t="s">
        <v>132</v>
      </c>
      <c r="K39" s="45"/>
      <c r="L39" s="34"/>
      <c r="M39" s="34" t="s">
        <v>142</v>
      </c>
      <c r="N39" s="11" t="s">
        <v>133</v>
      </c>
      <c r="O39" s="11" t="s">
        <v>133</v>
      </c>
      <c r="P39" s="11" t="s">
        <v>133</v>
      </c>
      <c r="Q39" s="11" t="s">
        <v>133</v>
      </c>
      <c r="R39" s="11" t="s">
        <v>133</v>
      </c>
      <c r="S39" s="46" t="s">
        <v>216</v>
      </c>
      <c r="T39" s="44" t="n">
        <f aca="false">IF($B39="","",COUNTA($N39:$R39)-COUNTIF($N39:$R39,"Not Invited"))</f>
        <v>0</v>
      </c>
      <c r="U39" s="44" t="n">
        <f aca="false">IF($B39="","",COUNTIF($N39:$R39,"Attended"))</f>
        <v>0</v>
      </c>
      <c r="V39" s="47" t="str">
        <f aca="false">IF($B39="","",_xlfn.TEXTJOIN(", ",TRUE(),IF($N39="Attended",Setup!$D$15,""),IF($O39="Attended",Setup!$D$16,""),IF($P39="Attended",Setup!$D$17,""),IF($Q39="Attended",Setup!$D$18,""),IF($R39="Attended",Setup!$D$19,"")))</f>
        <v/>
      </c>
      <c r="W39" s="48" t="str">
        <f aca="true">IF(OR($B39="",NOT(ISNUMBER($H39))),"",TODAY()-$H39)</f>
        <v/>
      </c>
      <c r="X39" s="47" t="str">
        <f aca="false">IF($B39="","",IF($U39&gt;0,"Event attendee",IF($G39="Yes","Met (no event)",IF($T39&gt;0,"Invited only",IF(OR($L39="Yes",$M39="Yes"),"Contacted only","Not yet contacted")))))</f>
        <v>Contacted only</v>
      </c>
      <c r="Y39" s="47" t="n">
        <f aca="false">IF($B39="","",COUNTIF(c_Firm,"&lt;"&amp;$D39)+COUNTIFS(c_Firm,$D39,c_Name,"&lt;"&amp;$B39)+COUNTIFS($D$2:$D39,$D39,$B$2:$B39,$B39))</f>
        <v>38</v>
      </c>
      <c r="Z39" s="47" t="n">
        <f aca="false">IF($B39="","",IF(AND(OR(Contacts!$C$3="(All)",$D39=Contacts!$C$3),OR(Contacts!$E$3="(All)",$G39=Contacts!$E$3),OR(Contacts!$G$3="(All)",ISNUMBER(SEARCH(Contacts!$G$3,$V39))),OR(Contacts!$I$3="(All)",$X39=Contacts!$I$3),OR(Contacts!$K$3="",ISNUMBER(SEARCH(Contacts!$K$3,$B39&amp;" "&amp;$C39&amp;" "&amp;$D39&amp;" "&amp;$S39)))),1,0))</f>
        <v>1</v>
      </c>
      <c r="AA39" s="47" t="n">
        <f aca="false">IF($Z39=1,COUNTIFS(c_Pass,1,c_Sort,"&lt;="&amp;$Y39),"")</f>
        <v>38</v>
      </c>
      <c r="AB39" s="47" t="str">
        <f aca="false">IF(OR($G39&lt;&gt;"Yes",NOT(ISNUMBER($H39))),"",COUNTIFS(c_Met,"Yes",c_Date,"&lt;"&amp;$H39)+COUNTIFS($G$2:$G39,"Yes",$H$2:$H39,$H39))</f>
        <v/>
      </c>
    </row>
    <row r="40" customFormat="false" ht="15" hidden="false" customHeight="false" outlineLevel="0" collapsed="false">
      <c r="A40" s="44" t="n">
        <f aca="false">IF($B40="","",COUNTA($B$2:$B40))</f>
        <v>39</v>
      </c>
      <c r="B40" s="11" t="s">
        <v>217</v>
      </c>
      <c r="C40" s="11"/>
      <c r="D40" s="11" t="s">
        <v>27</v>
      </c>
      <c r="E40" s="11" t="s">
        <v>193</v>
      </c>
      <c r="F40" s="11" t="s">
        <v>68</v>
      </c>
      <c r="G40" s="34" t="s">
        <v>132</v>
      </c>
      <c r="H40" s="25"/>
      <c r="I40" s="40" t="n">
        <v>0</v>
      </c>
      <c r="J40" s="34" t="s">
        <v>132</v>
      </c>
      <c r="K40" s="45"/>
      <c r="L40" s="34"/>
      <c r="M40" s="34" t="s">
        <v>142</v>
      </c>
      <c r="N40" s="11" t="s">
        <v>133</v>
      </c>
      <c r="O40" s="11" t="s">
        <v>133</v>
      </c>
      <c r="P40" s="11" t="s">
        <v>133</v>
      </c>
      <c r="Q40" s="11" t="s">
        <v>133</v>
      </c>
      <c r="R40" s="11" t="s">
        <v>133</v>
      </c>
      <c r="S40" s="46" t="s">
        <v>218</v>
      </c>
      <c r="T40" s="44" t="n">
        <f aca="false">IF($B40="","",COUNTA($N40:$R40)-COUNTIF($N40:$R40,"Not Invited"))</f>
        <v>0</v>
      </c>
      <c r="U40" s="44" t="n">
        <f aca="false">IF($B40="","",COUNTIF($N40:$R40,"Attended"))</f>
        <v>0</v>
      </c>
      <c r="V40" s="47" t="str">
        <f aca="false">IF($B40="","",_xlfn.TEXTJOIN(", ",TRUE(),IF($N40="Attended",Setup!$D$15,""),IF($O40="Attended",Setup!$D$16,""),IF($P40="Attended",Setup!$D$17,""),IF($Q40="Attended",Setup!$D$18,""),IF($R40="Attended",Setup!$D$19,"")))</f>
        <v/>
      </c>
      <c r="W40" s="48" t="str">
        <f aca="true">IF(OR($B40="",NOT(ISNUMBER($H40))),"",TODAY()-$H40)</f>
        <v/>
      </c>
      <c r="X40" s="47" t="str">
        <f aca="false">IF($B40="","",IF($U40&gt;0,"Event attendee",IF($G40="Yes","Met (no event)",IF($T40&gt;0,"Invited only",IF(OR($L40="Yes",$M40="Yes"),"Contacted only","Not yet contacted")))))</f>
        <v>Contacted only</v>
      </c>
      <c r="Y40" s="47" t="n">
        <f aca="false">IF($B40="","",COUNTIF(c_Firm,"&lt;"&amp;$D40)+COUNTIFS(c_Firm,$D40,c_Name,"&lt;"&amp;$B40)+COUNTIFS($D$2:$D40,$D40,$B$2:$B40,$B40))</f>
        <v>39</v>
      </c>
      <c r="Z40" s="47" t="n">
        <f aca="false">IF($B40="","",IF(AND(OR(Contacts!$C$3="(All)",$D40=Contacts!$C$3),OR(Contacts!$E$3="(All)",$G40=Contacts!$E$3),OR(Contacts!$G$3="(All)",ISNUMBER(SEARCH(Contacts!$G$3,$V40))),OR(Contacts!$I$3="(All)",$X40=Contacts!$I$3),OR(Contacts!$K$3="",ISNUMBER(SEARCH(Contacts!$K$3,$B40&amp;" "&amp;$C40&amp;" "&amp;$D40&amp;" "&amp;$S40)))),1,0))</f>
        <v>1</v>
      </c>
      <c r="AA40" s="47" t="n">
        <f aca="false">IF($Z40=1,COUNTIFS(c_Pass,1,c_Sort,"&lt;="&amp;$Y40),"")</f>
        <v>39</v>
      </c>
      <c r="AB40" s="47" t="str">
        <f aca="false">IF(OR($G40&lt;&gt;"Yes",NOT(ISNUMBER($H40))),"",COUNTIFS(c_Met,"Yes",c_Date,"&lt;"&amp;$H40)+COUNTIFS($G$2:$G40,"Yes",$H$2:$H40,$H40))</f>
        <v/>
      </c>
    </row>
    <row r="41" customFormat="false" ht="15" hidden="false" customHeight="false" outlineLevel="0" collapsed="false">
      <c r="A41" s="44" t="n">
        <f aca="false">IF($B41="","",COUNTA($B$2:$B41))</f>
        <v>40</v>
      </c>
      <c r="B41" s="11" t="s">
        <v>219</v>
      </c>
      <c r="C41" s="11"/>
      <c r="D41" s="11" t="s">
        <v>27</v>
      </c>
      <c r="E41" s="11" t="s">
        <v>193</v>
      </c>
      <c r="F41" s="11" t="s">
        <v>68</v>
      </c>
      <c r="G41" s="34" t="s">
        <v>132</v>
      </c>
      <c r="H41" s="25"/>
      <c r="I41" s="40" t="n">
        <v>0</v>
      </c>
      <c r="J41" s="34" t="s">
        <v>132</v>
      </c>
      <c r="K41" s="45"/>
      <c r="L41" s="34"/>
      <c r="M41" s="34" t="s">
        <v>132</v>
      </c>
      <c r="N41" s="11" t="s">
        <v>133</v>
      </c>
      <c r="O41" s="11" t="s">
        <v>133</v>
      </c>
      <c r="P41" s="11" t="s">
        <v>133</v>
      </c>
      <c r="Q41" s="11" t="s">
        <v>133</v>
      </c>
      <c r="R41" s="11" t="s">
        <v>133</v>
      </c>
      <c r="S41" s="46"/>
      <c r="T41" s="44" t="n">
        <f aca="false">IF($B41="","",COUNTA($N41:$R41)-COUNTIF($N41:$R41,"Not Invited"))</f>
        <v>0</v>
      </c>
      <c r="U41" s="44" t="n">
        <f aca="false">IF($B41="","",COUNTIF($N41:$R41,"Attended"))</f>
        <v>0</v>
      </c>
      <c r="V41" s="47" t="str">
        <f aca="false">IF($B41="","",_xlfn.TEXTJOIN(", ",TRUE(),IF($N41="Attended",Setup!$D$15,""),IF($O41="Attended",Setup!$D$16,""),IF($P41="Attended",Setup!$D$17,""),IF($Q41="Attended",Setup!$D$18,""),IF($R41="Attended",Setup!$D$19,"")))</f>
        <v/>
      </c>
      <c r="W41" s="48" t="str">
        <f aca="true">IF(OR($B41="",NOT(ISNUMBER($H41))),"",TODAY()-$H41)</f>
        <v/>
      </c>
      <c r="X41" s="47" t="str">
        <f aca="false">IF($B41="","",IF($U41&gt;0,"Event attendee",IF($G41="Yes","Met (no event)",IF($T41&gt;0,"Invited only",IF(OR($L41="Yes",$M41="Yes"),"Contacted only","Not yet contacted")))))</f>
        <v>Not yet contacted</v>
      </c>
      <c r="Y41" s="47" t="n">
        <f aca="false">IF($B41="","",COUNTIF(c_Firm,"&lt;"&amp;$D41)+COUNTIFS(c_Firm,$D41,c_Name,"&lt;"&amp;$B41)+COUNTIFS($D$2:$D41,$D41,$B$2:$B41,$B41))</f>
        <v>40</v>
      </c>
      <c r="Z41" s="47" t="n">
        <f aca="false">IF($B41="","",IF(AND(OR(Contacts!$C$3="(All)",$D41=Contacts!$C$3),OR(Contacts!$E$3="(All)",$G41=Contacts!$E$3),OR(Contacts!$G$3="(All)",ISNUMBER(SEARCH(Contacts!$G$3,$V41))),OR(Contacts!$I$3="(All)",$X41=Contacts!$I$3),OR(Contacts!$K$3="",ISNUMBER(SEARCH(Contacts!$K$3,$B41&amp;" "&amp;$C41&amp;" "&amp;$D41&amp;" "&amp;$S41)))),1,0))</f>
        <v>1</v>
      </c>
      <c r="AA41" s="47" t="n">
        <f aca="false">IF($Z41=1,COUNTIFS(c_Pass,1,c_Sort,"&lt;="&amp;$Y41),"")</f>
        <v>40</v>
      </c>
      <c r="AB41" s="47" t="str">
        <f aca="false">IF(OR($G41&lt;&gt;"Yes",NOT(ISNUMBER($H41))),"",COUNTIFS(c_Met,"Yes",c_Date,"&lt;"&amp;$H41)+COUNTIFS($G$2:$G41,"Yes",$H$2:$H41,$H41))</f>
        <v/>
      </c>
    </row>
    <row r="42" customFormat="false" ht="15" hidden="false" customHeight="false" outlineLevel="0" collapsed="false">
      <c r="A42" s="44" t="n">
        <f aca="false">IF($B42="","",COUNTA($B$2:$B42))</f>
        <v>41</v>
      </c>
      <c r="B42" s="11" t="s">
        <v>220</v>
      </c>
      <c r="C42" s="11"/>
      <c r="D42" s="11" t="s">
        <v>27</v>
      </c>
      <c r="E42" s="11" t="s">
        <v>193</v>
      </c>
      <c r="F42" s="11" t="s">
        <v>68</v>
      </c>
      <c r="G42" s="34" t="s">
        <v>132</v>
      </c>
      <c r="H42" s="25"/>
      <c r="I42" s="40" t="n">
        <v>0</v>
      </c>
      <c r="J42" s="34" t="s">
        <v>132</v>
      </c>
      <c r="K42" s="45"/>
      <c r="L42" s="34"/>
      <c r="M42" s="34" t="s">
        <v>142</v>
      </c>
      <c r="N42" s="11" t="s">
        <v>133</v>
      </c>
      <c r="O42" s="11" t="s">
        <v>133</v>
      </c>
      <c r="P42" s="11" t="s">
        <v>133</v>
      </c>
      <c r="Q42" s="11" t="s">
        <v>133</v>
      </c>
      <c r="R42" s="11" t="s">
        <v>133</v>
      </c>
      <c r="S42" s="46" t="s">
        <v>221</v>
      </c>
      <c r="T42" s="44" t="n">
        <f aca="false">IF($B42="","",COUNTA($N42:$R42)-COUNTIF($N42:$R42,"Not Invited"))</f>
        <v>0</v>
      </c>
      <c r="U42" s="44" t="n">
        <f aca="false">IF($B42="","",COUNTIF($N42:$R42,"Attended"))</f>
        <v>0</v>
      </c>
      <c r="V42" s="47" t="str">
        <f aca="false">IF($B42="","",_xlfn.TEXTJOIN(", ",TRUE(),IF($N42="Attended",Setup!$D$15,""),IF($O42="Attended",Setup!$D$16,""),IF($P42="Attended",Setup!$D$17,""),IF($Q42="Attended",Setup!$D$18,""),IF($R42="Attended",Setup!$D$19,"")))</f>
        <v/>
      </c>
      <c r="W42" s="48" t="str">
        <f aca="true">IF(OR($B42="",NOT(ISNUMBER($H42))),"",TODAY()-$H42)</f>
        <v/>
      </c>
      <c r="X42" s="47" t="str">
        <f aca="false">IF($B42="","",IF($U42&gt;0,"Event attendee",IF($G42="Yes","Met (no event)",IF($T42&gt;0,"Invited only",IF(OR($L42="Yes",$M42="Yes"),"Contacted only","Not yet contacted")))))</f>
        <v>Contacted only</v>
      </c>
      <c r="Y42" s="47" t="n">
        <f aca="false">IF($B42="","",COUNTIF(c_Firm,"&lt;"&amp;$D42)+COUNTIFS(c_Firm,$D42,c_Name,"&lt;"&amp;$B42)+COUNTIFS($D$2:$D42,$D42,$B$2:$B42,$B42))</f>
        <v>41</v>
      </c>
      <c r="Z42" s="47" t="n">
        <f aca="false">IF($B42="","",IF(AND(OR(Contacts!$C$3="(All)",$D42=Contacts!$C$3),OR(Contacts!$E$3="(All)",$G42=Contacts!$E$3),OR(Contacts!$G$3="(All)",ISNUMBER(SEARCH(Contacts!$G$3,$V42))),OR(Contacts!$I$3="(All)",$X42=Contacts!$I$3),OR(Contacts!$K$3="",ISNUMBER(SEARCH(Contacts!$K$3,$B42&amp;" "&amp;$C42&amp;" "&amp;$D42&amp;" "&amp;$S42)))),1,0))</f>
        <v>1</v>
      </c>
      <c r="AA42" s="47" t="n">
        <f aca="false">IF($Z42=1,COUNTIFS(c_Pass,1,c_Sort,"&lt;="&amp;$Y42),"")</f>
        <v>41</v>
      </c>
      <c r="AB42" s="47" t="str">
        <f aca="false">IF(OR($G42&lt;&gt;"Yes",NOT(ISNUMBER($H42))),"",COUNTIFS(c_Met,"Yes",c_Date,"&lt;"&amp;$H42)+COUNTIFS($G$2:$G42,"Yes",$H$2:$H42,$H42))</f>
        <v/>
      </c>
    </row>
    <row r="43" customFormat="false" ht="15" hidden="false" customHeight="false" outlineLevel="0" collapsed="false">
      <c r="A43" s="44" t="n">
        <f aca="false">IF($B43="","",COUNTA($B$2:$B43))</f>
        <v>42</v>
      </c>
      <c r="B43" s="11" t="s">
        <v>222</v>
      </c>
      <c r="C43" s="11"/>
      <c r="D43" s="11" t="s">
        <v>27</v>
      </c>
      <c r="E43" s="11" t="s">
        <v>193</v>
      </c>
      <c r="F43" s="11" t="s">
        <v>68</v>
      </c>
      <c r="G43" s="34" t="s">
        <v>132</v>
      </c>
      <c r="H43" s="25"/>
      <c r="I43" s="40" t="n">
        <v>0</v>
      </c>
      <c r="J43" s="34" t="s">
        <v>132</v>
      </c>
      <c r="K43" s="45"/>
      <c r="L43" s="34"/>
      <c r="M43" s="34" t="s">
        <v>142</v>
      </c>
      <c r="N43" s="11" t="s">
        <v>133</v>
      </c>
      <c r="O43" s="11" t="s">
        <v>133</v>
      </c>
      <c r="P43" s="11" t="s">
        <v>133</v>
      </c>
      <c r="Q43" s="11" t="s">
        <v>133</v>
      </c>
      <c r="R43" s="11" t="s">
        <v>133</v>
      </c>
      <c r="S43" s="46" t="s">
        <v>223</v>
      </c>
      <c r="T43" s="44" t="n">
        <f aca="false">IF($B43="","",COUNTA($N43:$R43)-COUNTIF($N43:$R43,"Not Invited"))</f>
        <v>0</v>
      </c>
      <c r="U43" s="44" t="n">
        <f aca="false">IF($B43="","",COUNTIF($N43:$R43,"Attended"))</f>
        <v>0</v>
      </c>
      <c r="V43" s="47" t="str">
        <f aca="false">IF($B43="","",_xlfn.TEXTJOIN(", ",TRUE(),IF($N43="Attended",Setup!$D$15,""),IF($O43="Attended",Setup!$D$16,""),IF($P43="Attended",Setup!$D$17,""),IF($Q43="Attended",Setup!$D$18,""),IF($R43="Attended",Setup!$D$19,"")))</f>
        <v/>
      </c>
      <c r="W43" s="48" t="str">
        <f aca="true">IF(OR($B43="",NOT(ISNUMBER($H43))),"",TODAY()-$H43)</f>
        <v/>
      </c>
      <c r="X43" s="47" t="str">
        <f aca="false">IF($B43="","",IF($U43&gt;0,"Event attendee",IF($G43="Yes","Met (no event)",IF($T43&gt;0,"Invited only",IF(OR($L43="Yes",$M43="Yes"),"Contacted only","Not yet contacted")))))</f>
        <v>Contacted only</v>
      </c>
      <c r="Y43" s="47" t="n">
        <f aca="false">IF($B43="","",COUNTIF(c_Firm,"&lt;"&amp;$D43)+COUNTIFS(c_Firm,$D43,c_Name,"&lt;"&amp;$B43)+COUNTIFS($D$2:$D43,$D43,$B$2:$B43,$B43))</f>
        <v>42</v>
      </c>
      <c r="Z43" s="47" t="n">
        <f aca="false">IF($B43="","",IF(AND(OR(Contacts!$C$3="(All)",$D43=Contacts!$C$3),OR(Contacts!$E$3="(All)",$G43=Contacts!$E$3),OR(Contacts!$G$3="(All)",ISNUMBER(SEARCH(Contacts!$G$3,$V43))),OR(Contacts!$I$3="(All)",$X43=Contacts!$I$3),OR(Contacts!$K$3="",ISNUMBER(SEARCH(Contacts!$K$3,$B43&amp;" "&amp;$C43&amp;" "&amp;$D43&amp;" "&amp;$S43)))),1,0))</f>
        <v>1</v>
      </c>
      <c r="AA43" s="47" t="n">
        <f aca="false">IF($Z43=1,COUNTIFS(c_Pass,1,c_Sort,"&lt;="&amp;$Y43),"")</f>
        <v>42</v>
      </c>
      <c r="AB43" s="47" t="str">
        <f aca="false">IF(OR($G43&lt;&gt;"Yes",NOT(ISNUMBER($H43))),"",COUNTIFS(c_Met,"Yes",c_Date,"&lt;"&amp;$H43)+COUNTIFS($G$2:$G43,"Yes",$H$2:$H43,$H43))</f>
        <v/>
      </c>
    </row>
    <row r="44" customFormat="false" ht="15" hidden="false" customHeight="false" outlineLevel="0" collapsed="false">
      <c r="A44" s="44" t="n">
        <f aca="false">IF($B44="","",COUNTA($B$2:$B44))</f>
        <v>43</v>
      </c>
      <c r="B44" s="11" t="s">
        <v>224</v>
      </c>
      <c r="C44" s="11"/>
      <c r="D44" s="11" t="s">
        <v>27</v>
      </c>
      <c r="E44" s="11" t="s">
        <v>193</v>
      </c>
      <c r="F44" s="11" t="s">
        <v>68</v>
      </c>
      <c r="G44" s="34" t="s">
        <v>132</v>
      </c>
      <c r="H44" s="25"/>
      <c r="I44" s="40" t="n">
        <v>0</v>
      </c>
      <c r="J44" s="34" t="s">
        <v>132</v>
      </c>
      <c r="K44" s="45"/>
      <c r="L44" s="34"/>
      <c r="M44" s="34" t="s">
        <v>142</v>
      </c>
      <c r="N44" s="11" t="s">
        <v>133</v>
      </c>
      <c r="O44" s="11" t="s">
        <v>133</v>
      </c>
      <c r="P44" s="11" t="s">
        <v>133</v>
      </c>
      <c r="Q44" s="11" t="s">
        <v>133</v>
      </c>
      <c r="R44" s="11" t="s">
        <v>133</v>
      </c>
      <c r="S44" s="46"/>
      <c r="T44" s="44" t="n">
        <f aca="false">IF($B44="","",COUNTA($N44:$R44)-COUNTIF($N44:$R44,"Not Invited"))</f>
        <v>0</v>
      </c>
      <c r="U44" s="44" t="n">
        <f aca="false">IF($B44="","",COUNTIF($N44:$R44,"Attended"))</f>
        <v>0</v>
      </c>
      <c r="V44" s="47" t="str">
        <f aca="false">IF($B44="","",_xlfn.TEXTJOIN(", ",TRUE(),IF($N44="Attended",Setup!$D$15,""),IF($O44="Attended",Setup!$D$16,""),IF($P44="Attended",Setup!$D$17,""),IF($Q44="Attended",Setup!$D$18,""),IF($R44="Attended",Setup!$D$19,"")))</f>
        <v/>
      </c>
      <c r="W44" s="48" t="str">
        <f aca="true">IF(OR($B44="",NOT(ISNUMBER($H44))),"",TODAY()-$H44)</f>
        <v/>
      </c>
      <c r="X44" s="47" t="str">
        <f aca="false">IF($B44="","",IF($U44&gt;0,"Event attendee",IF($G44="Yes","Met (no event)",IF($T44&gt;0,"Invited only",IF(OR($L44="Yes",$M44="Yes"),"Contacted only","Not yet contacted")))))</f>
        <v>Contacted only</v>
      </c>
      <c r="Y44" s="47" t="n">
        <f aca="false">IF($B44="","",COUNTIF(c_Firm,"&lt;"&amp;$D44)+COUNTIFS(c_Firm,$D44,c_Name,"&lt;"&amp;$B44)+COUNTIFS($D$2:$D44,$D44,$B$2:$B44,$B44))</f>
        <v>43</v>
      </c>
      <c r="Z44" s="47" t="n">
        <f aca="false">IF($B44="","",IF(AND(OR(Contacts!$C$3="(All)",$D44=Contacts!$C$3),OR(Contacts!$E$3="(All)",$G44=Contacts!$E$3),OR(Contacts!$G$3="(All)",ISNUMBER(SEARCH(Contacts!$G$3,$V44))),OR(Contacts!$I$3="(All)",$X44=Contacts!$I$3),OR(Contacts!$K$3="",ISNUMBER(SEARCH(Contacts!$K$3,$B44&amp;" "&amp;$C44&amp;" "&amp;$D44&amp;" "&amp;$S44)))),1,0))</f>
        <v>1</v>
      </c>
      <c r="AA44" s="47" t="n">
        <f aca="false">IF($Z44=1,COUNTIFS(c_Pass,1,c_Sort,"&lt;="&amp;$Y44),"")</f>
        <v>43</v>
      </c>
      <c r="AB44" s="47" t="str">
        <f aca="false">IF(OR($G44&lt;&gt;"Yes",NOT(ISNUMBER($H44))),"",COUNTIFS(c_Met,"Yes",c_Date,"&lt;"&amp;$H44)+COUNTIFS($G$2:$G44,"Yes",$H$2:$H44,$H44))</f>
        <v/>
      </c>
    </row>
    <row r="45" customFormat="false" ht="15" hidden="false" customHeight="false" outlineLevel="0" collapsed="false">
      <c r="A45" s="44" t="n">
        <f aca="false">IF($B45="","",COUNTA($B$2:$B45))</f>
        <v>44</v>
      </c>
      <c r="B45" s="11" t="s">
        <v>225</v>
      </c>
      <c r="C45" s="11"/>
      <c r="D45" s="11" t="s">
        <v>27</v>
      </c>
      <c r="E45" s="11" t="s">
        <v>193</v>
      </c>
      <c r="F45" s="11" t="s">
        <v>68</v>
      </c>
      <c r="G45" s="34" t="s">
        <v>132</v>
      </c>
      <c r="H45" s="25"/>
      <c r="I45" s="40" t="n">
        <v>0</v>
      </c>
      <c r="J45" s="34" t="s">
        <v>132</v>
      </c>
      <c r="K45" s="45"/>
      <c r="L45" s="34"/>
      <c r="M45" s="34" t="s">
        <v>142</v>
      </c>
      <c r="N45" s="11" t="s">
        <v>133</v>
      </c>
      <c r="O45" s="11" t="s">
        <v>133</v>
      </c>
      <c r="P45" s="11" t="s">
        <v>133</v>
      </c>
      <c r="Q45" s="11" t="s">
        <v>133</v>
      </c>
      <c r="R45" s="11" t="s">
        <v>133</v>
      </c>
      <c r="S45" s="46" t="s">
        <v>226</v>
      </c>
      <c r="T45" s="44" t="n">
        <f aca="false">IF($B45="","",COUNTA($N45:$R45)-COUNTIF($N45:$R45,"Not Invited"))</f>
        <v>0</v>
      </c>
      <c r="U45" s="44" t="n">
        <f aca="false">IF($B45="","",COUNTIF($N45:$R45,"Attended"))</f>
        <v>0</v>
      </c>
      <c r="V45" s="47" t="str">
        <f aca="false">IF($B45="","",_xlfn.TEXTJOIN(", ",TRUE(),IF($N45="Attended",Setup!$D$15,""),IF($O45="Attended",Setup!$D$16,""),IF($P45="Attended",Setup!$D$17,""),IF($Q45="Attended",Setup!$D$18,""),IF($R45="Attended",Setup!$D$19,"")))</f>
        <v/>
      </c>
      <c r="W45" s="48" t="str">
        <f aca="true">IF(OR($B45="",NOT(ISNUMBER($H45))),"",TODAY()-$H45)</f>
        <v/>
      </c>
      <c r="X45" s="47" t="str">
        <f aca="false">IF($B45="","",IF($U45&gt;0,"Event attendee",IF($G45="Yes","Met (no event)",IF($T45&gt;0,"Invited only",IF(OR($L45="Yes",$M45="Yes"),"Contacted only","Not yet contacted")))))</f>
        <v>Contacted only</v>
      </c>
      <c r="Y45" s="47" t="n">
        <f aca="false">IF($B45="","",COUNTIF(c_Firm,"&lt;"&amp;$D45)+COUNTIFS(c_Firm,$D45,c_Name,"&lt;"&amp;$B45)+COUNTIFS($D$2:$D45,$D45,$B$2:$B45,$B45))</f>
        <v>44</v>
      </c>
      <c r="Z45" s="47" t="n">
        <f aca="false">IF($B45="","",IF(AND(OR(Contacts!$C$3="(All)",$D45=Contacts!$C$3),OR(Contacts!$E$3="(All)",$G45=Contacts!$E$3),OR(Contacts!$G$3="(All)",ISNUMBER(SEARCH(Contacts!$G$3,$V45))),OR(Contacts!$I$3="(All)",$X45=Contacts!$I$3),OR(Contacts!$K$3="",ISNUMBER(SEARCH(Contacts!$K$3,$B45&amp;" "&amp;$C45&amp;" "&amp;$D45&amp;" "&amp;$S45)))),1,0))</f>
        <v>1</v>
      </c>
      <c r="AA45" s="47" t="n">
        <f aca="false">IF($Z45=1,COUNTIFS(c_Pass,1,c_Sort,"&lt;="&amp;$Y45),"")</f>
        <v>44</v>
      </c>
      <c r="AB45" s="47" t="str">
        <f aca="false">IF(OR($G45&lt;&gt;"Yes",NOT(ISNUMBER($H45))),"",COUNTIFS(c_Met,"Yes",c_Date,"&lt;"&amp;$H45)+COUNTIFS($G$2:$G45,"Yes",$H$2:$H45,$H45))</f>
        <v/>
      </c>
    </row>
    <row r="46" customFormat="false" ht="15" hidden="false" customHeight="false" outlineLevel="0" collapsed="false">
      <c r="A46" s="44" t="n">
        <f aca="false">IF($B46="","",COUNTA($B$2:$B46))</f>
        <v>45</v>
      </c>
      <c r="B46" s="11" t="s">
        <v>227</v>
      </c>
      <c r="C46" s="11"/>
      <c r="D46" s="11" t="s">
        <v>27</v>
      </c>
      <c r="E46" s="11" t="s">
        <v>193</v>
      </c>
      <c r="F46" s="11" t="s">
        <v>68</v>
      </c>
      <c r="G46" s="34" t="s">
        <v>132</v>
      </c>
      <c r="H46" s="25"/>
      <c r="I46" s="40" t="n">
        <v>0</v>
      </c>
      <c r="J46" s="34" t="s">
        <v>132</v>
      </c>
      <c r="K46" s="45"/>
      <c r="L46" s="34"/>
      <c r="M46" s="34" t="s">
        <v>142</v>
      </c>
      <c r="N46" s="11" t="s">
        <v>133</v>
      </c>
      <c r="O46" s="11" t="s">
        <v>133</v>
      </c>
      <c r="P46" s="11" t="s">
        <v>133</v>
      </c>
      <c r="Q46" s="11" t="s">
        <v>133</v>
      </c>
      <c r="R46" s="11" t="s">
        <v>133</v>
      </c>
      <c r="S46" s="46" t="s">
        <v>228</v>
      </c>
      <c r="T46" s="44" t="n">
        <f aca="false">IF($B46="","",COUNTA($N46:$R46)-COUNTIF($N46:$R46,"Not Invited"))</f>
        <v>0</v>
      </c>
      <c r="U46" s="44" t="n">
        <f aca="false">IF($B46="","",COUNTIF($N46:$R46,"Attended"))</f>
        <v>0</v>
      </c>
      <c r="V46" s="47" t="str">
        <f aca="false">IF($B46="","",_xlfn.TEXTJOIN(", ",TRUE(),IF($N46="Attended",Setup!$D$15,""),IF($O46="Attended",Setup!$D$16,""),IF($P46="Attended",Setup!$D$17,""),IF($Q46="Attended",Setup!$D$18,""),IF($R46="Attended",Setup!$D$19,"")))</f>
        <v/>
      </c>
      <c r="W46" s="48" t="str">
        <f aca="true">IF(OR($B46="",NOT(ISNUMBER($H46))),"",TODAY()-$H46)</f>
        <v/>
      </c>
      <c r="X46" s="47" t="str">
        <f aca="false">IF($B46="","",IF($U46&gt;0,"Event attendee",IF($G46="Yes","Met (no event)",IF($T46&gt;0,"Invited only",IF(OR($L46="Yes",$M46="Yes"),"Contacted only","Not yet contacted")))))</f>
        <v>Contacted only</v>
      </c>
      <c r="Y46" s="47" t="n">
        <f aca="false">IF($B46="","",COUNTIF(c_Firm,"&lt;"&amp;$D46)+COUNTIFS(c_Firm,$D46,c_Name,"&lt;"&amp;$B46)+COUNTIFS($D$2:$D46,$D46,$B$2:$B46,$B46))</f>
        <v>45</v>
      </c>
      <c r="Z46" s="47" t="n">
        <f aca="false">IF($B46="","",IF(AND(OR(Contacts!$C$3="(All)",$D46=Contacts!$C$3),OR(Contacts!$E$3="(All)",$G46=Contacts!$E$3),OR(Contacts!$G$3="(All)",ISNUMBER(SEARCH(Contacts!$G$3,$V46))),OR(Contacts!$I$3="(All)",$X46=Contacts!$I$3),OR(Contacts!$K$3="",ISNUMBER(SEARCH(Contacts!$K$3,$B46&amp;" "&amp;$C46&amp;" "&amp;$D46&amp;" "&amp;$S46)))),1,0))</f>
        <v>1</v>
      </c>
      <c r="AA46" s="47" t="n">
        <f aca="false">IF($Z46=1,COUNTIFS(c_Pass,1,c_Sort,"&lt;="&amp;$Y46),"")</f>
        <v>45</v>
      </c>
      <c r="AB46" s="47" t="str">
        <f aca="false">IF(OR($G46&lt;&gt;"Yes",NOT(ISNUMBER($H46))),"",COUNTIFS(c_Met,"Yes",c_Date,"&lt;"&amp;$H46)+COUNTIFS($G$2:$G46,"Yes",$H$2:$H46,$H46))</f>
        <v/>
      </c>
    </row>
    <row r="47" customFormat="false" ht="15" hidden="false" customHeight="false" outlineLevel="0" collapsed="false">
      <c r="A47" s="44" t="n">
        <f aca="false">IF($B47="","",COUNTA($B$2:$B47))</f>
        <v>46</v>
      </c>
      <c r="B47" s="11" t="s">
        <v>229</v>
      </c>
      <c r="C47" s="11"/>
      <c r="D47" s="11" t="s">
        <v>27</v>
      </c>
      <c r="E47" s="11" t="s">
        <v>193</v>
      </c>
      <c r="F47" s="11" t="s">
        <v>68</v>
      </c>
      <c r="G47" s="34" t="s">
        <v>132</v>
      </c>
      <c r="H47" s="25"/>
      <c r="I47" s="40" t="n">
        <v>0</v>
      </c>
      <c r="J47" s="34" t="s">
        <v>132</v>
      </c>
      <c r="K47" s="45"/>
      <c r="L47" s="34"/>
      <c r="M47" s="34" t="s">
        <v>142</v>
      </c>
      <c r="N47" s="11" t="s">
        <v>133</v>
      </c>
      <c r="O47" s="11" t="s">
        <v>133</v>
      </c>
      <c r="P47" s="11" t="s">
        <v>133</v>
      </c>
      <c r="Q47" s="11" t="s">
        <v>133</v>
      </c>
      <c r="R47" s="11" t="s">
        <v>133</v>
      </c>
      <c r="S47" s="46" t="s">
        <v>230</v>
      </c>
      <c r="T47" s="44" t="n">
        <f aca="false">IF($B47="","",COUNTA($N47:$R47)-COUNTIF($N47:$R47,"Not Invited"))</f>
        <v>0</v>
      </c>
      <c r="U47" s="44" t="n">
        <f aca="false">IF($B47="","",COUNTIF($N47:$R47,"Attended"))</f>
        <v>0</v>
      </c>
      <c r="V47" s="47" t="str">
        <f aca="false">IF($B47="","",_xlfn.TEXTJOIN(", ",TRUE(),IF($N47="Attended",Setup!$D$15,""),IF($O47="Attended",Setup!$D$16,""),IF($P47="Attended",Setup!$D$17,""),IF($Q47="Attended",Setup!$D$18,""),IF($R47="Attended",Setup!$D$19,"")))</f>
        <v/>
      </c>
      <c r="W47" s="48" t="str">
        <f aca="true">IF(OR($B47="",NOT(ISNUMBER($H47))),"",TODAY()-$H47)</f>
        <v/>
      </c>
      <c r="X47" s="47" t="str">
        <f aca="false">IF($B47="","",IF($U47&gt;0,"Event attendee",IF($G47="Yes","Met (no event)",IF($T47&gt;0,"Invited only",IF(OR($L47="Yes",$M47="Yes"),"Contacted only","Not yet contacted")))))</f>
        <v>Contacted only</v>
      </c>
      <c r="Y47" s="47" t="n">
        <f aca="false">IF($B47="","",COUNTIF(c_Firm,"&lt;"&amp;$D47)+COUNTIFS(c_Firm,$D47,c_Name,"&lt;"&amp;$B47)+COUNTIFS($D$2:$D47,$D47,$B$2:$B47,$B47))</f>
        <v>46</v>
      </c>
      <c r="Z47" s="47" t="n">
        <f aca="false">IF($B47="","",IF(AND(OR(Contacts!$C$3="(All)",$D47=Contacts!$C$3),OR(Contacts!$E$3="(All)",$G47=Contacts!$E$3),OR(Contacts!$G$3="(All)",ISNUMBER(SEARCH(Contacts!$G$3,$V47))),OR(Contacts!$I$3="(All)",$X47=Contacts!$I$3),OR(Contacts!$K$3="",ISNUMBER(SEARCH(Contacts!$K$3,$B47&amp;" "&amp;$C47&amp;" "&amp;$D47&amp;" "&amp;$S47)))),1,0))</f>
        <v>1</v>
      </c>
      <c r="AA47" s="47" t="n">
        <f aca="false">IF($Z47=1,COUNTIFS(c_Pass,1,c_Sort,"&lt;="&amp;$Y47),"")</f>
        <v>46</v>
      </c>
      <c r="AB47" s="47" t="str">
        <f aca="false">IF(OR($G47&lt;&gt;"Yes",NOT(ISNUMBER($H47))),"",COUNTIFS(c_Met,"Yes",c_Date,"&lt;"&amp;$H47)+COUNTIFS($G$2:$G47,"Yes",$H$2:$H47,$H47))</f>
        <v/>
      </c>
    </row>
    <row r="48" customFormat="false" ht="15" hidden="false" customHeight="false" outlineLevel="0" collapsed="false">
      <c r="A48" s="44" t="n">
        <f aca="false">IF($B48="","",COUNTA($B$2:$B48))</f>
        <v>47</v>
      </c>
      <c r="B48" s="11" t="s">
        <v>231</v>
      </c>
      <c r="C48" s="11"/>
      <c r="D48" s="11" t="s">
        <v>27</v>
      </c>
      <c r="E48" s="11" t="s">
        <v>193</v>
      </c>
      <c r="F48" s="11" t="s">
        <v>68</v>
      </c>
      <c r="G48" s="34" t="s">
        <v>132</v>
      </c>
      <c r="H48" s="25"/>
      <c r="I48" s="40" t="n">
        <v>0</v>
      </c>
      <c r="J48" s="34" t="s">
        <v>132</v>
      </c>
      <c r="K48" s="45"/>
      <c r="L48" s="34"/>
      <c r="M48" s="34" t="s">
        <v>142</v>
      </c>
      <c r="N48" s="11" t="s">
        <v>133</v>
      </c>
      <c r="O48" s="11" t="s">
        <v>133</v>
      </c>
      <c r="P48" s="11" t="s">
        <v>133</v>
      </c>
      <c r="Q48" s="11" t="s">
        <v>133</v>
      </c>
      <c r="R48" s="11" t="s">
        <v>133</v>
      </c>
      <c r="S48" s="46" t="s">
        <v>232</v>
      </c>
      <c r="T48" s="44" t="n">
        <f aca="false">IF($B48="","",COUNTA($N48:$R48)-COUNTIF($N48:$R48,"Not Invited"))</f>
        <v>0</v>
      </c>
      <c r="U48" s="44" t="n">
        <f aca="false">IF($B48="","",COUNTIF($N48:$R48,"Attended"))</f>
        <v>0</v>
      </c>
      <c r="V48" s="47" t="str">
        <f aca="false">IF($B48="","",_xlfn.TEXTJOIN(", ",TRUE(),IF($N48="Attended",Setup!$D$15,""),IF($O48="Attended",Setup!$D$16,""),IF($P48="Attended",Setup!$D$17,""),IF($Q48="Attended",Setup!$D$18,""),IF($R48="Attended",Setup!$D$19,"")))</f>
        <v/>
      </c>
      <c r="W48" s="48" t="str">
        <f aca="true">IF(OR($B48="",NOT(ISNUMBER($H48))),"",TODAY()-$H48)</f>
        <v/>
      </c>
      <c r="X48" s="47" t="str">
        <f aca="false">IF($B48="","",IF($U48&gt;0,"Event attendee",IF($G48="Yes","Met (no event)",IF($T48&gt;0,"Invited only",IF(OR($L48="Yes",$M48="Yes"),"Contacted only","Not yet contacted")))))</f>
        <v>Contacted only</v>
      </c>
      <c r="Y48" s="47" t="n">
        <f aca="false">IF($B48="","",COUNTIF(c_Firm,"&lt;"&amp;$D48)+COUNTIFS(c_Firm,$D48,c_Name,"&lt;"&amp;$B48)+COUNTIFS($D$2:$D48,$D48,$B$2:$B48,$B48))</f>
        <v>47</v>
      </c>
      <c r="Z48" s="47" t="n">
        <f aca="false">IF($B48="","",IF(AND(OR(Contacts!$C$3="(All)",$D48=Contacts!$C$3),OR(Contacts!$E$3="(All)",$G48=Contacts!$E$3),OR(Contacts!$G$3="(All)",ISNUMBER(SEARCH(Contacts!$G$3,$V48))),OR(Contacts!$I$3="(All)",$X48=Contacts!$I$3),OR(Contacts!$K$3="",ISNUMBER(SEARCH(Contacts!$K$3,$B48&amp;" "&amp;$C48&amp;" "&amp;$D48&amp;" "&amp;$S48)))),1,0))</f>
        <v>1</v>
      </c>
      <c r="AA48" s="47" t="n">
        <f aca="false">IF($Z48=1,COUNTIFS(c_Pass,1,c_Sort,"&lt;="&amp;$Y48),"")</f>
        <v>47</v>
      </c>
      <c r="AB48" s="47" t="str">
        <f aca="false">IF(OR($G48&lt;&gt;"Yes",NOT(ISNUMBER($H48))),"",COUNTIFS(c_Met,"Yes",c_Date,"&lt;"&amp;$H48)+COUNTIFS($G$2:$G48,"Yes",$H$2:$H48,$H48))</f>
        <v/>
      </c>
    </row>
    <row r="49" customFormat="false" ht="15" hidden="false" customHeight="false" outlineLevel="0" collapsed="false">
      <c r="A49" s="44" t="n">
        <f aca="false">IF($B49="","",COUNTA($B$2:$B49))</f>
        <v>48</v>
      </c>
      <c r="B49" s="11" t="s">
        <v>233</v>
      </c>
      <c r="C49" s="11"/>
      <c r="D49" s="11" t="s">
        <v>27</v>
      </c>
      <c r="E49" s="11" t="s">
        <v>193</v>
      </c>
      <c r="F49" s="11" t="s">
        <v>68</v>
      </c>
      <c r="G49" s="34" t="s">
        <v>132</v>
      </c>
      <c r="H49" s="25"/>
      <c r="I49" s="40" t="n">
        <v>0</v>
      </c>
      <c r="J49" s="34" t="s">
        <v>132</v>
      </c>
      <c r="K49" s="45"/>
      <c r="L49" s="34"/>
      <c r="M49" s="34" t="s">
        <v>142</v>
      </c>
      <c r="N49" s="11" t="s">
        <v>133</v>
      </c>
      <c r="O49" s="11" t="s">
        <v>133</v>
      </c>
      <c r="P49" s="11" t="s">
        <v>133</v>
      </c>
      <c r="Q49" s="11" t="s">
        <v>133</v>
      </c>
      <c r="R49" s="11" t="s">
        <v>133</v>
      </c>
      <c r="S49" s="46" t="s">
        <v>234</v>
      </c>
      <c r="T49" s="44" t="n">
        <f aca="false">IF($B49="","",COUNTA($N49:$R49)-COUNTIF($N49:$R49,"Not Invited"))</f>
        <v>0</v>
      </c>
      <c r="U49" s="44" t="n">
        <f aca="false">IF($B49="","",COUNTIF($N49:$R49,"Attended"))</f>
        <v>0</v>
      </c>
      <c r="V49" s="47" t="str">
        <f aca="false">IF($B49="","",_xlfn.TEXTJOIN(", ",TRUE(),IF($N49="Attended",Setup!$D$15,""),IF($O49="Attended",Setup!$D$16,""),IF($P49="Attended",Setup!$D$17,""),IF($Q49="Attended",Setup!$D$18,""),IF($R49="Attended",Setup!$D$19,"")))</f>
        <v/>
      </c>
      <c r="W49" s="48" t="str">
        <f aca="true">IF(OR($B49="",NOT(ISNUMBER($H49))),"",TODAY()-$H49)</f>
        <v/>
      </c>
      <c r="X49" s="47" t="str">
        <f aca="false">IF($B49="","",IF($U49&gt;0,"Event attendee",IF($G49="Yes","Met (no event)",IF($T49&gt;0,"Invited only",IF(OR($L49="Yes",$M49="Yes"),"Contacted only","Not yet contacted")))))</f>
        <v>Contacted only</v>
      </c>
      <c r="Y49" s="47" t="n">
        <f aca="false">IF($B49="","",COUNTIF(c_Firm,"&lt;"&amp;$D49)+COUNTIFS(c_Firm,$D49,c_Name,"&lt;"&amp;$B49)+COUNTIFS($D$2:$D49,$D49,$B$2:$B49,$B49))</f>
        <v>48</v>
      </c>
      <c r="Z49" s="47" t="n">
        <f aca="false">IF($B49="","",IF(AND(OR(Contacts!$C$3="(All)",$D49=Contacts!$C$3),OR(Contacts!$E$3="(All)",$G49=Contacts!$E$3),OR(Contacts!$G$3="(All)",ISNUMBER(SEARCH(Contacts!$G$3,$V49))),OR(Contacts!$I$3="(All)",$X49=Contacts!$I$3),OR(Contacts!$K$3="",ISNUMBER(SEARCH(Contacts!$K$3,$B49&amp;" "&amp;$C49&amp;" "&amp;$D49&amp;" "&amp;$S49)))),1,0))</f>
        <v>1</v>
      </c>
      <c r="AA49" s="47" t="n">
        <f aca="false">IF($Z49=1,COUNTIFS(c_Pass,1,c_Sort,"&lt;="&amp;$Y49),"")</f>
        <v>48</v>
      </c>
      <c r="AB49" s="47" t="str">
        <f aca="false">IF(OR($G49&lt;&gt;"Yes",NOT(ISNUMBER($H49))),"",COUNTIFS(c_Met,"Yes",c_Date,"&lt;"&amp;$H49)+COUNTIFS($G$2:$G49,"Yes",$H$2:$H49,$H49))</f>
        <v/>
      </c>
    </row>
    <row r="50" customFormat="false" ht="15" hidden="false" customHeight="false" outlineLevel="0" collapsed="false">
      <c r="A50" s="44" t="n">
        <f aca="false">IF($B50="","",COUNTA($B$2:$B50))</f>
        <v>49</v>
      </c>
      <c r="B50" s="11" t="s">
        <v>235</v>
      </c>
      <c r="C50" s="11"/>
      <c r="D50" s="11" t="s">
        <v>27</v>
      </c>
      <c r="E50" s="11" t="s">
        <v>193</v>
      </c>
      <c r="F50" s="11" t="s">
        <v>68</v>
      </c>
      <c r="G50" s="34" t="s">
        <v>132</v>
      </c>
      <c r="H50" s="25"/>
      <c r="I50" s="40" t="n">
        <v>0</v>
      </c>
      <c r="J50" s="34" t="s">
        <v>132</v>
      </c>
      <c r="K50" s="45"/>
      <c r="L50" s="34"/>
      <c r="M50" s="34" t="s">
        <v>142</v>
      </c>
      <c r="N50" s="11" t="s">
        <v>133</v>
      </c>
      <c r="O50" s="11" t="s">
        <v>133</v>
      </c>
      <c r="P50" s="11" t="s">
        <v>133</v>
      </c>
      <c r="Q50" s="11" t="s">
        <v>133</v>
      </c>
      <c r="R50" s="11" t="s">
        <v>133</v>
      </c>
      <c r="S50" s="46" t="s">
        <v>236</v>
      </c>
      <c r="T50" s="44" t="n">
        <f aca="false">IF($B50="","",COUNTA($N50:$R50)-COUNTIF($N50:$R50,"Not Invited"))</f>
        <v>0</v>
      </c>
      <c r="U50" s="44" t="n">
        <f aca="false">IF($B50="","",COUNTIF($N50:$R50,"Attended"))</f>
        <v>0</v>
      </c>
      <c r="V50" s="47" t="str">
        <f aca="false">IF($B50="","",_xlfn.TEXTJOIN(", ",TRUE(),IF($N50="Attended",Setup!$D$15,""),IF($O50="Attended",Setup!$D$16,""),IF($P50="Attended",Setup!$D$17,""),IF($Q50="Attended",Setup!$D$18,""),IF($R50="Attended",Setup!$D$19,"")))</f>
        <v/>
      </c>
      <c r="W50" s="48" t="str">
        <f aca="true">IF(OR($B50="",NOT(ISNUMBER($H50))),"",TODAY()-$H50)</f>
        <v/>
      </c>
      <c r="X50" s="47" t="str">
        <f aca="false">IF($B50="","",IF($U50&gt;0,"Event attendee",IF($G50="Yes","Met (no event)",IF($T50&gt;0,"Invited only",IF(OR($L50="Yes",$M50="Yes"),"Contacted only","Not yet contacted")))))</f>
        <v>Contacted only</v>
      </c>
      <c r="Y50" s="47" t="n">
        <f aca="false">IF($B50="","",COUNTIF(c_Firm,"&lt;"&amp;$D50)+COUNTIFS(c_Firm,$D50,c_Name,"&lt;"&amp;$B50)+COUNTIFS($D$2:$D50,$D50,$B$2:$B50,$B50))</f>
        <v>49</v>
      </c>
      <c r="Z50" s="47" t="n">
        <f aca="false">IF($B50="","",IF(AND(OR(Contacts!$C$3="(All)",$D50=Contacts!$C$3),OR(Contacts!$E$3="(All)",$G50=Contacts!$E$3),OR(Contacts!$G$3="(All)",ISNUMBER(SEARCH(Contacts!$G$3,$V50))),OR(Contacts!$I$3="(All)",$X50=Contacts!$I$3),OR(Contacts!$K$3="",ISNUMBER(SEARCH(Contacts!$K$3,$B50&amp;" "&amp;$C50&amp;" "&amp;$D50&amp;" "&amp;$S50)))),1,0))</f>
        <v>1</v>
      </c>
      <c r="AA50" s="47" t="n">
        <f aca="false">IF($Z50=1,COUNTIFS(c_Pass,1,c_Sort,"&lt;="&amp;$Y50),"")</f>
        <v>49</v>
      </c>
      <c r="AB50" s="47" t="str">
        <f aca="false">IF(OR($G50&lt;&gt;"Yes",NOT(ISNUMBER($H50))),"",COUNTIFS(c_Met,"Yes",c_Date,"&lt;"&amp;$H50)+COUNTIFS($G$2:$G50,"Yes",$H$2:$H50,$H50))</f>
        <v/>
      </c>
    </row>
    <row r="51" customFormat="false" ht="15" hidden="false" customHeight="false" outlineLevel="0" collapsed="false">
      <c r="A51" s="44" t="n">
        <f aca="false">IF($B51="","",COUNTA($B$2:$B51))</f>
        <v>50</v>
      </c>
      <c r="B51" s="11" t="s">
        <v>237</v>
      </c>
      <c r="C51" s="11" t="s">
        <v>238</v>
      </c>
      <c r="D51" s="11" t="s">
        <v>27</v>
      </c>
      <c r="E51" s="11" t="s">
        <v>131</v>
      </c>
      <c r="F51" s="11" t="s">
        <v>66</v>
      </c>
      <c r="G51" s="34" t="s">
        <v>132</v>
      </c>
      <c r="H51" s="25"/>
      <c r="I51" s="40" t="n">
        <v>0</v>
      </c>
      <c r="J51" s="34" t="s">
        <v>132</v>
      </c>
      <c r="K51" s="45"/>
      <c r="L51" s="34"/>
      <c r="M51" s="34"/>
      <c r="N51" s="11" t="s">
        <v>133</v>
      </c>
      <c r="O51" s="11" t="s">
        <v>55</v>
      </c>
      <c r="P51" s="11" t="s">
        <v>133</v>
      </c>
      <c r="Q51" s="11" t="s">
        <v>133</v>
      </c>
      <c r="R51" s="11" t="s">
        <v>133</v>
      </c>
      <c r="S51" s="46"/>
      <c r="T51" s="44" t="n">
        <f aca="false">IF($B51="","",COUNTA($N51:$R51)-COUNTIF($N51:$R51,"Not Invited"))</f>
        <v>1</v>
      </c>
      <c r="U51" s="44" t="n">
        <f aca="false">IF($B51="","",COUNTIF($N51:$R51,"Attended"))</f>
        <v>1</v>
      </c>
      <c r="V51" s="47" t="str">
        <f aca="false">IF($B51="","",_xlfn.TEXTJOIN(", ",TRUE(),IF($N51="Attended",Setup!$D$15,""),IF($O51="Attended",Setup!$D$16,""),IF($P51="Attended",Setup!$D$17,""),IF($Q51="Attended",Setup!$D$18,""),IF($R51="Attended",Setup!$D$19,"")))</f>
        <v>May-26 Symposium</v>
      </c>
      <c r="W51" s="48" t="str">
        <f aca="true">IF(OR($B51="",NOT(ISNUMBER($H51))),"",TODAY()-$H51)</f>
        <v/>
      </c>
      <c r="X51" s="47" t="str">
        <f aca="false">IF($B51="","",IF($U51&gt;0,"Event attendee",IF($G51="Yes","Met (no event)",IF($T51&gt;0,"Invited only",IF(OR($L51="Yes",$M51="Yes"),"Contacted only","Not yet contacted")))))</f>
        <v>Event attendee</v>
      </c>
      <c r="Y51" s="47" t="n">
        <f aca="false">IF($B51="","",COUNTIF(c_Firm,"&lt;"&amp;$D51)+COUNTIFS(c_Firm,$D51,c_Name,"&lt;"&amp;$B51)+COUNTIFS($D$2:$D51,$D51,$B$2:$B51,$B51))</f>
        <v>50</v>
      </c>
      <c r="Z51" s="47" t="n">
        <f aca="false">IF($B51="","",IF(AND(OR(Contacts!$C$3="(All)",$D51=Contacts!$C$3),OR(Contacts!$E$3="(All)",$G51=Contacts!$E$3),OR(Contacts!$G$3="(All)",ISNUMBER(SEARCH(Contacts!$G$3,$V51))),OR(Contacts!$I$3="(All)",$X51=Contacts!$I$3),OR(Contacts!$K$3="",ISNUMBER(SEARCH(Contacts!$K$3,$B51&amp;" "&amp;$C51&amp;" "&amp;$D51&amp;" "&amp;$S51)))),1,0))</f>
        <v>1</v>
      </c>
      <c r="AA51" s="47" t="n">
        <f aca="false">IF($Z51=1,COUNTIFS(c_Pass,1,c_Sort,"&lt;="&amp;$Y51),"")</f>
        <v>50</v>
      </c>
      <c r="AB51" s="47" t="str">
        <f aca="false">IF(OR($G51&lt;&gt;"Yes",NOT(ISNUMBER($H51))),"",COUNTIFS(c_Met,"Yes",c_Date,"&lt;"&amp;$H51)+COUNTIFS($G$2:$G51,"Yes",$H$2:$H51,$H51))</f>
        <v/>
      </c>
    </row>
    <row r="52" customFormat="false" ht="15" hidden="false" customHeight="false" outlineLevel="0" collapsed="false">
      <c r="A52" s="44" t="n">
        <f aca="false">IF($B52="","",COUNTA($B$2:$B52))</f>
        <v>51</v>
      </c>
      <c r="B52" s="11" t="s">
        <v>239</v>
      </c>
      <c r="C52" s="11" t="s">
        <v>240</v>
      </c>
      <c r="D52" s="11" t="s">
        <v>27</v>
      </c>
      <c r="E52" s="11" t="s">
        <v>131</v>
      </c>
      <c r="F52" s="11" t="s">
        <v>141</v>
      </c>
      <c r="G52" s="34" t="s">
        <v>142</v>
      </c>
      <c r="H52" s="25" t="n">
        <v>45994</v>
      </c>
      <c r="I52" s="40" t="n">
        <v>1</v>
      </c>
      <c r="J52" s="34" t="s">
        <v>142</v>
      </c>
      <c r="K52" s="45" t="n">
        <v>3000000</v>
      </c>
      <c r="L52" s="34"/>
      <c r="M52" s="34"/>
      <c r="N52" s="11" t="s">
        <v>55</v>
      </c>
      <c r="O52" s="11" t="s">
        <v>55</v>
      </c>
      <c r="P52" s="11" t="s">
        <v>133</v>
      </c>
      <c r="Q52" s="11" t="s">
        <v>133</v>
      </c>
      <c r="R52" s="11" t="s">
        <v>133</v>
      </c>
      <c r="S52" s="46"/>
      <c r="T52" s="44" t="n">
        <f aca="false">IF($B52="","",COUNTA($N52:$R52)-COUNTIF($N52:$R52,"Not Invited"))</f>
        <v>2</v>
      </c>
      <c r="U52" s="44" t="n">
        <f aca="false">IF($B52="","",COUNTIF($N52:$R52,"Attended"))</f>
        <v>2</v>
      </c>
      <c r="V52" s="47" t="str">
        <f aca="false">IF($B52="","",_xlfn.TEXTJOIN(", ",TRUE(),IF($N52="Attended",Setup!$D$15,""),IF($O52="Attended",Setup!$D$16,""),IF($P52="Attended",Setup!$D$17,""),IF($Q52="Attended",Setup!$D$18,""),IF($R52="Attended",Setup!$D$19,"")))</f>
        <v>Oct-25 Symposium, May-26 Symposium</v>
      </c>
      <c r="W52" s="48" t="n">
        <f aca="true">IF(OR($B52="",NOT(ISNUMBER($H52))),"",TODAY()-$H52)</f>
        <v>247</v>
      </c>
      <c r="X52" s="47" t="str">
        <f aca="false">IF($B52="","",IF($U52&gt;0,"Event attendee",IF($G52="Yes","Met (no event)",IF($T52&gt;0,"Invited only",IF(OR($L52="Yes",$M52="Yes"),"Contacted only","Not yet contacted")))))</f>
        <v>Event attendee</v>
      </c>
      <c r="Y52" s="47" t="n">
        <f aca="false">IF($B52="","",COUNTIF(c_Firm,"&lt;"&amp;$D52)+COUNTIFS(c_Firm,$D52,c_Name,"&lt;"&amp;$B52)+COUNTIFS($D$2:$D52,$D52,$B$2:$B52,$B52))</f>
        <v>51</v>
      </c>
      <c r="Z52" s="47" t="n">
        <f aca="false">IF($B52="","",IF(AND(OR(Contacts!$C$3="(All)",$D52=Contacts!$C$3),OR(Contacts!$E$3="(All)",$G52=Contacts!$E$3),OR(Contacts!$G$3="(All)",ISNUMBER(SEARCH(Contacts!$G$3,$V52))),OR(Contacts!$I$3="(All)",$X52=Contacts!$I$3),OR(Contacts!$K$3="",ISNUMBER(SEARCH(Contacts!$K$3,$B52&amp;" "&amp;$C52&amp;" "&amp;$D52&amp;" "&amp;$S52)))),1,0))</f>
        <v>1</v>
      </c>
      <c r="AA52" s="47" t="n">
        <f aca="false">IF($Z52=1,COUNTIFS(c_Pass,1,c_Sort,"&lt;="&amp;$Y52),"")</f>
        <v>51</v>
      </c>
      <c r="AB52" s="47" t="n">
        <f aca="false">IF(OR($G52&lt;&gt;"Yes",NOT(ISNUMBER($H52))),"",COUNTIFS(c_Met,"Yes",c_Date,"&lt;"&amp;$H52)+COUNTIFS($G$2:$G52,"Yes",$H$2:$H52,$H52))</f>
        <v>37</v>
      </c>
    </row>
    <row r="53" customFormat="false" ht="15" hidden="false" customHeight="false" outlineLevel="0" collapsed="false">
      <c r="A53" s="44" t="n">
        <f aca="false">IF($B53="","",COUNTA($B$2:$B53))</f>
        <v>52</v>
      </c>
      <c r="B53" s="11" t="s">
        <v>241</v>
      </c>
      <c r="C53" s="11" t="s">
        <v>242</v>
      </c>
      <c r="D53" s="11" t="s">
        <v>27</v>
      </c>
      <c r="E53" s="11" t="s">
        <v>131</v>
      </c>
      <c r="F53" s="11" t="s">
        <v>66</v>
      </c>
      <c r="G53" s="34" t="s">
        <v>132</v>
      </c>
      <c r="H53" s="25"/>
      <c r="I53" s="40" t="n">
        <v>0</v>
      </c>
      <c r="J53" s="34" t="s">
        <v>132</v>
      </c>
      <c r="K53" s="45"/>
      <c r="L53" s="34"/>
      <c r="M53" s="34"/>
      <c r="N53" s="11" t="s">
        <v>133</v>
      </c>
      <c r="O53" s="11" t="s">
        <v>55</v>
      </c>
      <c r="P53" s="11" t="s">
        <v>133</v>
      </c>
      <c r="Q53" s="11" t="s">
        <v>133</v>
      </c>
      <c r="R53" s="11" t="s">
        <v>133</v>
      </c>
      <c r="S53" s="46"/>
      <c r="T53" s="44" t="n">
        <f aca="false">IF($B53="","",COUNTA($N53:$R53)-COUNTIF($N53:$R53,"Not Invited"))</f>
        <v>1</v>
      </c>
      <c r="U53" s="44" t="n">
        <f aca="false">IF($B53="","",COUNTIF($N53:$R53,"Attended"))</f>
        <v>1</v>
      </c>
      <c r="V53" s="47" t="str">
        <f aca="false">IF($B53="","",_xlfn.TEXTJOIN(", ",TRUE(),IF($N53="Attended",Setup!$D$15,""),IF($O53="Attended",Setup!$D$16,""),IF($P53="Attended",Setup!$D$17,""),IF($Q53="Attended",Setup!$D$18,""),IF($R53="Attended",Setup!$D$19,"")))</f>
        <v>May-26 Symposium</v>
      </c>
      <c r="W53" s="48" t="str">
        <f aca="true">IF(OR($B53="",NOT(ISNUMBER($H53))),"",TODAY()-$H53)</f>
        <v/>
      </c>
      <c r="X53" s="47" t="str">
        <f aca="false">IF($B53="","",IF($U53&gt;0,"Event attendee",IF($G53="Yes","Met (no event)",IF($T53&gt;0,"Invited only",IF(OR($L53="Yes",$M53="Yes"),"Contacted only","Not yet contacted")))))</f>
        <v>Event attendee</v>
      </c>
      <c r="Y53" s="47" t="n">
        <f aca="false">IF($B53="","",COUNTIF(c_Firm,"&lt;"&amp;$D53)+COUNTIFS(c_Firm,$D53,c_Name,"&lt;"&amp;$B53)+COUNTIFS($D$2:$D53,$D53,$B$2:$B53,$B53))</f>
        <v>52</v>
      </c>
      <c r="Z53" s="47" t="n">
        <f aca="false">IF($B53="","",IF(AND(OR(Contacts!$C$3="(All)",$D53=Contacts!$C$3),OR(Contacts!$E$3="(All)",$G53=Contacts!$E$3),OR(Contacts!$G$3="(All)",ISNUMBER(SEARCH(Contacts!$G$3,$V53))),OR(Contacts!$I$3="(All)",$X53=Contacts!$I$3),OR(Contacts!$K$3="",ISNUMBER(SEARCH(Contacts!$K$3,$B53&amp;" "&amp;$C53&amp;" "&amp;$D53&amp;" "&amp;$S53)))),1,0))</f>
        <v>1</v>
      </c>
      <c r="AA53" s="47" t="n">
        <f aca="false">IF($Z53=1,COUNTIFS(c_Pass,1,c_Sort,"&lt;="&amp;$Y53),"")</f>
        <v>52</v>
      </c>
      <c r="AB53" s="47" t="str">
        <f aca="false">IF(OR($G53&lt;&gt;"Yes",NOT(ISNUMBER($H53))),"",COUNTIFS(c_Met,"Yes",c_Date,"&lt;"&amp;$H53)+COUNTIFS($G$2:$G53,"Yes",$H$2:$H53,$H53))</f>
        <v/>
      </c>
    </row>
    <row r="54" customFormat="false" ht="15" hidden="false" customHeight="false" outlineLevel="0" collapsed="false">
      <c r="A54" s="44" t="n">
        <f aca="false">IF($B54="","",COUNTA($B$2:$B54))</f>
        <v>53</v>
      </c>
      <c r="B54" s="11" t="s">
        <v>243</v>
      </c>
      <c r="C54" s="11"/>
      <c r="D54" s="11" t="s">
        <v>27</v>
      </c>
      <c r="E54" s="11" t="s">
        <v>193</v>
      </c>
      <c r="F54" s="11" t="s">
        <v>68</v>
      </c>
      <c r="G54" s="34" t="s">
        <v>132</v>
      </c>
      <c r="H54" s="25"/>
      <c r="I54" s="40" t="n">
        <v>0</v>
      </c>
      <c r="J54" s="34" t="s">
        <v>132</v>
      </c>
      <c r="K54" s="45"/>
      <c r="L54" s="34"/>
      <c r="M54" s="34" t="s">
        <v>142</v>
      </c>
      <c r="N54" s="11" t="s">
        <v>133</v>
      </c>
      <c r="O54" s="11" t="s">
        <v>133</v>
      </c>
      <c r="P54" s="11" t="s">
        <v>133</v>
      </c>
      <c r="Q54" s="11" t="s">
        <v>133</v>
      </c>
      <c r="R54" s="11" t="s">
        <v>133</v>
      </c>
      <c r="S54" s="46" t="s">
        <v>244</v>
      </c>
      <c r="T54" s="44" t="n">
        <f aca="false">IF($B54="","",COUNTA($N54:$R54)-COUNTIF($N54:$R54,"Not Invited"))</f>
        <v>0</v>
      </c>
      <c r="U54" s="44" t="n">
        <f aca="false">IF($B54="","",COUNTIF($N54:$R54,"Attended"))</f>
        <v>0</v>
      </c>
      <c r="V54" s="47" t="str">
        <f aca="false">IF($B54="","",_xlfn.TEXTJOIN(", ",TRUE(),IF($N54="Attended",Setup!$D$15,""),IF($O54="Attended",Setup!$D$16,""),IF($P54="Attended",Setup!$D$17,""),IF($Q54="Attended",Setup!$D$18,""),IF($R54="Attended",Setup!$D$19,"")))</f>
        <v/>
      </c>
      <c r="W54" s="48" t="str">
        <f aca="true">IF(OR($B54="",NOT(ISNUMBER($H54))),"",TODAY()-$H54)</f>
        <v/>
      </c>
      <c r="X54" s="47" t="str">
        <f aca="false">IF($B54="","",IF($U54&gt;0,"Event attendee",IF($G54="Yes","Met (no event)",IF($T54&gt;0,"Invited only",IF(OR($L54="Yes",$M54="Yes"),"Contacted only","Not yet contacted")))))</f>
        <v>Contacted only</v>
      </c>
      <c r="Y54" s="47" t="n">
        <f aca="false">IF($B54="","",COUNTIF(c_Firm,"&lt;"&amp;$D54)+COUNTIFS(c_Firm,$D54,c_Name,"&lt;"&amp;$B54)+COUNTIFS($D$2:$D54,$D54,$B$2:$B54,$B54))</f>
        <v>53</v>
      </c>
      <c r="Z54" s="47" t="n">
        <f aca="false">IF($B54="","",IF(AND(OR(Contacts!$C$3="(All)",$D54=Contacts!$C$3),OR(Contacts!$E$3="(All)",$G54=Contacts!$E$3),OR(Contacts!$G$3="(All)",ISNUMBER(SEARCH(Contacts!$G$3,$V54))),OR(Contacts!$I$3="(All)",$X54=Contacts!$I$3),OR(Contacts!$K$3="",ISNUMBER(SEARCH(Contacts!$K$3,$B54&amp;" "&amp;$C54&amp;" "&amp;$D54&amp;" "&amp;$S54)))),1,0))</f>
        <v>1</v>
      </c>
      <c r="AA54" s="47" t="n">
        <f aca="false">IF($Z54=1,COUNTIFS(c_Pass,1,c_Sort,"&lt;="&amp;$Y54),"")</f>
        <v>53</v>
      </c>
      <c r="AB54" s="47" t="str">
        <f aca="false">IF(OR($G54&lt;&gt;"Yes",NOT(ISNUMBER($H54))),"",COUNTIFS(c_Met,"Yes",c_Date,"&lt;"&amp;$H54)+COUNTIFS($G$2:$G54,"Yes",$H$2:$H54,$H54))</f>
        <v/>
      </c>
    </row>
    <row r="55" customFormat="false" ht="15" hidden="false" customHeight="false" outlineLevel="0" collapsed="false">
      <c r="A55" s="44" t="n">
        <f aca="false">IF($B55="","",COUNTA($B$2:$B55))</f>
        <v>54</v>
      </c>
      <c r="B55" s="11" t="s">
        <v>245</v>
      </c>
      <c r="C55" s="11"/>
      <c r="D55" s="11" t="s">
        <v>27</v>
      </c>
      <c r="E55" s="11" t="s">
        <v>193</v>
      </c>
      <c r="F55" s="11" t="s">
        <v>68</v>
      </c>
      <c r="G55" s="34" t="s">
        <v>132</v>
      </c>
      <c r="H55" s="25"/>
      <c r="I55" s="40" t="n">
        <v>0</v>
      </c>
      <c r="J55" s="34" t="s">
        <v>132</v>
      </c>
      <c r="K55" s="45"/>
      <c r="L55" s="34"/>
      <c r="M55" s="34" t="s">
        <v>142</v>
      </c>
      <c r="N55" s="11" t="s">
        <v>133</v>
      </c>
      <c r="O55" s="11" t="s">
        <v>133</v>
      </c>
      <c r="P55" s="11" t="s">
        <v>133</v>
      </c>
      <c r="Q55" s="11" t="s">
        <v>133</v>
      </c>
      <c r="R55" s="11" t="s">
        <v>133</v>
      </c>
      <c r="S55" s="46" t="s">
        <v>246</v>
      </c>
      <c r="T55" s="44" t="n">
        <f aca="false">IF($B55="","",COUNTA($N55:$R55)-COUNTIF($N55:$R55,"Not Invited"))</f>
        <v>0</v>
      </c>
      <c r="U55" s="44" t="n">
        <f aca="false">IF($B55="","",COUNTIF($N55:$R55,"Attended"))</f>
        <v>0</v>
      </c>
      <c r="V55" s="47" t="str">
        <f aca="false">IF($B55="","",_xlfn.TEXTJOIN(", ",TRUE(),IF($N55="Attended",Setup!$D$15,""),IF($O55="Attended",Setup!$D$16,""),IF($P55="Attended",Setup!$D$17,""),IF($Q55="Attended",Setup!$D$18,""),IF($R55="Attended",Setup!$D$19,"")))</f>
        <v/>
      </c>
      <c r="W55" s="48" t="str">
        <f aca="true">IF(OR($B55="",NOT(ISNUMBER($H55))),"",TODAY()-$H55)</f>
        <v/>
      </c>
      <c r="X55" s="47" t="str">
        <f aca="false">IF($B55="","",IF($U55&gt;0,"Event attendee",IF($G55="Yes","Met (no event)",IF($T55&gt;0,"Invited only",IF(OR($L55="Yes",$M55="Yes"),"Contacted only","Not yet contacted")))))</f>
        <v>Contacted only</v>
      </c>
      <c r="Y55" s="47" t="n">
        <f aca="false">IF($B55="","",COUNTIF(c_Firm,"&lt;"&amp;$D55)+COUNTIFS(c_Firm,$D55,c_Name,"&lt;"&amp;$B55)+COUNTIFS($D$2:$D55,$D55,$B$2:$B55,$B55))</f>
        <v>54</v>
      </c>
      <c r="Z55" s="47" t="n">
        <f aca="false">IF($B55="","",IF(AND(OR(Contacts!$C$3="(All)",$D55=Contacts!$C$3),OR(Contacts!$E$3="(All)",$G55=Contacts!$E$3),OR(Contacts!$G$3="(All)",ISNUMBER(SEARCH(Contacts!$G$3,$V55))),OR(Contacts!$I$3="(All)",$X55=Contacts!$I$3),OR(Contacts!$K$3="",ISNUMBER(SEARCH(Contacts!$K$3,$B55&amp;" "&amp;$C55&amp;" "&amp;$D55&amp;" "&amp;$S55)))),1,0))</f>
        <v>1</v>
      </c>
      <c r="AA55" s="47" t="n">
        <f aca="false">IF($Z55=1,COUNTIFS(c_Pass,1,c_Sort,"&lt;="&amp;$Y55),"")</f>
        <v>54</v>
      </c>
      <c r="AB55" s="47" t="str">
        <f aca="false">IF(OR($G55&lt;&gt;"Yes",NOT(ISNUMBER($H55))),"",COUNTIFS(c_Met,"Yes",c_Date,"&lt;"&amp;$H55)+COUNTIFS($G$2:$G55,"Yes",$H$2:$H55,$H55))</f>
        <v/>
      </c>
    </row>
    <row r="56" customFormat="false" ht="15" hidden="false" customHeight="false" outlineLevel="0" collapsed="false">
      <c r="A56" s="44" t="n">
        <f aca="false">IF($B56="","",COUNTA($B$2:$B56))</f>
        <v>55</v>
      </c>
      <c r="B56" s="11" t="s">
        <v>247</v>
      </c>
      <c r="C56" s="11"/>
      <c r="D56" s="11" t="s">
        <v>27</v>
      </c>
      <c r="E56" s="11" t="s">
        <v>193</v>
      </c>
      <c r="F56" s="11" t="s">
        <v>68</v>
      </c>
      <c r="G56" s="34" t="s">
        <v>132</v>
      </c>
      <c r="H56" s="25"/>
      <c r="I56" s="40" t="n">
        <v>0</v>
      </c>
      <c r="J56" s="34" t="s">
        <v>132</v>
      </c>
      <c r="K56" s="45"/>
      <c r="L56" s="34"/>
      <c r="M56" s="34" t="s">
        <v>142</v>
      </c>
      <c r="N56" s="11" t="s">
        <v>133</v>
      </c>
      <c r="O56" s="11" t="s">
        <v>133</v>
      </c>
      <c r="P56" s="11" t="s">
        <v>133</v>
      </c>
      <c r="Q56" s="11" t="s">
        <v>133</v>
      </c>
      <c r="R56" s="11" t="s">
        <v>133</v>
      </c>
      <c r="S56" s="46" t="s">
        <v>248</v>
      </c>
      <c r="T56" s="44" t="n">
        <f aca="false">IF($B56="","",COUNTA($N56:$R56)-COUNTIF($N56:$R56,"Not Invited"))</f>
        <v>0</v>
      </c>
      <c r="U56" s="44" t="n">
        <f aca="false">IF($B56="","",COUNTIF($N56:$R56,"Attended"))</f>
        <v>0</v>
      </c>
      <c r="V56" s="47" t="str">
        <f aca="false">IF($B56="","",_xlfn.TEXTJOIN(", ",TRUE(),IF($N56="Attended",Setup!$D$15,""),IF($O56="Attended",Setup!$D$16,""),IF($P56="Attended",Setup!$D$17,""),IF($Q56="Attended",Setup!$D$18,""),IF($R56="Attended",Setup!$D$19,"")))</f>
        <v/>
      </c>
      <c r="W56" s="48" t="str">
        <f aca="true">IF(OR($B56="",NOT(ISNUMBER($H56))),"",TODAY()-$H56)</f>
        <v/>
      </c>
      <c r="X56" s="47" t="str">
        <f aca="false">IF($B56="","",IF($U56&gt;0,"Event attendee",IF($G56="Yes","Met (no event)",IF($T56&gt;0,"Invited only",IF(OR($L56="Yes",$M56="Yes"),"Contacted only","Not yet contacted")))))</f>
        <v>Contacted only</v>
      </c>
      <c r="Y56" s="47" t="n">
        <f aca="false">IF($B56="","",COUNTIF(c_Firm,"&lt;"&amp;$D56)+COUNTIFS(c_Firm,$D56,c_Name,"&lt;"&amp;$B56)+COUNTIFS($D$2:$D56,$D56,$B$2:$B56,$B56))</f>
        <v>55</v>
      </c>
      <c r="Z56" s="47" t="n">
        <f aca="false">IF($B56="","",IF(AND(OR(Contacts!$C$3="(All)",$D56=Contacts!$C$3),OR(Contacts!$E$3="(All)",$G56=Contacts!$E$3),OR(Contacts!$G$3="(All)",ISNUMBER(SEARCH(Contacts!$G$3,$V56))),OR(Contacts!$I$3="(All)",$X56=Contacts!$I$3),OR(Contacts!$K$3="",ISNUMBER(SEARCH(Contacts!$K$3,$B56&amp;" "&amp;$C56&amp;" "&amp;$D56&amp;" "&amp;$S56)))),1,0))</f>
        <v>1</v>
      </c>
      <c r="AA56" s="47" t="n">
        <f aca="false">IF($Z56=1,COUNTIFS(c_Pass,1,c_Sort,"&lt;="&amp;$Y56),"")</f>
        <v>55</v>
      </c>
      <c r="AB56" s="47" t="str">
        <f aca="false">IF(OR($G56&lt;&gt;"Yes",NOT(ISNUMBER($H56))),"",COUNTIFS(c_Met,"Yes",c_Date,"&lt;"&amp;$H56)+COUNTIFS($G$2:$G56,"Yes",$H$2:$H56,$H56))</f>
        <v/>
      </c>
    </row>
    <row r="57" customFormat="false" ht="15" hidden="false" customHeight="false" outlineLevel="0" collapsed="false">
      <c r="A57" s="44" t="n">
        <f aca="false">IF($B57="","",COUNTA($B$2:$B57))</f>
        <v>56</v>
      </c>
      <c r="B57" s="11" t="s">
        <v>249</v>
      </c>
      <c r="C57" s="11"/>
      <c r="D57" s="11" t="s">
        <v>27</v>
      </c>
      <c r="E57" s="11" t="s">
        <v>193</v>
      </c>
      <c r="F57" s="11" t="s">
        <v>68</v>
      </c>
      <c r="G57" s="34" t="s">
        <v>132</v>
      </c>
      <c r="H57" s="25"/>
      <c r="I57" s="40" t="n">
        <v>0</v>
      </c>
      <c r="J57" s="34" t="s">
        <v>132</v>
      </c>
      <c r="K57" s="45"/>
      <c r="L57" s="34"/>
      <c r="M57" s="34" t="s">
        <v>142</v>
      </c>
      <c r="N57" s="11" t="s">
        <v>133</v>
      </c>
      <c r="O57" s="11" t="s">
        <v>133</v>
      </c>
      <c r="P57" s="11" t="s">
        <v>133</v>
      </c>
      <c r="Q57" s="11" t="s">
        <v>133</v>
      </c>
      <c r="R57" s="11" t="s">
        <v>133</v>
      </c>
      <c r="S57" s="46" t="s">
        <v>250</v>
      </c>
      <c r="T57" s="44" t="n">
        <f aca="false">IF($B57="","",COUNTA($N57:$R57)-COUNTIF($N57:$R57,"Not Invited"))</f>
        <v>0</v>
      </c>
      <c r="U57" s="44" t="n">
        <f aca="false">IF($B57="","",COUNTIF($N57:$R57,"Attended"))</f>
        <v>0</v>
      </c>
      <c r="V57" s="47" t="str">
        <f aca="false">IF($B57="","",_xlfn.TEXTJOIN(", ",TRUE(),IF($N57="Attended",Setup!$D$15,""),IF($O57="Attended",Setup!$D$16,""),IF($P57="Attended",Setup!$D$17,""),IF($Q57="Attended",Setup!$D$18,""),IF($R57="Attended",Setup!$D$19,"")))</f>
        <v/>
      </c>
      <c r="W57" s="48" t="str">
        <f aca="true">IF(OR($B57="",NOT(ISNUMBER($H57))),"",TODAY()-$H57)</f>
        <v/>
      </c>
      <c r="X57" s="47" t="str">
        <f aca="false">IF($B57="","",IF($U57&gt;0,"Event attendee",IF($G57="Yes","Met (no event)",IF($T57&gt;0,"Invited only",IF(OR($L57="Yes",$M57="Yes"),"Contacted only","Not yet contacted")))))</f>
        <v>Contacted only</v>
      </c>
      <c r="Y57" s="47" t="n">
        <f aca="false">IF($B57="","",COUNTIF(c_Firm,"&lt;"&amp;$D57)+COUNTIFS(c_Firm,$D57,c_Name,"&lt;"&amp;$B57)+COUNTIFS($D$2:$D57,$D57,$B$2:$B57,$B57))</f>
        <v>56</v>
      </c>
      <c r="Z57" s="47" t="n">
        <f aca="false">IF($B57="","",IF(AND(OR(Contacts!$C$3="(All)",$D57=Contacts!$C$3),OR(Contacts!$E$3="(All)",$G57=Contacts!$E$3),OR(Contacts!$G$3="(All)",ISNUMBER(SEARCH(Contacts!$G$3,$V57))),OR(Contacts!$I$3="(All)",$X57=Contacts!$I$3),OR(Contacts!$K$3="",ISNUMBER(SEARCH(Contacts!$K$3,$B57&amp;" "&amp;$C57&amp;" "&amp;$D57&amp;" "&amp;$S57)))),1,0))</f>
        <v>1</v>
      </c>
      <c r="AA57" s="47" t="n">
        <f aca="false">IF($Z57=1,COUNTIFS(c_Pass,1,c_Sort,"&lt;="&amp;$Y57),"")</f>
        <v>56</v>
      </c>
      <c r="AB57" s="47" t="str">
        <f aca="false">IF(OR($G57&lt;&gt;"Yes",NOT(ISNUMBER($H57))),"",COUNTIFS(c_Met,"Yes",c_Date,"&lt;"&amp;$H57)+COUNTIFS($G$2:$G57,"Yes",$H$2:$H57,$H57))</f>
        <v/>
      </c>
    </row>
    <row r="58" customFormat="false" ht="15" hidden="false" customHeight="false" outlineLevel="0" collapsed="false">
      <c r="A58" s="44" t="n">
        <f aca="false">IF($B58="","",COUNTA($B$2:$B58))</f>
        <v>57</v>
      </c>
      <c r="B58" s="11" t="s">
        <v>251</v>
      </c>
      <c r="C58" s="11"/>
      <c r="D58" s="11" t="s">
        <v>27</v>
      </c>
      <c r="E58" s="11" t="s">
        <v>193</v>
      </c>
      <c r="F58" s="11" t="s">
        <v>68</v>
      </c>
      <c r="G58" s="34" t="s">
        <v>132</v>
      </c>
      <c r="H58" s="25"/>
      <c r="I58" s="40" t="n">
        <v>0</v>
      </c>
      <c r="J58" s="34" t="s">
        <v>132</v>
      </c>
      <c r="K58" s="45"/>
      <c r="L58" s="34"/>
      <c r="M58" s="34" t="s">
        <v>142</v>
      </c>
      <c r="N58" s="11" t="s">
        <v>133</v>
      </c>
      <c r="O58" s="11" t="s">
        <v>133</v>
      </c>
      <c r="P58" s="11" t="s">
        <v>133</v>
      </c>
      <c r="Q58" s="11" t="s">
        <v>133</v>
      </c>
      <c r="R58" s="11" t="s">
        <v>133</v>
      </c>
      <c r="S58" s="46" t="s">
        <v>252</v>
      </c>
      <c r="T58" s="44" t="n">
        <f aca="false">IF($B58="","",COUNTA($N58:$R58)-COUNTIF($N58:$R58,"Not Invited"))</f>
        <v>0</v>
      </c>
      <c r="U58" s="44" t="n">
        <f aca="false">IF($B58="","",COUNTIF($N58:$R58,"Attended"))</f>
        <v>0</v>
      </c>
      <c r="V58" s="47" t="str">
        <f aca="false">IF($B58="","",_xlfn.TEXTJOIN(", ",TRUE(),IF($N58="Attended",Setup!$D$15,""),IF($O58="Attended",Setup!$D$16,""),IF($P58="Attended",Setup!$D$17,""),IF($Q58="Attended",Setup!$D$18,""),IF($R58="Attended",Setup!$D$19,"")))</f>
        <v/>
      </c>
      <c r="W58" s="48" t="str">
        <f aca="true">IF(OR($B58="",NOT(ISNUMBER($H58))),"",TODAY()-$H58)</f>
        <v/>
      </c>
      <c r="X58" s="47" t="str">
        <f aca="false">IF($B58="","",IF($U58&gt;0,"Event attendee",IF($G58="Yes","Met (no event)",IF($T58&gt;0,"Invited only",IF(OR($L58="Yes",$M58="Yes"),"Contacted only","Not yet contacted")))))</f>
        <v>Contacted only</v>
      </c>
      <c r="Y58" s="47" t="n">
        <f aca="false">IF($B58="","",COUNTIF(c_Firm,"&lt;"&amp;$D58)+COUNTIFS(c_Firm,$D58,c_Name,"&lt;"&amp;$B58)+COUNTIFS($D$2:$D58,$D58,$B$2:$B58,$B58))</f>
        <v>57</v>
      </c>
      <c r="Z58" s="47" t="n">
        <f aca="false">IF($B58="","",IF(AND(OR(Contacts!$C$3="(All)",$D58=Contacts!$C$3),OR(Contacts!$E$3="(All)",$G58=Contacts!$E$3),OR(Contacts!$G$3="(All)",ISNUMBER(SEARCH(Contacts!$G$3,$V58))),OR(Contacts!$I$3="(All)",$X58=Contacts!$I$3),OR(Contacts!$K$3="",ISNUMBER(SEARCH(Contacts!$K$3,$B58&amp;" "&amp;$C58&amp;" "&amp;$D58&amp;" "&amp;$S58)))),1,0))</f>
        <v>1</v>
      </c>
      <c r="AA58" s="47" t="n">
        <f aca="false">IF($Z58=1,COUNTIFS(c_Pass,1,c_Sort,"&lt;="&amp;$Y58),"")</f>
        <v>57</v>
      </c>
      <c r="AB58" s="47" t="str">
        <f aca="false">IF(OR($G58&lt;&gt;"Yes",NOT(ISNUMBER($H58))),"",COUNTIFS(c_Met,"Yes",c_Date,"&lt;"&amp;$H58)+COUNTIFS($G$2:$G58,"Yes",$H$2:$H58,$H58))</f>
        <v/>
      </c>
    </row>
    <row r="59" customFormat="false" ht="15" hidden="false" customHeight="false" outlineLevel="0" collapsed="false">
      <c r="A59" s="44" t="n">
        <f aca="false">IF($B59="","",COUNTA($B$2:$B59))</f>
        <v>58</v>
      </c>
      <c r="B59" s="11" t="s">
        <v>253</v>
      </c>
      <c r="C59" s="11"/>
      <c r="D59" s="11" t="s">
        <v>27</v>
      </c>
      <c r="E59" s="11" t="s">
        <v>193</v>
      </c>
      <c r="F59" s="11" t="s">
        <v>68</v>
      </c>
      <c r="G59" s="34" t="s">
        <v>132</v>
      </c>
      <c r="H59" s="25"/>
      <c r="I59" s="40" t="n">
        <v>0</v>
      </c>
      <c r="J59" s="34" t="s">
        <v>132</v>
      </c>
      <c r="K59" s="45"/>
      <c r="L59" s="34"/>
      <c r="M59" s="34" t="s">
        <v>142</v>
      </c>
      <c r="N59" s="11" t="s">
        <v>133</v>
      </c>
      <c r="O59" s="11" t="s">
        <v>133</v>
      </c>
      <c r="P59" s="11" t="s">
        <v>133</v>
      </c>
      <c r="Q59" s="11" t="s">
        <v>133</v>
      </c>
      <c r="R59" s="11" t="s">
        <v>133</v>
      </c>
      <c r="S59" s="46" t="s">
        <v>254</v>
      </c>
      <c r="T59" s="44" t="n">
        <f aca="false">IF($B59="","",COUNTA($N59:$R59)-COUNTIF($N59:$R59,"Not Invited"))</f>
        <v>0</v>
      </c>
      <c r="U59" s="44" t="n">
        <f aca="false">IF($B59="","",COUNTIF($N59:$R59,"Attended"))</f>
        <v>0</v>
      </c>
      <c r="V59" s="47" t="str">
        <f aca="false">IF($B59="","",_xlfn.TEXTJOIN(", ",TRUE(),IF($N59="Attended",Setup!$D$15,""),IF($O59="Attended",Setup!$D$16,""),IF($P59="Attended",Setup!$D$17,""),IF($Q59="Attended",Setup!$D$18,""),IF($R59="Attended",Setup!$D$19,"")))</f>
        <v/>
      </c>
      <c r="W59" s="48" t="str">
        <f aca="true">IF(OR($B59="",NOT(ISNUMBER($H59))),"",TODAY()-$H59)</f>
        <v/>
      </c>
      <c r="X59" s="47" t="str">
        <f aca="false">IF($B59="","",IF($U59&gt;0,"Event attendee",IF($G59="Yes","Met (no event)",IF($T59&gt;0,"Invited only",IF(OR($L59="Yes",$M59="Yes"),"Contacted only","Not yet contacted")))))</f>
        <v>Contacted only</v>
      </c>
      <c r="Y59" s="47" t="n">
        <f aca="false">IF($B59="","",COUNTIF(c_Firm,"&lt;"&amp;$D59)+COUNTIFS(c_Firm,$D59,c_Name,"&lt;"&amp;$B59)+COUNTIFS($D$2:$D59,$D59,$B$2:$B59,$B59))</f>
        <v>58</v>
      </c>
      <c r="Z59" s="47" t="n">
        <f aca="false">IF($B59="","",IF(AND(OR(Contacts!$C$3="(All)",$D59=Contacts!$C$3),OR(Contacts!$E$3="(All)",$G59=Contacts!$E$3),OR(Contacts!$G$3="(All)",ISNUMBER(SEARCH(Contacts!$G$3,$V59))),OR(Contacts!$I$3="(All)",$X59=Contacts!$I$3),OR(Contacts!$K$3="",ISNUMBER(SEARCH(Contacts!$K$3,$B59&amp;" "&amp;$C59&amp;" "&amp;$D59&amp;" "&amp;$S59)))),1,0))</f>
        <v>1</v>
      </c>
      <c r="AA59" s="47" t="n">
        <f aca="false">IF($Z59=1,COUNTIFS(c_Pass,1,c_Sort,"&lt;="&amp;$Y59),"")</f>
        <v>58</v>
      </c>
      <c r="AB59" s="47" t="str">
        <f aca="false">IF(OR($G59&lt;&gt;"Yes",NOT(ISNUMBER($H59))),"",COUNTIFS(c_Met,"Yes",c_Date,"&lt;"&amp;$H59)+COUNTIFS($G$2:$G59,"Yes",$H$2:$H59,$H59))</f>
        <v/>
      </c>
    </row>
    <row r="60" customFormat="false" ht="15" hidden="false" customHeight="false" outlineLevel="0" collapsed="false">
      <c r="A60" s="44" t="n">
        <f aca="false">IF($B60="","",COUNTA($B$2:$B60))</f>
        <v>59</v>
      </c>
      <c r="B60" s="11" t="s">
        <v>255</v>
      </c>
      <c r="C60" s="11"/>
      <c r="D60" s="11" t="s">
        <v>27</v>
      </c>
      <c r="E60" s="11" t="s">
        <v>193</v>
      </c>
      <c r="F60" s="11" t="s">
        <v>68</v>
      </c>
      <c r="G60" s="34" t="s">
        <v>132</v>
      </c>
      <c r="H60" s="25"/>
      <c r="I60" s="40" t="n">
        <v>0</v>
      </c>
      <c r="J60" s="34" t="s">
        <v>132</v>
      </c>
      <c r="K60" s="45"/>
      <c r="L60" s="34"/>
      <c r="M60" s="34" t="s">
        <v>142</v>
      </c>
      <c r="N60" s="11" t="s">
        <v>133</v>
      </c>
      <c r="O60" s="11" t="s">
        <v>133</v>
      </c>
      <c r="P60" s="11" t="s">
        <v>133</v>
      </c>
      <c r="Q60" s="11" t="s">
        <v>133</v>
      </c>
      <c r="R60" s="11" t="s">
        <v>133</v>
      </c>
      <c r="S60" s="46" t="s">
        <v>256</v>
      </c>
      <c r="T60" s="44" t="n">
        <f aca="false">IF($B60="","",COUNTA($N60:$R60)-COUNTIF($N60:$R60,"Not Invited"))</f>
        <v>0</v>
      </c>
      <c r="U60" s="44" t="n">
        <f aca="false">IF($B60="","",COUNTIF($N60:$R60,"Attended"))</f>
        <v>0</v>
      </c>
      <c r="V60" s="47" t="str">
        <f aca="false">IF($B60="","",_xlfn.TEXTJOIN(", ",TRUE(),IF($N60="Attended",Setup!$D$15,""),IF($O60="Attended",Setup!$D$16,""),IF($P60="Attended",Setup!$D$17,""),IF($Q60="Attended",Setup!$D$18,""),IF($R60="Attended",Setup!$D$19,"")))</f>
        <v/>
      </c>
      <c r="W60" s="48" t="str">
        <f aca="true">IF(OR($B60="",NOT(ISNUMBER($H60))),"",TODAY()-$H60)</f>
        <v/>
      </c>
      <c r="X60" s="47" t="str">
        <f aca="false">IF($B60="","",IF($U60&gt;0,"Event attendee",IF($G60="Yes","Met (no event)",IF($T60&gt;0,"Invited only",IF(OR($L60="Yes",$M60="Yes"),"Contacted only","Not yet contacted")))))</f>
        <v>Contacted only</v>
      </c>
      <c r="Y60" s="47" t="n">
        <f aca="false">IF($B60="","",COUNTIF(c_Firm,"&lt;"&amp;$D60)+COUNTIFS(c_Firm,$D60,c_Name,"&lt;"&amp;$B60)+COUNTIFS($D$2:$D60,$D60,$B$2:$B60,$B60))</f>
        <v>59</v>
      </c>
      <c r="Z60" s="47" t="n">
        <f aca="false">IF($B60="","",IF(AND(OR(Contacts!$C$3="(All)",$D60=Contacts!$C$3),OR(Contacts!$E$3="(All)",$G60=Contacts!$E$3),OR(Contacts!$G$3="(All)",ISNUMBER(SEARCH(Contacts!$G$3,$V60))),OR(Contacts!$I$3="(All)",$X60=Contacts!$I$3),OR(Contacts!$K$3="",ISNUMBER(SEARCH(Contacts!$K$3,$B60&amp;" "&amp;$C60&amp;" "&amp;$D60&amp;" "&amp;$S60)))),1,0))</f>
        <v>1</v>
      </c>
      <c r="AA60" s="47" t="n">
        <f aca="false">IF($Z60=1,COUNTIFS(c_Pass,1,c_Sort,"&lt;="&amp;$Y60),"")</f>
        <v>59</v>
      </c>
      <c r="AB60" s="47" t="str">
        <f aca="false">IF(OR($G60&lt;&gt;"Yes",NOT(ISNUMBER($H60))),"",COUNTIFS(c_Met,"Yes",c_Date,"&lt;"&amp;$H60)+COUNTIFS($G$2:$G60,"Yes",$H$2:$H60,$H60))</f>
        <v/>
      </c>
    </row>
    <row r="61" customFormat="false" ht="15" hidden="false" customHeight="false" outlineLevel="0" collapsed="false">
      <c r="A61" s="44" t="n">
        <f aca="false">IF($B61="","",COUNTA($B$2:$B61))</f>
        <v>60</v>
      </c>
      <c r="B61" s="11" t="s">
        <v>257</v>
      </c>
      <c r="C61" s="11" t="s">
        <v>258</v>
      </c>
      <c r="D61" s="11" t="s">
        <v>27</v>
      </c>
      <c r="E61" s="11" t="s">
        <v>131</v>
      </c>
      <c r="F61" s="11" t="s">
        <v>141</v>
      </c>
      <c r="G61" s="34" t="s">
        <v>142</v>
      </c>
      <c r="H61" s="25" t="n">
        <v>45936</v>
      </c>
      <c r="I61" s="40" t="n">
        <v>1</v>
      </c>
      <c r="J61" s="34" t="s">
        <v>132</v>
      </c>
      <c r="K61" s="45" t="n">
        <v>4000000</v>
      </c>
      <c r="L61" s="34"/>
      <c r="M61" s="34"/>
      <c r="N61" s="11" t="s">
        <v>57</v>
      </c>
      <c r="O61" s="11" t="s">
        <v>143</v>
      </c>
      <c r="P61" s="11" t="s">
        <v>133</v>
      </c>
      <c r="Q61" s="11" t="s">
        <v>133</v>
      </c>
      <c r="R61" s="11" t="s">
        <v>133</v>
      </c>
      <c r="S61" s="46"/>
      <c r="T61" s="44" t="n">
        <f aca="false">IF($B61="","",COUNTA($N61:$R61)-COUNTIF($N61:$R61,"Not Invited"))</f>
        <v>2</v>
      </c>
      <c r="U61" s="44" t="n">
        <f aca="false">IF($B61="","",COUNTIF($N61:$R61,"Attended"))</f>
        <v>0</v>
      </c>
      <c r="V61" s="47" t="str">
        <f aca="false">IF($B61="","",_xlfn.TEXTJOIN(", ",TRUE(),IF($N61="Attended",Setup!$D$15,""),IF($O61="Attended",Setup!$D$16,""),IF($P61="Attended",Setup!$D$17,""),IF($Q61="Attended",Setup!$D$18,""),IF($R61="Attended",Setup!$D$19,"")))</f>
        <v/>
      </c>
      <c r="W61" s="48" t="n">
        <f aca="true">IF(OR($B61="",NOT(ISNUMBER($H61))),"",TODAY()-$H61)</f>
        <v>305</v>
      </c>
      <c r="X61" s="47" t="str">
        <f aca="false">IF($B61="","",IF($U61&gt;0,"Event attendee",IF($G61="Yes","Met (no event)",IF($T61&gt;0,"Invited only",IF(OR($L61="Yes",$M61="Yes"),"Contacted only","Not yet contacted")))))</f>
        <v>Met (no event)</v>
      </c>
      <c r="Y61" s="47" t="n">
        <f aca="false">IF($B61="","",COUNTIF(c_Firm,"&lt;"&amp;$D61)+COUNTIFS(c_Firm,$D61,c_Name,"&lt;"&amp;$B61)+COUNTIFS($D$2:$D61,$D61,$B$2:$B61,$B61))</f>
        <v>60</v>
      </c>
      <c r="Z61" s="47" t="n">
        <f aca="false">IF($B61="","",IF(AND(OR(Contacts!$C$3="(All)",$D61=Contacts!$C$3),OR(Contacts!$E$3="(All)",$G61=Contacts!$E$3),OR(Contacts!$G$3="(All)",ISNUMBER(SEARCH(Contacts!$G$3,$V61))),OR(Contacts!$I$3="(All)",$X61=Contacts!$I$3),OR(Contacts!$K$3="",ISNUMBER(SEARCH(Contacts!$K$3,$B61&amp;" "&amp;$C61&amp;" "&amp;$D61&amp;" "&amp;$S61)))),1,0))</f>
        <v>1</v>
      </c>
      <c r="AA61" s="47" t="n">
        <f aca="false">IF($Z61=1,COUNTIFS(c_Pass,1,c_Sort,"&lt;="&amp;$Y61),"")</f>
        <v>60</v>
      </c>
      <c r="AB61" s="47" t="n">
        <f aca="false">IF(OR($G61&lt;&gt;"Yes",NOT(ISNUMBER($H61))),"",COUNTIFS(c_Met,"Yes",c_Date,"&lt;"&amp;$H61)+COUNTIFS($G$2:$G61,"Yes",$H$2:$H61,$H61))</f>
        <v>27</v>
      </c>
    </row>
    <row r="62" customFormat="false" ht="15" hidden="false" customHeight="false" outlineLevel="0" collapsed="false">
      <c r="A62" s="44" t="n">
        <f aca="false">IF($B62="","",COUNTA($B$2:$B62))</f>
        <v>61</v>
      </c>
      <c r="B62" s="11" t="s">
        <v>259</v>
      </c>
      <c r="C62" s="11" t="s">
        <v>260</v>
      </c>
      <c r="D62" s="11" t="s">
        <v>27</v>
      </c>
      <c r="E62" s="11" t="s">
        <v>131</v>
      </c>
      <c r="F62" s="11" t="s">
        <v>207</v>
      </c>
      <c r="G62" s="34" t="s">
        <v>142</v>
      </c>
      <c r="H62" s="25" t="n">
        <v>45933</v>
      </c>
      <c r="I62" s="40" t="n">
        <v>1</v>
      </c>
      <c r="J62" s="34" t="s">
        <v>132</v>
      </c>
      <c r="K62" s="45" t="n">
        <v>40000000</v>
      </c>
      <c r="L62" s="34"/>
      <c r="M62" s="34" t="s">
        <v>132</v>
      </c>
      <c r="N62" s="11" t="s">
        <v>57</v>
      </c>
      <c r="O62" s="11" t="s">
        <v>55</v>
      </c>
      <c r="P62" s="11" t="s">
        <v>133</v>
      </c>
      <c r="Q62" s="11" t="s">
        <v>133</v>
      </c>
      <c r="R62" s="11" t="s">
        <v>133</v>
      </c>
      <c r="S62" s="46" t="s">
        <v>261</v>
      </c>
      <c r="T62" s="44" t="n">
        <f aca="false">IF($B62="","",COUNTA($N62:$R62)-COUNTIF($N62:$R62,"Not Invited"))</f>
        <v>2</v>
      </c>
      <c r="U62" s="44" t="n">
        <f aca="false">IF($B62="","",COUNTIF($N62:$R62,"Attended"))</f>
        <v>1</v>
      </c>
      <c r="V62" s="47" t="str">
        <f aca="false">IF($B62="","",_xlfn.TEXTJOIN(", ",TRUE(),IF($N62="Attended",Setup!$D$15,""),IF($O62="Attended",Setup!$D$16,""),IF($P62="Attended",Setup!$D$17,""),IF($Q62="Attended",Setup!$D$18,""),IF($R62="Attended",Setup!$D$19,"")))</f>
        <v>May-26 Symposium</v>
      </c>
      <c r="W62" s="48" t="n">
        <f aca="true">IF(OR($B62="",NOT(ISNUMBER($H62))),"",TODAY()-$H62)</f>
        <v>308</v>
      </c>
      <c r="X62" s="47" t="str">
        <f aca="false">IF($B62="","",IF($U62&gt;0,"Event attendee",IF($G62="Yes","Met (no event)",IF($T62&gt;0,"Invited only",IF(OR($L62="Yes",$M62="Yes"),"Contacted only","Not yet contacted")))))</f>
        <v>Event attendee</v>
      </c>
      <c r="Y62" s="47" t="n">
        <f aca="false">IF($B62="","",COUNTIF(c_Firm,"&lt;"&amp;$D62)+COUNTIFS(c_Firm,$D62,c_Name,"&lt;"&amp;$B62)+COUNTIFS($D$2:$D62,$D62,$B$2:$B62,$B62))</f>
        <v>61</v>
      </c>
      <c r="Z62" s="47" t="n">
        <f aca="false">IF($B62="","",IF(AND(OR(Contacts!$C$3="(All)",$D62=Contacts!$C$3),OR(Contacts!$E$3="(All)",$G62=Contacts!$E$3),OR(Contacts!$G$3="(All)",ISNUMBER(SEARCH(Contacts!$G$3,$V62))),OR(Contacts!$I$3="(All)",$X62=Contacts!$I$3),OR(Contacts!$K$3="",ISNUMBER(SEARCH(Contacts!$K$3,$B62&amp;" "&amp;$C62&amp;" "&amp;$D62&amp;" "&amp;$S62)))),1,0))</f>
        <v>1</v>
      </c>
      <c r="AA62" s="47" t="n">
        <f aca="false">IF($Z62=1,COUNTIFS(c_Pass,1,c_Sort,"&lt;="&amp;$Y62),"")</f>
        <v>61</v>
      </c>
      <c r="AB62" s="47" t="n">
        <f aca="false">IF(OR($G62&lt;&gt;"Yes",NOT(ISNUMBER($H62))),"",COUNTIFS(c_Met,"Yes",c_Date,"&lt;"&amp;$H62)+COUNTIFS($G$2:$G62,"Yes",$H$2:$H62,$H62))</f>
        <v>24</v>
      </c>
    </row>
    <row r="63" customFormat="false" ht="15" hidden="false" customHeight="false" outlineLevel="0" collapsed="false">
      <c r="A63" s="44" t="n">
        <f aca="false">IF($B63="","",COUNTA($B$2:$B63))</f>
        <v>62</v>
      </c>
      <c r="B63" s="11" t="s">
        <v>262</v>
      </c>
      <c r="C63" s="11"/>
      <c r="D63" s="11" t="s">
        <v>27</v>
      </c>
      <c r="E63" s="11" t="s">
        <v>193</v>
      </c>
      <c r="F63" s="11" t="s">
        <v>68</v>
      </c>
      <c r="G63" s="34" t="s">
        <v>132</v>
      </c>
      <c r="H63" s="25"/>
      <c r="I63" s="40" t="n">
        <v>0</v>
      </c>
      <c r="J63" s="34" t="s">
        <v>132</v>
      </c>
      <c r="K63" s="45"/>
      <c r="L63" s="34"/>
      <c r="M63" s="34" t="s">
        <v>142</v>
      </c>
      <c r="N63" s="11" t="s">
        <v>133</v>
      </c>
      <c r="O63" s="11" t="s">
        <v>133</v>
      </c>
      <c r="P63" s="11" t="s">
        <v>133</v>
      </c>
      <c r="Q63" s="11" t="s">
        <v>133</v>
      </c>
      <c r="R63" s="11" t="s">
        <v>133</v>
      </c>
      <c r="S63" s="46" t="s">
        <v>263</v>
      </c>
      <c r="T63" s="44" t="n">
        <f aca="false">IF($B63="","",COUNTA($N63:$R63)-COUNTIF($N63:$R63,"Not Invited"))</f>
        <v>0</v>
      </c>
      <c r="U63" s="44" t="n">
        <f aca="false">IF($B63="","",COUNTIF($N63:$R63,"Attended"))</f>
        <v>0</v>
      </c>
      <c r="V63" s="47" t="str">
        <f aca="false">IF($B63="","",_xlfn.TEXTJOIN(", ",TRUE(),IF($N63="Attended",Setup!$D$15,""),IF($O63="Attended",Setup!$D$16,""),IF($P63="Attended",Setup!$D$17,""),IF($Q63="Attended",Setup!$D$18,""),IF($R63="Attended",Setup!$D$19,"")))</f>
        <v/>
      </c>
      <c r="W63" s="48" t="str">
        <f aca="true">IF(OR($B63="",NOT(ISNUMBER($H63))),"",TODAY()-$H63)</f>
        <v/>
      </c>
      <c r="X63" s="47" t="str">
        <f aca="false">IF($B63="","",IF($U63&gt;0,"Event attendee",IF($G63="Yes","Met (no event)",IF($T63&gt;0,"Invited only",IF(OR($L63="Yes",$M63="Yes"),"Contacted only","Not yet contacted")))))</f>
        <v>Contacted only</v>
      </c>
      <c r="Y63" s="47" t="n">
        <f aca="false">IF($B63="","",COUNTIF(c_Firm,"&lt;"&amp;$D63)+COUNTIFS(c_Firm,$D63,c_Name,"&lt;"&amp;$B63)+COUNTIFS($D$2:$D63,$D63,$B$2:$B63,$B63))</f>
        <v>62</v>
      </c>
      <c r="Z63" s="47" t="n">
        <f aca="false">IF($B63="","",IF(AND(OR(Contacts!$C$3="(All)",$D63=Contacts!$C$3),OR(Contacts!$E$3="(All)",$G63=Contacts!$E$3),OR(Contacts!$G$3="(All)",ISNUMBER(SEARCH(Contacts!$G$3,$V63))),OR(Contacts!$I$3="(All)",$X63=Contacts!$I$3),OR(Contacts!$K$3="",ISNUMBER(SEARCH(Contacts!$K$3,$B63&amp;" "&amp;$C63&amp;" "&amp;$D63&amp;" "&amp;$S63)))),1,0))</f>
        <v>1</v>
      </c>
      <c r="AA63" s="47" t="n">
        <f aca="false">IF($Z63=1,COUNTIFS(c_Pass,1,c_Sort,"&lt;="&amp;$Y63),"")</f>
        <v>62</v>
      </c>
      <c r="AB63" s="47" t="str">
        <f aca="false">IF(OR($G63&lt;&gt;"Yes",NOT(ISNUMBER($H63))),"",COUNTIFS(c_Met,"Yes",c_Date,"&lt;"&amp;$H63)+COUNTIFS($G$2:$G63,"Yes",$H$2:$H63,$H63))</f>
        <v/>
      </c>
    </row>
    <row r="64" customFormat="false" ht="15" hidden="false" customHeight="false" outlineLevel="0" collapsed="false">
      <c r="A64" s="44" t="n">
        <f aca="false">IF($B64="","",COUNTA($B$2:$B64))</f>
        <v>63</v>
      </c>
      <c r="B64" s="11" t="s">
        <v>264</v>
      </c>
      <c r="C64" s="11"/>
      <c r="D64" s="11" t="s">
        <v>27</v>
      </c>
      <c r="E64" s="11" t="s">
        <v>193</v>
      </c>
      <c r="F64" s="11" t="s">
        <v>68</v>
      </c>
      <c r="G64" s="34" t="s">
        <v>132</v>
      </c>
      <c r="H64" s="25"/>
      <c r="I64" s="40" t="n">
        <v>0</v>
      </c>
      <c r="J64" s="34" t="s">
        <v>132</v>
      </c>
      <c r="K64" s="45"/>
      <c r="L64" s="34"/>
      <c r="M64" s="34" t="s">
        <v>142</v>
      </c>
      <c r="N64" s="11" t="s">
        <v>133</v>
      </c>
      <c r="O64" s="11" t="s">
        <v>133</v>
      </c>
      <c r="P64" s="11" t="s">
        <v>133</v>
      </c>
      <c r="Q64" s="11" t="s">
        <v>133</v>
      </c>
      <c r="R64" s="11" t="s">
        <v>133</v>
      </c>
      <c r="S64" s="46" t="s">
        <v>265</v>
      </c>
      <c r="T64" s="44" t="n">
        <f aca="false">IF($B64="","",COUNTA($N64:$R64)-COUNTIF($N64:$R64,"Not Invited"))</f>
        <v>0</v>
      </c>
      <c r="U64" s="44" t="n">
        <f aca="false">IF($B64="","",COUNTIF($N64:$R64,"Attended"))</f>
        <v>0</v>
      </c>
      <c r="V64" s="47" t="str">
        <f aca="false">IF($B64="","",_xlfn.TEXTJOIN(", ",TRUE(),IF($N64="Attended",Setup!$D$15,""),IF($O64="Attended",Setup!$D$16,""),IF($P64="Attended",Setup!$D$17,""),IF($Q64="Attended",Setup!$D$18,""),IF($R64="Attended",Setup!$D$19,"")))</f>
        <v/>
      </c>
      <c r="W64" s="48" t="str">
        <f aca="true">IF(OR($B64="",NOT(ISNUMBER($H64))),"",TODAY()-$H64)</f>
        <v/>
      </c>
      <c r="X64" s="47" t="str">
        <f aca="false">IF($B64="","",IF($U64&gt;0,"Event attendee",IF($G64="Yes","Met (no event)",IF($T64&gt;0,"Invited only",IF(OR($L64="Yes",$M64="Yes"),"Contacted only","Not yet contacted")))))</f>
        <v>Contacted only</v>
      </c>
      <c r="Y64" s="47" t="n">
        <f aca="false">IF($B64="","",COUNTIF(c_Firm,"&lt;"&amp;$D64)+COUNTIFS(c_Firm,$D64,c_Name,"&lt;"&amp;$B64)+COUNTIFS($D$2:$D64,$D64,$B$2:$B64,$B64))</f>
        <v>63</v>
      </c>
      <c r="Z64" s="47" t="n">
        <f aca="false">IF($B64="","",IF(AND(OR(Contacts!$C$3="(All)",$D64=Contacts!$C$3),OR(Contacts!$E$3="(All)",$G64=Contacts!$E$3),OR(Contacts!$G$3="(All)",ISNUMBER(SEARCH(Contacts!$G$3,$V64))),OR(Contacts!$I$3="(All)",$X64=Contacts!$I$3),OR(Contacts!$K$3="",ISNUMBER(SEARCH(Contacts!$K$3,$B64&amp;" "&amp;$C64&amp;" "&amp;$D64&amp;" "&amp;$S64)))),1,0))</f>
        <v>1</v>
      </c>
      <c r="AA64" s="47" t="n">
        <f aca="false">IF($Z64=1,COUNTIFS(c_Pass,1,c_Sort,"&lt;="&amp;$Y64),"")</f>
        <v>63</v>
      </c>
      <c r="AB64" s="47" t="str">
        <f aca="false">IF(OR($G64&lt;&gt;"Yes",NOT(ISNUMBER($H64))),"",COUNTIFS(c_Met,"Yes",c_Date,"&lt;"&amp;$H64)+COUNTIFS($G$2:$G64,"Yes",$H$2:$H64,$H64))</f>
        <v/>
      </c>
    </row>
    <row r="65" customFormat="false" ht="15" hidden="false" customHeight="false" outlineLevel="0" collapsed="false">
      <c r="A65" s="44" t="n">
        <f aca="false">IF($B65="","",COUNTA($B$2:$B65))</f>
        <v>64</v>
      </c>
      <c r="B65" s="11" t="s">
        <v>266</v>
      </c>
      <c r="C65" s="11"/>
      <c r="D65" s="11" t="s">
        <v>27</v>
      </c>
      <c r="E65" s="11" t="s">
        <v>193</v>
      </c>
      <c r="F65" s="11" t="s">
        <v>68</v>
      </c>
      <c r="G65" s="34" t="s">
        <v>132</v>
      </c>
      <c r="H65" s="25"/>
      <c r="I65" s="40" t="n">
        <v>0</v>
      </c>
      <c r="J65" s="34" t="s">
        <v>132</v>
      </c>
      <c r="K65" s="45"/>
      <c r="L65" s="34"/>
      <c r="M65" s="34" t="s">
        <v>142</v>
      </c>
      <c r="N65" s="11" t="s">
        <v>133</v>
      </c>
      <c r="O65" s="11" t="s">
        <v>133</v>
      </c>
      <c r="P65" s="11" t="s">
        <v>133</v>
      </c>
      <c r="Q65" s="11" t="s">
        <v>133</v>
      </c>
      <c r="R65" s="11" t="s">
        <v>133</v>
      </c>
      <c r="S65" s="46" t="s">
        <v>267</v>
      </c>
      <c r="T65" s="44" t="n">
        <f aca="false">IF($B65="","",COUNTA($N65:$R65)-COUNTIF($N65:$R65,"Not Invited"))</f>
        <v>0</v>
      </c>
      <c r="U65" s="44" t="n">
        <f aca="false">IF($B65="","",COUNTIF($N65:$R65,"Attended"))</f>
        <v>0</v>
      </c>
      <c r="V65" s="47" t="str">
        <f aca="false">IF($B65="","",_xlfn.TEXTJOIN(", ",TRUE(),IF($N65="Attended",Setup!$D$15,""),IF($O65="Attended",Setup!$D$16,""),IF($P65="Attended",Setup!$D$17,""),IF($Q65="Attended",Setup!$D$18,""),IF($R65="Attended",Setup!$D$19,"")))</f>
        <v/>
      </c>
      <c r="W65" s="48" t="str">
        <f aca="true">IF(OR($B65="",NOT(ISNUMBER($H65))),"",TODAY()-$H65)</f>
        <v/>
      </c>
      <c r="X65" s="47" t="str">
        <f aca="false">IF($B65="","",IF($U65&gt;0,"Event attendee",IF($G65="Yes","Met (no event)",IF($T65&gt;0,"Invited only",IF(OR($L65="Yes",$M65="Yes"),"Contacted only","Not yet contacted")))))</f>
        <v>Contacted only</v>
      </c>
      <c r="Y65" s="47" t="n">
        <f aca="false">IF($B65="","",COUNTIF(c_Firm,"&lt;"&amp;$D65)+COUNTIFS(c_Firm,$D65,c_Name,"&lt;"&amp;$B65)+COUNTIFS($D$2:$D65,$D65,$B$2:$B65,$B65))</f>
        <v>64</v>
      </c>
      <c r="Z65" s="47" t="n">
        <f aca="false">IF($B65="","",IF(AND(OR(Contacts!$C$3="(All)",$D65=Contacts!$C$3),OR(Contacts!$E$3="(All)",$G65=Contacts!$E$3),OR(Contacts!$G$3="(All)",ISNUMBER(SEARCH(Contacts!$G$3,$V65))),OR(Contacts!$I$3="(All)",$X65=Contacts!$I$3),OR(Contacts!$K$3="",ISNUMBER(SEARCH(Contacts!$K$3,$B65&amp;" "&amp;$C65&amp;" "&amp;$D65&amp;" "&amp;$S65)))),1,0))</f>
        <v>1</v>
      </c>
      <c r="AA65" s="47" t="n">
        <f aca="false">IF($Z65=1,COUNTIFS(c_Pass,1,c_Sort,"&lt;="&amp;$Y65),"")</f>
        <v>64</v>
      </c>
      <c r="AB65" s="47" t="str">
        <f aca="false">IF(OR($G65&lt;&gt;"Yes",NOT(ISNUMBER($H65))),"",COUNTIFS(c_Met,"Yes",c_Date,"&lt;"&amp;$H65)+COUNTIFS($G$2:$G65,"Yes",$H$2:$H65,$H65))</f>
        <v/>
      </c>
    </row>
    <row r="66" customFormat="false" ht="15" hidden="false" customHeight="false" outlineLevel="0" collapsed="false">
      <c r="A66" s="44" t="n">
        <f aca="false">IF($B66="","",COUNTA($B$2:$B66))</f>
        <v>65</v>
      </c>
      <c r="B66" s="11" t="s">
        <v>268</v>
      </c>
      <c r="C66" s="11"/>
      <c r="D66" s="11" t="s">
        <v>27</v>
      </c>
      <c r="E66" s="11" t="s">
        <v>193</v>
      </c>
      <c r="F66" s="11" t="s">
        <v>68</v>
      </c>
      <c r="G66" s="34" t="s">
        <v>132</v>
      </c>
      <c r="H66" s="25"/>
      <c r="I66" s="40" t="n">
        <v>0</v>
      </c>
      <c r="J66" s="34" t="s">
        <v>132</v>
      </c>
      <c r="K66" s="45"/>
      <c r="L66" s="34"/>
      <c r="M66" s="34" t="s">
        <v>142</v>
      </c>
      <c r="N66" s="11" t="s">
        <v>133</v>
      </c>
      <c r="O66" s="11" t="s">
        <v>133</v>
      </c>
      <c r="P66" s="11" t="s">
        <v>133</v>
      </c>
      <c r="Q66" s="11" t="s">
        <v>133</v>
      </c>
      <c r="R66" s="11" t="s">
        <v>133</v>
      </c>
      <c r="S66" s="46" t="s">
        <v>269</v>
      </c>
      <c r="T66" s="44" t="n">
        <f aca="false">IF($B66="","",COUNTA($N66:$R66)-COUNTIF($N66:$R66,"Not Invited"))</f>
        <v>0</v>
      </c>
      <c r="U66" s="44" t="n">
        <f aca="false">IF($B66="","",COUNTIF($N66:$R66,"Attended"))</f>
        <v>0</v>
      </c>
      <c r="V66" s="47" t="str">
        <f aca="false">IF($B66="","",_xlfn.TEXTJOIN(", ",TRUE(),IF($N66="Attended",Setup!$D$15,""),IF($O66="Attended",Setup!$D$16,""),IF($P66="Attended",Setup!$D$17,""),IF($Q66="Attended",Setup!$D$18,""),IF($R66="Attended",Setup!$D$19,"")))</f>
        <v/>
      </c>
      <c r="W66" s="48" t="str">
        <f aca="true">IF(OR($B66="",NOT(ISNUMBER($H66))),"",TODAY()-$H66)</f>
        <v/>
      </c>
      <c r="X66" s="47" t="str">
        <f aca="false">IF($B66="","",IF($U66&gt;0,"Event attendee",IF($G66="Yes","Met (no event)",IF($T66&gt;0,"Invited only",IF(OR($L66="Yes",$M66="Yes"),"Contacted only","Not yet contacted")))))</f>
        <v>Contacted only</v>
      </c>
      <c r="Y66" s="47" t="n">
        <f aca="false">IF($B66="","",COUNTIF(c_Firm,"&lt;"&amp;$D66)+COUNTIFS(c_Firm,$D66,c_Name,"&lt;"&amp;$B66)+COUNTIFS($D$2:$D66,$D66,$B$2:$B66,$B66))</f>
        <v>65</v>
      </c>
      <c r="Z66" s="47" t="n">
        <f aca="false">IF($B66="","",IF(AND(OR(Contacts!$C$3="(All)",$D66=Contacts!$C$3),OR(Contacts!$E$3="(All)",$G66=Contacts!$E$3),OR(Contacts!$G$3="(All)",ISNUMBER(SEARCH(Contacts!$G$3,$V66))),OR(Contacts!$I$3="(All)",$X66=Contacts!$I$3),OR(Contacts!$K$3="",ISNUMBER(SEARCH(Contacts!$K$3,$B66&amp;" "&amp;$C66&amp;" "&amp;$D66&amp;" "&amp;$S66)))),1,0))</f>
        <v>1</v>
      </c>
      <c r="AA66" s="47" t="n">
        <f aca="false">IF($Z66=1,COUNTIFS(c_Pass,1,c_Sort,"&lt;="&amp;$Y66),"")</f>
        <v>65</v>
      </c>
      <c r="AB66" s="47" t="str">
        <f aca="false">IF(OR($G66&lt;&gt;"Yes",NOT(ISNUMBER($H66))),"",COUNTIFS(c_Met,"Yes",c_Date,"&lt;"&amp;$H66)+COUNTIFS($G$2:$G66,"Yes",$H$2:$H66,$H66))</f>
        <v/>
      </c>
    </row>
    <row r="67" customFormat="false" ht="15" hidden="false" customHeight="false" outlineLevel="0" collapsed="false">
      <c r="A67" s="44" t="n">
        <f aca="false">IF($B67="","",COUNTA($B$2:$B67))</f>
        <v>66</v>
      </c>
      <c r="B67" s="11" t="s">
        <v>270</v>
      </c>
      <c r="C67" s="11"/>
      <c r="D67" s="11" t="s">
        <v>27</v>
      </c>
      <c r="E67" s="11" t="s">
        <v>193</v>
      </c>
      <c r="F67" s="11" t="s">
        <v>68</v>
      </c>
      <c r="G67" s="34" t="s">
        <v>132</v>
      </c>
      <c r="H67" s="25"/>
      <c r="I67" s="40" t="n">
        <v>0</v>
      </c>
      <c r="J67" s="34" t="s">
        <v>132</v>
      </c>
      <c r="K67" s="45"/>
      <c r="L67" s="34"/>
      <c r="M67" s="34" t="s">
        <v>142</v>
      </c>
      <c r="N67" s="11" t="s">
        <v>133</v>
      </c>
      <c r="O67" s="11" t="s">
        <v>133</v>
      </c>
      <c r="P67" s="11" t="s">
        <v>133</v>
      </c>
      <c r="Q67" s="11" t="s">
        <v>133</v>
      </c>
      <c r="R67" s="11" t="s">
        <v>133</v>
      </c>
      <c r="S67" s="46" t="s">
        <v>271</v>
      </c>
      <c r="T67" s="44" t="n">
        <f aca="false">IF($B67="","",COUNTA($N67:$R67)-COUNTIF($N67:$R67,"Not Invited"))</f>
        <v>0</v>
      </c>
      <c r="U67" s="44" t="n">
        <f aca="false">IF($B67="","",COUNTIF($N67:$R67,"Attended"))</f>
        <v>0</v>
      </c>
      <c r="V67" s="47" t="str">
        <f aca="false">IF($B67="","",_xlfn.TEXTJOIN(", ",TRUE(),IF($N67="Attended",Setup!$D$15,""),IF($O67="Attended",Setup!$D$16,""),IF($P67="Attended",Setup!$D$17,""),IF($Q67="Attended",Setup!$D$18,""),IF($R67="Attended",Setup!$D$19,"")))</f>
        <v/>
      </c>
      <c r="W67" s="48" t="str">
        <f aca="true">IF(OR($B67="",NOT(ISNUMBER($H67))),"",TODAY()-$H67)</f>
        <v/>
      </c>
      <c r="X67" s="47" t="str">
        <f aca="false">IF($B67="","",IF($U67&gt;0,"Event attendee",IF($G67="Yes","Met (no event)",IF($T67&gt;0,"Invited only",IF(OR($L67="Yes",$M67="Yes"),"Contacted only","Not yet contacted")))))</f>
        <v>Contacted only</v>
      </c>
      <c r="Y67" s="47" t="n">
        <f aca="false">IF($B67="","",COUNTIF(c_Firm,"&lt;"&amp;$D67)+COUNTIFS(c_Firm,$D67,c_Name,"&lt;"&amp;$B67)+COUNTIFS($D$2:$D67,$D67,$B$2:$B67,$B67))</f>
        <v>66</v>
      </c>
      <c r="Z67" s="47" t="n">
        <f aca="false">IF($B67="","",IF(AND(OR(Contacts!$C$3="(All)",$D67=Contacts!$C$3),OR(Contacts!$E$3="(All)",$G67=Contacts!$E$3),OR(Contacts!$G$3="(All)",ISNUMBER(SEARCH(Contacts!$G$3,$V67))),OR(Contacts!$I$3="(All)",$X67=Contacts!$I$3),OR(Contacts!$K$3="",ISNUMBER(SEARCH(Contacts!$K$3,$B67&amp;" "&amp;$C67&amp;" "&amp;$D67&amp;" "&amp;$S67)))),1,0))</f>
        <v>1</v>
      </c>
      <c r="AA67" s="47" t="n">
        <f aca="false">IF($Z67=1,COUNTIFS(c_Pass,1,c_Sort,"&lt;="&amp;$Y67),"")</f>
        <v>66</v>
      </c>
      <c r="AB67" s="47" t="str">
        <f aca="false">IF(OR($G67&lt;&gt;"Yes",NOT(ISNUMBER($H67))),"",COUNTIFS(c_Met,"Yes",c_Date,"&lt;"&amp;$H67)+COUNTIFS($G$2:$G67,"Yes",$H$2:$H67,$H67))</f>
        <v/>
      </c>
    </row>
    <row r="68" customFormat="false" ht="15" hidden="false" customHeight="false" outlineLevel="0" collapsed="false">
      <c r="A68" s="44" t="n">
        <f aca="false">IF($B68="","",COUNTA($B$2:$B68))</f>
        <v>67</v>
      </c>
      <c r="B68" s="11" t="s">
        <v>272</v>
      </c>
      <c r="C68" s="11" t="s">
        <v>273</v>
      </c>
      <c r="D68" s="11" t="s">
        <v>27</v>
      </c>
      <c r="E68" s="11" t="s">
        <v>131</v>
      </c>
      <c r="F68" s="11" t="s">
        <v>141</v>
      </c>
      <c r="G68" s="34" t="s">
        <v>142</v>
      </c>
      <c r="H68" s="25" t="n">
        <v>45933</v>
      </c>
      <c r="I68" s="40" t="n">
        <v>1</v>
      </c>
      <c r="J68" s="34" t="s">
        <v>132</v>
      </c>
      <c r="K68" s="45" t="n">
        <v>40000000</v>
      </c>
      <c r="L68" s="34"/>
      <c r="M68" s="34"/>
      <c r="N68" s="11" t="s">
        <v>57</v>
      </c>
      <c r="O68" s="11" t="s">
        <v>55</v>
      </c>
      <c r="P68" s="11" t="s">
        <v>133</v>
      </c>
      <c r="Q68" s="11" t="s">
        <v>133</v>
      </c>
      <c r="R68" s="11" t="s">
        <v>133</v>
      </c>
      <c r="S68" s="46"/>
      <c r="T68" s="44" t="n">
        <f aca="false">IF($B68="","",COUNTA($N68:$R68)-COUNTIF($N68:$R68,"Not Invited"))</f>
        <v>2</v>
      </c>
      <c r="U68" s="44" t="n">
        <f aca="false">IF($B68="","",COUNTIF($N68:$R68,"Attended"))</f>
        <v>1</v>
      </c>
      <c r="V68" s="47" t="str">
        <f aca="false">IF($B68="","",_xlfn.TEXTJOIN(", ",TRUE(),IF($N68="Attended",Setup!$D$15,""),IF($O68="Attended",Setup!$D$16,""),IF($P68="Attended",Setup!$D$17,""),IF($Q68="Attended",Setup!$D$18,""),IF($R68="Attended",Setup!$D$19,"")))</f>
        <v>May-26 Symposium</v>
      </c>
      <c r="W68" s="48" t="n">
        <f aca="true">IF(OR($B68="",NOT(ISNUMBER($H68))),"",TODAY()-$H68)</f>
        <v>308</v>
      </c>
      <c r="X68" s="47" t="str">
        <f aca="false">IF($B68="","",IF($U68&gt;0,"Event attendee",IF($G68="Yes","Met (no event)",IF($T68&gt;0,"Invited only",IF(OR($L68="Yes",$M68="Yes"),"Contacted only","Not yet contacted")))))</f>
        <v>Event attendee</v>
      </c>
      <c r="Y68" s="47" t="n">
        <f aca="false">IF($B68="","",COUNTIF(c_Firm,"&lt;"&amp;$D68)+COUNTIFS(c_Firm,$D68,c_Name,"&lt;"&amp;$B68)+COUNTIFS($D$2:$D68,$D68,$B$2:$B68,$B68))</f>
        <v>67</v>
      </c>
      <c r="Z68" s="47" t="n">
        <f aca="false">IF($B68="","",IF(AND(OR(Contacts!$C$3="(All)",$D68=Contacts!$C$3),OR(Contacts!$E$3="(All)",$G68=Contacts!$E$3),OR(Contacts!$G$3="(All)",ISNUMBER(SEARCH(Contacts!$G$3,$V68))),OR(Contacts!$I$3="(All)",$X68=Contacts!$I$3),OR(Contacts!$K$3="",ISNUMBER(SEARCH(Contacts!$K$3,$B68&amp;" "&amp;$C68&amp;" "&amp;$D68&amp;" "&amp;$S68)))),1,0))</f>
        <v>1</v>
      </c>
      <c r="AA68" s="47" t="n">
        <f aca="false">IF($Z68=1,COUNTIFS(c_Pass,1,c_Sort,"&lt;="&amp;$Y68),"")</f>
        <v>67</v>
      </c>
      <c r="AB68" s="47" t="n">
        <f aca="false">IF(OR($G68&lt;&gt;"Yes",NOT(ISNUMBER($H68))),"",COUNTIFS(c_Met,"Yes",c_Date,"&lt;"&amp;$H68)+COUNTIFS($G$2:$G68,"Yes",$H$2:$H68,$H68))</f>
        <v>25</v>
      </c>
    </row>
    <row r="69" customFormat="false" ht="15" hidden="false" customHeight="false" outlineLevel="0" collapsed="false">
      <c r="A69" s="44" t="n">
        <f aca="false">IF($B69="","",COUNTA($B$2:$B69))</f>
        <v>68</v>
      </c>
      <c r="B69" s="11" t="s">
        <v>274</v>
      </c>
      <c r="C69" s="11"/>
      <c r="D69" s="11" t="s">
        <v>27</v>
      </c>
      <c r="E69" s="11" t="s">
        <v>193</v>
      </c>
      <c r="F69" s="11" t="s">
        <v>68</v>
      </c>
      <c r="G69" s="34" t="s">
        <v>132</v>
      </c>
      <c r="H69" s="25"/>
      <c r="I69" s="40" t="n">
        <v>0</v>
      </c>
      <c r="J69" s="34" t="s">
        <v>132</v>
      </c>
      <c r="K69" s="45"/>
      <c r="L69" s="34"/>
      <c r="M69" s="34" t="s">
        <v>142</v>
      </c>
      <c r="N69" s="11" t="s">
        <v>133</v>
      </c>
      <c r="O69" s="11" t="s">
        <v>133</v>
      </c>
      <c r="P69" s="11" t="s">
        <v>133</v>
      </c>
      <c r="Q69" s="11" t="s">
        <v>133</v>
      </c>
      <c r="R69" s="11" t="s">
        <v>133</v>
      </c>
      <c r="S69" s="46" t="s">
        <v>275</v>
      </c>
      <c r="T69" s="44" t="n">
        <f aca="false">IF($B69="","",COUNTA($N69:$R69)-COUNTIF($N69:$R69,"Not Invited"))</f>
        <v>0</v>
      </c>
      <c r="U69" s="44" t="n">
        <f aca="false">IF($B69="","",COUNTIF($N69:$R69,"Attended"))</f>
        <v>0</v>
      </c>
      <c r="V69" s="47" t="str">
        <f aca="false">IF($B69="","",_xlfn.TEXTJOIN(", ",TRUE(),IF($N69="Attended",Setup!$D$15,""),IF($O69="Attended",Setup!$D$16,""),IF($P69="Attended",Setup!$D$17,""),IF($Q69="Attended",Setup!$D$18,""),IF($R69="Attended",Setup!$D$19,"")))</f>
        <v/>
      </c>
      <c r="W69" s="48" t="str">
        <f aca="true">IF(OR($B69="",NOT(ISNUMBER($H69))),"",TODAY()-$H69)</f>
        <v/>
      </c>
      <c r="X69" s="47" t="str">
        <f aca="false">IF($B69="","",IF($U69&gt;0,"Event attendee",IF($G69="Yes","Met (no event)",IF($T69&gt;0,"Invited only",IF(OR($L69="Yes",$M69="Yes"),"Contacted only","Not yet contacted")))))</f>
        <v>Contacted only</v>
      </c>
      <c r="Y69" s="47" t="n">
        <f aca="false">IF($B69="","",COUNTIF(c_Firm,"&lt;"&amp;$D69)+COUNTIFS(c_Firm,$D69,c_Name,"&lt;"&amp;$B69)+COUNTIFS($D$2:$D69,$D69,$B$2:$B69,$B69))</f>
        <v>68</v>
      </c>
      <c r="Z69" s="47" t="n">
        <f aca="false">IF($B69="","",IF(AND(OR(Contacts!$C$3="(All)",$D69=Contacts!$C$3),OR(Contacts!$E$3="(All)",$G69=Contacts!$E$3),OR(Contacts!$G$3="(All)",ISNUMBER(SEARCH(Contacts!$G$3,$V69))),OR(Contacts!$I$3="(All)",$X69=Contacts!$I$3),OR(Contacts!$K$3="",ISNUMBER(SEARCH(Contacts!$K$3,$B69&amp;" "&amp;$C69&amp;" "&amp;$D69&amp;" "&amp;$S69)))),1,0))</f>
        <v>1</v>
      </c>
      <c r="AA69" s="47" t="n">
        <f aca="false">IF($Z69=1,COUNTIFS(c_Pass,1,c_Sort,"&lt;="&amp;$Y69),"")</f>
        <v>68</v>
      </c>
      <c r="AB69" s="47" t="str">
        <f aca="false">IF(OR($G69&lt;&gt;"Yes",NOT(ISNUMBER($H69))),"",COUNTIFS(c_Met,"Yes",c_Date,"&lt;"&amp;$H69)+COUNTIFS($G$2:$G69,"Yes",$H$2:$H69,$H69))</f>
        <v/>
      </c>
    </row>
    <row r="70" customFormat="false" ht="15" hidden="false" customHeight="false" outlineLevel="0" collapsed="false">
      <c r="A70" s="44" t="n">
        <f aca="false">IF($B70="","",COUNTA($B$2:$B70))</f>
        <v>69</v>
      </c>
      <c r="B70" s="11" t="s">
        <v>276</v>
      </c>
      <c r="C70" s="11"/>
      <c r="D70" s="11" t="s">
        <v>27</v>
      </c>
      <c r="E70" s="11" t="s">
        <v>193</v>
      </c>
      <c r="F70" s="11" t="s">
        <v>68</v>
      </c>
      <c r="G70" s="34" t="s">
        <v>132</v>
      </c>
      <c r="H70" s="25"/>
      <c r="I70" s="40" t="n">
        <v>0</v>
      </c>
      <c r="J70" s="34" t="s">
        <v>132</v>
      </c>
      <c r="K70" s="45"/>
      <c r="L70" s="34"/>
      <c r="M70" s="34" t="s">
        <v>142</v>
      </c>
      <c r="N70" s="11" t="s">
        <v>133</v>
      </c>
      <c r="O70" s="11" t="s">
        <v>133</v>
      </c>
      <c r="P70" s="11" t="s">
        <v>133</v>
      </c>
      <c r="Q70" s="11" t="s">
        <v>133</v>
      </c>
      <c r="R70" s="11" t="s">
        <v>133</v>
      </c>
      <c r="S70" s="46" t="s">
        <v>277</v>
      </c>
      <c r="T70" s="44" t="n">
        <f aca="false">IF($B70="","",COUNTA($N70:$R70)-COUNTIF($N70:$R70,"Not Invited"))</f>
        <v>0</v>
      </c>
      <c r="U70" s="44" t="n">
        <f aca="false">IF($B70="","",COUNTIF($N70:$R70,"Attended"))</f>
        <v>0</v>
      </c>
      <c r="V70" s="47" t="str">
        <f aca="false">IF($B70="","",_xlfn.TEXTJOIN(", ",TRUE(),IF($N70="Attended",Setup!$D$15,""),IF($O70="Attended",Setup!$D$16,""),IF($P70="Attended",Setup!$D$17,""),IF($Q70="Attended",Setup!$D$18,""),IF($R70="Attended",Setup!$D$19,"")))</f>
        <v/>
      </c>
      <c r="W70" s="48" t="str">
        <f aca="true">IF(OR($B70="",NOT(ISNUMBER($H70))),"",TODAY()-$H70)</f>
        <v/>
      </c>
      <c r="X70" s="47" t="str">
        <f aca="false">IF($B70="","",IF($U70&gt;0,"Event attendee",IF($G70="Yes","Met (no event)",IF($T70&gt;0,"Invited only",IF(OR($L70="Yes",$M70="Yes"),"Contacted only","Not yet contacted")))))</f>
        <v>Contacted only</v>
      </c>
      <c r="Y70" s="47" t="n">
        <f aca="false">IF($B70="","",COUNTIF(c_Firm,"&lt;"&amp;$D70)+COUNTIFS(c_Firm,$D70,c_Name,"&lt;"&amp;$B70)+COUNTIFS($D$2:$D70,$D70,$B$2:$B70,$B70))</f>
        <v>69</v>
      </c>
      <c r="Z70" s="47" t="n">
        <f aca="false">IF($B70="","",IF(AND(OR(Contacts!$C$3="(All)",$D70=Contacts!$C$3),OR(Contacts!$E$3="(All)",$G70=Contacts!$E$3),OR(Contacts!$G$3="(All)",ISNUMBER(SEARCH(Contacts!$G$3,$V70))),OR(Contacts!$I$3="(All)",$X70=Contacts!$I$3),OR(Contacts!$K$3="",ISNUMBER(SEARCH(Contacts!$K$3,$B70&amp;" "&amp;$C70&amp;" "&amp;$D70&amp;" "&amp;$S70)))),1,0))</f>
        <v>1</v>
      </c>
      <c r="AA70" s="47" t="n">
        <f aca="false">IF($Z70=1,COUNTIFS(c_Pass,1,c_Sort,"&lt;="&amp;$Y70),"")</f>
        <v>69</v>
      </c>
      <c r="AB70" s="47" t="str">
        <f aca="false">IF(OR($G70&lt;&gt;"Yes",NOT(ISNUMBER($H70))),"",COUNTIFS(c_Met,"Yes",c_Date,"&lt;"&amp;$H70)+COUNTIFS($G$2:$G70,"Yes",$H$2:$H70,$H70))</f>
        <v/>
      </c>
    </row>
    <row r="71" customFormat="false" ht="15" hidden="false" customHeight="false" outlineLevel="0" collapsed="false">
      <c r="A71" s="44" t="n">
        <f aca="false">IF($B71="","",COUNTA($B$2:$B71))</f>
        <v>70</v>
      </c>
      <c r="B71" s="11" t="s">
        <v>278</v>
      </c>
      <c r="C71" s="11"/>
      <c r="D71" s="11" t="s">
        <v>27</v>
      </c>
      <c r="E71" s="11" t="s">
        <v>193</v>
      </c>
      <c r="F71" s="11" t="s">
        <v>68</v>
      </c>
      <c r="G71" s="34" t="s">
        <v>132</v>
      </c>
      <c r="H71" s="25"/>
      <c r="I71" s="40" t="n">
        <v>0</v>
      </c>
      <c r="J71" s="34" t="s">
        <v>132</v>
      </c>
      <c r="K71" s="45"/>
      <c r="L71" s="34"/>
      <c r="M71" s="34" t="s">
        <v>142</v>
      </c>
      <c r="N71" s="11" t="s">
        <v>133</v>
      </c>
      <c r="O71" s="11" t="s">
        <v>133</v>
      </c>
      <c r="P71" s="11" t="s">
        <v>133</v>
      </c>
      <c r="Q71" s="11" t="s">
        <v>133</v>
      </c>
      <c r="R71" s="11" t="s">
        <v>133</v>
      </c>
      <c r="S71" s="46" t="s">
        <v>279</v>
      </c>
      <c r="T71" s="44" t="n">
        <f aca="false">IF($B71="","",COUNTA($N71:$R71)-COUNTIF($N71:$R71,"Not Invited"))</f>
        <v>0</v>
      </c>
      <c r="U71" s="44" t="n">
        <f aca="false">IF($B71="","",COUNTIF($N71:$R71,"Attended"))</f>
        <v>0</v>
      </c>
      <c r="V71" s="47" t="str">
        <f aca="false">IF($B71="","",_xlfn.TEXTJOIN(", ",TRUE(),IF($N71="Attended",Setup!$D$15,""),IF($O71="Attended",Setup!$D$16,""),IF($P71="Attended",Setup!$D$17,""),IF($Q71="Attended",Setup!$D$18,""),IF($R71="Attended",Setup!$D$19,"")))</f>
        <v/>
      </c>
      <c r="W71" s="48" t="str">
        <f aca="true">IF(OR($B71="",NOT(ISNUMBER($H71))),"",TODAY()-$H71)</f>
        <v/>
      </c>
      <c r="X71" s="47" t="str">
        <f aca="false">IF($B71="","",IF($U71&gt;0,"Event attendee",IF($G71="Yes","Met (no event)",IF($T71&gt;0,"Invited only",IF(OR($L71="Yes",$M71="Yes"),"Contacted only","Not yet contacted")))))</f>
        <v>Contacted only</v>
      </c>
      <c r="Y71" s="47" t="n">
        <f aca="false">IF($B71="","",COUNTIF(c_Firm,"&lt;"&amp;$D71)+COUNTIFS(c_Firm,$D71,c_Name,"&lt;"&amp;$B71)+COUNTIFS($D$2:$D71,$D71,$B$2:$B71,$B71))</f>
        <v>70</v>
      </c>
      <c r="Z71" s="47" t="n">
        <f aca="false">IF($B71="","",IF(AND(OR(Contacts!$C$3="(All)",$D71=Contacts!$C$3),OR(Contacts!$E$3="(All)",$G71=Contacts!$E$3),OR(Contacts!$G$3="(All)",ISNUMBER(SEARCH(Contacts!$G$3,$V71))),OR(Contacts!$I$3="(All)",$X71=Contacts!$I$3),OR(Contacts!$K$3="",ISNUMBER(SEARCH(Contacts!$K$3,$B71&amp;" "&amp;$C71&amp;" "&amp;$D71&amp;" "&amp;$S71)))),1,0))</f>
        <v>1</v>
      </c>
      <c r="AA71" s="47" t="n">
        <f aca="false">IF($Z71=1,COUNTIFS(c_Pass,1,c_Sort,"&lt;="&amp;$Y71),"")</f>
        <v>70</v>
      </c>
      <c r="AB71" s="47" t="str">
        <f aca="false">IF(OR($G71&lt;&gt;"Yes",NOT(ISNUMBER($H71))),"",COUNTIFS(c_Met,"Yes",c_Date,"&lt;"&amp;$H71)+COUNTIFS($G$2:$G71,"Yes",$H$2:$H71,$H71))</f>
        <v/>
      </c>
    </row>
    <row r="72" customFormat="false" ht="15" hidden="false" customHeight="false" outlineLevel="0" collapsed="false">
      <c r="A72" s="44" t="n">
        <f aca="false">IF($B72="","",COUNTA($B$2:$B72))</f>
        <v>71</v>
      </c>
      <c r="B72" s="11" t="s">
        <v>280</v>
      </c>
      <c r="C72" s="11"/>
      <c r="D72" s="11" t="s">
        <v>27</v>
      </c>
      <c r="E72" s="11" t="s">
        <v>193</v>
      </c>
      <c r="F72" s="11" t="s">
        <v>68</v>
      </c>
      <c r="G72" s="34" t="s">
        <v>132</v>
      </c>
      <c r="H72" s="25"/>
      <c r="I72" s="40" t="n">
        <v>0</v>
      </c>
      <c r="J72" s="34" t="s">
        <v>132</v>
      </c>
      <c r="K72" s="45"/>
      <c r="L72" s="34"/>
      <c r="M72" s="34" t="s">
        <v>142</v>
      </c>
      <c r="N72" s="11" t="s">
        <v>133</v>
      </c>
      <c r="O72" s="11" t="s">
        <v>133</v>
      </c>
      <c r="P72" s="11" t="s">
        <v>133</v>
      </c>
      <c r="Q72" s="11" t="s">
        <v>133</v>
      </c>
      <c r="R72" s="11" t="s">
        <v>133</v>
      </c>
      <c r="S72" s="46" t="s">
        <v>281</v>
      </c>
      <c r="T72" s="44" t="n">
        <f aca="false">IF($B72="","",COUNTA($N72:$R72)-COUNTIF($N72:$R72,"Not Invited"))</f>
        <v>0</v>
      </c>
      <c r="U72" s="44" t="n">
        <f aca="false">IF($B72="","",COUNTIF($N72:$R72,"Attended"))</f>
        <v>0</v>
      </c>
      <c r="V72" s="47" t="str">
        <f aca="false">IF($B72="","",_xlfn.TEXTJOIN(", ",TRUE(),IF($N72="Attended",Setup!$D$15,""),IF($O72="Attended",Setup!$D$16,""),IF($P72="Attended",Setup!$D$17,""),IF($Q72="Attended",Setup!$D$18,""),IF($R72="Attended",Setup!$D$19,"")))</f>
        <v/>
      </c>
      <c r="W72" s="48" t="str">
        <f aca="true">IF(OR($B72="",NOT(ISNUMBER($H72))),"",TODAY()-$H72)</f>
        <v/>
      </c>
      <c r="X72" s="47" t="str">
        <f aca="false">IF($B72="","",IF($U72&gt;0,"Event attendee",IF($G72="Yes","Met (no event)",IF($T72&gt;0,"Invited only",IF(OR($L72="Yes",$M72="Yes"),"Contacted only","Not yet contacted")))))</f>
        <v>Contacted only</v>
      </c>
      <c r="Y72" s="47" t="n">
        <f aca="false">IF($B72="","",COUNTIF(c_Firm,"&lt;"&amp;$D72)+COUNTIFS(c_Firm,$D72,c_Name,"&lt;"&amp;$B72)+COUNTIFS($D$2:$D72,$D72,$B$2:$B72,$B72))</f>
        <v>71</v>
      </c>
      <c r="Z72" s="47" t="n">
        <f aca="false">IF($B72="","",IF(AND(OR(Contacts!$C$3="(All)",$D72=Contacts!$C$3),OR(Contacts!$E$3="(All)",$G72=Contacts!$E$3),OR(Contacts!$G$3="(All)",ISNUMBER(SEARCH(Contacts!$G$3,$V72))),OR(Contacts!$I$3="(All)",$X72=Contacts!$I$3),OR(Contacts!$K$3="",ISNUMBER(SEARCH(Contacts!$K$3,$B72&amp;" "&amp;$C72&amp;" "&amp;$D72&amp;" "&amp;$S72)))),1,0))</f>
        <v>1</v>
      </c>
      <c r="AA72" s="47" t="n">
        <f aca="false">IF($Z72=1,COUNTIFS(c_Pass,1,c_Sort,"&lt;="&amp;$Y72),"")</f>
        <v>71</v>
      </c>
      <c r="AB72" s="47" t="str">
        <f aca="false">IF(OR($G72&lt;&gt;"Yes",NOT(ISNUMBER($H72))),"",COUNTIFS(c_Met,"Yes",c_Date,"&lt;"&amp;$H72)+COUNTIFS($G$2:$G72,"Yes",$H$2:$H72,$H72))</f>
        <v/>
      </c>
    </row>
    <row r="73" customFormat="false" ht="15" hidden="false" customHeight="false" outlineLevel="0" collapsed="false">
      <c r="A73" s="44" t="n">
        <f aca="false">IF($B73="","",COUNTA($B$2:$B73))</f>
        <v>72</v>
      </c>
      <c r="B73" s="11" t="s">
        <v>282</v>
      </c>
      <c r="C73" s="11"/>
      <c r="D73" s="11" t="s">
        <v>27</v>
      </c>
      <c r="E73" s="11" t="s">
        <v>193</v>
      </c>
      <c r="F73" s="11" t="s">
        <v>68</v>
      </c>
      <c r="G73" s="34" t="s">
        <v>132</v>
      </c>
      <c r="H73" s="25"/>
      <c r="I73" s="40" t="n">
        <v>0</v>
      </c>
      <c r="J73" s="34" t="s">
        <v>132</v>
      </c>
      <c r="K73" s="45"/>
      <c r="L73" s="34"/>
      <c r="M73" s="34" t="s">
        <v>142</v>
      </c>
      <c r="N73" s="11" t="s">
        <v>133</v>
      </c>
      <c r="O73" s="11" t="s">
        <v>133</v>
      </c>
      <c r="P73" s="11" t="s">
        <v>133</v>
      </c>
      <c r="Q73" s="11" t="s">
        <v>133</v>
      </c>
      <c r="R73" s="11" t="s">
        <v>133</v>
      </c>
      <c r="S73" s="46" t="s">
        <v>283</v>
      </c>
      <c r="T73" s="44" t="n">
        <f aca="false">IF($B73="","",COUNTA($N73:$R73)-COUNTIF($N73:$R73,"Not Invited"))</f>
        <v>0</v>
      </c>
      <c r="U73" s="44" t="n">
        <f aca="false">IF($B73="","",COUNTIF($N73:$R73,"Attended"))</f>
        <v>0</v>
      </c>
      <c r="V73" s="47" t="str">
        <f aca="false">IF($B73="","",_xlfn.TEXTJOIN(", ",TRUE(),IF($N73="Attended",Setup!$D$15,""),IF($O73="Attended",Setup!$D$16,""),IF($P73="Attended",Setup!$D$17,""),IF($Q73="Attended",Setup!$D$18,""),IF($R73="Attended",Setup!$D$19,"")))</f>
        <v/>
      </c>
      <c r="W73" s="48" t="str">
        <f aca="true">IF(OR($B73="",NOT(ISNUMBER($H73))),"",TODAY()-$H73)</f>
        <v/>
      </c>
      <c r="X73" s="47" t="str">
        <f aca="false">IF($B73="","",IF($U73&gt;0,"Event attendee",IF($G73="Yes","Met (no event)",IF($T73&gt;0,"Invited only",IF(OR($L73="Yes",$M73="Yes"),"Contacted only","Not yet contacted")))))</f>
        <v>Contacted only</v>
      </c>
      <c r="Y73" s="47" t="n">
        <f aca="false">IF($B73="","",COUNTIF(c_Firm,"&lt;"&amp;$D73)+COUNTIFS(c_Firm,$D73,c_Name,"&lt;"&amp;$B73)+COUNTIFS($D$2:$D73,$D73,$B$2:$B73,$B73))</f>
        <v>72</v>
      </c>
      <c r="Z73" s="47" t="n">
        <f aca="false">IF($B73="","",IF(AND(OR(Contacts!$C$3="(All)",$D73=Contacts!$C$3),OR(Contacts!$E$3="(All)",$G73=Contacts!$E$3),OR(Contacts!$G$3="(All)",ISNUMBER(SEARCH(Contacts!$G$3,$V73))),OR(Contacts!$I$3="(All)",$X73=Contacts!$I$3),OR(Contacts!$K$3="",ISNUMBER(SEARCH(Contacts!$K$3,$B73&amp;" "&amp;$C73&amp;" "&amp;$D73&amp;" "&amp;$S73)))),1,0))</f>
        <v>1</v>
      </c>
      <c r="AA73" s="47" t="n">
        <f aca="false">IF($Z73=1,COUNTIFS(c_Pass,1,c_Sort,"&lt;="&amp;$Y73),"")</f>
        <v>72</v>
      </c>
      <c r="AB73" s="47" t="str">
        <f aca="false">IF(OR($G73&lt;&gt;"Yes",NOT(ISNUMBER($H73))),"",COUNTIFS(c_Met,"Yes",c_Date,"&lt;"&amp;$H73)+COUNTIFS($G$2:$G73,"Yes",$H$2:$H73,$H73))</f>
        <v/>
      </c>
    </row>
    <row r="74" customFormat="false" ht="15" hidden="false" customHeight="false" outlineLevel="0" collapsed="false">
      <c r="A74" s="44" t="n">
        <f aca="false">IF($B74="","",COUNTA($B$2:$B74))</f>
        <v>73</v>
      </c>
      <c r="B74" s="11" t="s">
        <v>284</v>
      </c>
      <c r="C74" s="11"/>
      <c r="D74" s="11" t="s">
        <v>27</v>
      </c>
      <c r="E74" s="11" t="s">
        <v>193</v>
      </c>
      <c r="F74" s="11" t="s">
        <v>68</v>
      </c>
      <c r="G74" s="34" t="s">
        <v>132</v>
      </c>
      <c r="H74" s="25"/>
      <c r="I74" s="40" t="n">
        <v>0</v>
      </c>
      <c r="J74" s="34" t="s">
        <v>132</v>
      </c>
      <c r="K74" s="45"/>
      <c r="L74" s="34"/>
      <c r="M74" s="34" t="s">
        <v>142</v>
      </c>
      <c r="N74" s="11" t="s">
        <v>133</v>
      </c>
      <c r="O74" s="11" t="s">
        <v>133</v>
      </c>
      <c r="P74" s="11" t="s">
        <v>133</v>
      </c>
      <c r="Q74" s="11" t="s">
        <v>133</v>
      </c>
      <c r="R74" s="11" t="s">
        <v>133</v>
      </c>
      <c r="S74" s="46" t="s">
        <v>285</v>
      </c>
      <c r="T74" s="44" t="n">
        <f aca="false">IF($B74="","",COUNTA($N74:$R74)-COUNTIF($N74:$R74,"Not Invited"))</f>
        <v>0</v>
      </c>
      <c r="U74" s="44" t="n">
        <f aca="false">IF($B74="","",COUNTIF($N74:$R74,"Attended"))</f>
        <v>0</v>
      </c>
      <c r="V74" s="47" t="str">
        <f aca="false">IF($B74="","",_xlfn.TEXTJOIN(", ",TRUE(),IF($N74="Attended",Setup!$D$15,""),IF($O74="Attended",Setup!$D$16,""),IF($P74="Attended",Setup!$D$17,""),IF($Q74="Attended",Setup!$D$18,""),IF($R74="Attended",Setup!$D$19,"")))</f>
        <v/>
      </c>
      <c r="W74" s="48" t="str">
        <f aca="true">IF(OR($B74="",NOT(ISNUMBER($H74))),"",TODAY()-$H74)</f>
        <v/>
      </c>
      <c r="X74" s="47" t="str">
        <f aca="false">IF($B74="","",IF($U74&gt;0,"Event attendee",IF($G74="Yes","Met (no event)",IF($T74&gt;0,"Invited only",IF(OR($L74="Yes",$M74="Yes"),"Contacted only","Not yet contacted")))))</f>
        <v>Contacted only</v>
      </c>
      <c r="Y74" s="47" t="n">
        <f aca="false">IF($B74="","",COUNTIF(c_Firm,"&lt;"&amp;$D74)+COUNTIFS(c_Firm,$D74,c_Name,"&lt;"&amp;$B74)+COUNTIFS($D$2:$D74,$D74,$B$2:$B74,$B74))</f>
        <v>73</v>
      </c>
      <c r="Z74" s="47" t="n">
        <f aca="false">IF($B74="","",IF(AND(OR(Contacts!$C$3="(All)",$D74=Contacts!$C$3),OR(Contacts!$E$3="(All)",$G74=Contacts!$E$3),OR(Contacts!$G$3="(All)",ISNUMBER(SEARCH(Contacts!$G$3,$V74))),OR(Contacts!$I$3="(All)",$X74=Contacts!$I$3),OR(Contacts!$K$3="",ISNUMBER(SEARCH(Contacts!$K$3,$B74&amp;" "&amp;$C74&amp;" "&amp;$D74&amp;" "&amp;$S74)))),1,0))</f>
        <v>1</v>
      </c>
      <c r="AA74" s="47" t="n">
        <f aca="false">IF($Z74=1,COUNTIFS(c_Pass,1,c_Sort,"&lt;="&amp;$Y74),"")</f>
        <v>73</v>
      </c>
      <c r="AB74" s="47" t="str">
        <f aca="false">IF(OR($G74&lt;&gt;"Yes",NOT(ISNUMBER($H74))),"",COUNTIFS(c_Met,"Yes",c_Date,"&lt;"&amp;$H74)+COUNTIFS($G$2:$G74,"Yes",$H$2:$H74,$H74))</f>
        <v/>
      </c>
    </row>
    <row r="75" customFormat="false" ht="15" hidden="false" customHeight="false" outlineLevel="0" collapsed="false">
      <c r="A75" s="44" t="n">
        <f aca="false">IF($B75="","",COUNTA($B$2:$B75))</f>
        <v>74</v>
      </c>
      <c r="B75" s="11" t="s">
        <v>286</v>
      </c>
      <c r="C75" s="11"/>
      <c r="D75" s="11" t="s">
        <v>27</v>
      </c>
      <c r="E75" s="11" t="s">
        <v>193</v>
      </c>
      <c r="F75" s="11" t="s">
        <v>68</v>
      </c>
      <c r="G75" s="34" t="s">
        <v>132</v>
      </c>
      <c r="H75" s="25"/>
      <c r="I75" s="40" t="n">
        <v>0</v>
      </c>
      <c r="J75" s="34" t="s">
        <v>132</v>
      </c>
      <c r="K75" s="45"/>
      <c r="L75" s="34"/>
      <c r="M75" s="34" t="s">
        <v>142</v>
      </c>
      <c r="N75" s="11" t="s">
        <v>133</v>
      </c>
      <c r="O75" s="11" t="s">
        <v>133</v>
      </c>
      <c r="P75" s="11" t="s">
        <v>133</v>
      </c>
      <c r="Q75" s="11" t="s">
        <v>133</v>
      </c>
      <c r="R75" s="11" t="s">
        <v>133</v>
      </c>
      <c r="S75" s="46"/>
      <c r="T75" s="44" t="n">
        <f aca="false">IF($B75="","",COUNTA($N75:$R75)-COUNTIF($N75:$R75,"Not Invited"))</f>
        <v>0</v>
      </c>
      <c r="U75" s="44" t="n">
        <f aca="false">IF($B75="","",COUNTIF($N75:$R75,"Attended"))</f>
        <v>0</v>
      </c>
      <c r="V75" s="47" t="str">
        <f aca="false">IF($B75="","",_xlfn.TEXTJOIN(", ",TRUE(),IF($N75="Attended",Setup!$D$15,""),IF($O75="Attended",Setup!$D$16,""),IF($P75="Attended",Setup!$D$17,""),IF($Q75="Attended",Setup!$D$18,""),IF($R75="Attended",Setup!$D$19,"")))</f>
        <v/>
      </c>
      <c r="W75" s="48" t="str">
        <f aca="true">IF(OR($B75="",NOT(ISNUMBER($H75))),"",TODAY()-$H75)</f>
        <v/>
      </c>
      <c r="X75" s="47" t="str">
        <f aca="false">IF($B75="","",IF($U75&gt;0,"Event attendee",IF($G75="Yes","Met (no event)",IF($T75&gt;0,"Invited only",IF(OR($L75="Yes",$M75="Yes"),"Contacted only","Not yet contacted")))))</f>
        <v>Contacted only</v>
      </c>
      <c r="Y75" s="47" t="n">
        <f aca="false">IF($B75="","",COUNTIF(c_Firm,"&lt;"&amp;$D75)+COUNTIFS(c_Firm,$D75,c_Name,"&lt;"&amp;$B75)+COUNTIFS($D$2:$D75,$D75,$B$2:$B75,$B75))</f>
        <v>74</v>
      </c>
      <c r="Z75" s="47" t="n">
        <f aca="false">IF($B75="","",IF(AND(OR(Contacts!$C$3="(All)",$D75=Contacts!$C$3),OR(Contacts!$E$3="(All)",$G75=Contacts!$E$3),OR(Contacts!$G$3="(All)",ISNUMBER(SEARCH(Contacts!$G$3,$V75))),OR(Contacts!$I$3="(All)",$X75=Contacts!$I$3),OR(Contacts!$K$3="",ISNUMBER(SEARCH(Contacts!$K$3,$B75&amp;" "&amp;$C75&amp;" "&amp;$D75&amp;" "&amp;$S75)))),1,0))</f>
        <v>1</v>
      </c>
      <c r="AA75" s="47" t="n">
        <f aca="false">IF($Z75=1,COUNTIFS(c_Pass,1,c_Sort,"&lt;="&amp;$Y75),"")</f>
        <v>74</v>
      </c>
      <c r="AB75" s="47" t="str">
        <f aca="false">IF(OR($G75&lt;&gt;"Yes",NOT(ISNUMBER($H75))),"",COUNTIFS(c_Met,"Yes",c_Date,"&lt;"&amp;$H75)+COUNTIFS($G$2:$G75,"Yes",$H$2:$H75,$H75))</f>
        <v/>
      </c>
    </row>
    <row r="76" customFormat="false" ht="15" hidden="false" customHeight="false" outlineLevel="0" collapsed="false">
      <c r="A76" s="44" t="n">
        <f aca="false">IF($B76="","",COUNTA($B$2:$B76))</f>
        <v>75</v>
      </c>
      <c r="B76" s="11" t="s">
        <v>287</v>
      </c>
      <c r="C76" s="11" t="s">
        <v>288</v>
      </c>
      <c r="D76" s="11" t="s">
        <v>27</v>
      </c>
      <c r="E76" s="11" t="s">
        <v>131</v>
      </c>
      <c r="F76" s="11" t="s">
        <v>289</v>
      </c>
      <c r="G76" s="34" t="s">
        <v>132</v>
      </c>
      <c r="H76" s="25"/>
      <c r="I76" s="40" t="n">
        <v>0</v>
      </c>
      <c r="J76" s="34" t="s">
        <v>132</v>
      </c>
      <c r="K76" s="45"/>
      <c r="L76" s="34"/>
      <c r="M76" s="34" t="s">
        <v>132</v>
      </c>
      <c r="N76" s="11" t="s">
        <v>133</v>
      </c>
      <c r="O76" s="11" t="s">
        <v>55</v>
      </c>
      <c r="P76" s="11" t="s">
        <v>133</v>
      </c>
      <c r="Q76" s="11" t="s">
        <v>133</v>
      </c>
      <c r="R76" s="11" t="s">
        <v>133</v>
      </c>
      <c r="S76" s="46"/>
      <c r="T76" s="44" t="n">
        <f aca="false">IF($B76="","",COUNTA($N76:$R76)-COUNTIF($N76:$R76,"Not Invited"))</f>
        <v>1</v>
      </c>
      <c r="U76" s="44" t="n">
        <f aca="false">IF($B76="","",COUNTIF($N76:$R76,"Attended"))</f>
        <v>1</v>
      </c>
      <c r="V76" s="47" t="str">
        <f aca="false">IF($B76="","",_xlfn.TEXTJOIN(", ",TRUE(),IF($N76="Attended",Setup!$D$15,""),IF($O76="Attended",Setup!$D$16,""),IF($P76="Attended",Setup!$D$17,""),IF($Q76="Attended",Setup!$D$18,""),IF($R76="Attended",Setup!$D$19,"")))</f>
        <v>May-26 Symposium</v>
      </c>
      <c r="W76" s="48" t="str">
        <f aca="true">IF(OR($B76="",NOT(ISNUMBER($H76))),"",TODAY()-$H76)</f>
        <v/>
      </c>
      <c r="X76" s="47" t="str">
        <f aca="false">IF($B76="","",IF($U76&gt;0,"Event attendee",IF($G76="Yes","Met (no event)",IF($T76&gt;0,"Invited only",IF(OR($L76="Yes",$M76="Yes"),"Contacted only","Not yet contacted")))))</f>
        <v>Event attendee</v>
      </c>
      <c r="Y76" s="47" t="n">
        <f aca="false">IF($B76="","",COUNTIF(c_Firm,"&lt;"&amp;$D76)+COUNTIFS(c_Firm,$D76,c_Name,"&lt;"&amp;$B76)+COUNTIFS($D$2:$D76,$D76,$B$2:$B76,$B76))</f>
        <v>75</v>
      </c>
      <c r="Z76" s="47" t="n">
        <f aca="false">IF($B76="","",IF(AND(OR(Contacts!$C$3="(All)",$D76=Contacts!$C$3),OR(Contacts!$E$3="(All)",$G76=Contacts!$E$3),OR(Contacts!$G$3="(All)",ISNUMBER(SEARCH(Contacts!$G$3,$V76))),OR(Contacts!$I$3="(All)",$X76=Contacts!$I$3),OR(Contacts!$K$3="",ISNUMBER(SEARCH(Contacts!$K$3,$B76&amp;" "&amp;$C76&amp;" "&amp;$D76&amp;" "&amp;$S76)))),1,0))</f>
        <v>1</v>
      </c>
      <c r="AA76" s="47" t="n">
        <f aca="false">IF($Z76=1,COUNTIFS(c_Pass,1,c_Sort,"&lt;="&amp;$Y76),"")</f>
        <v>75</v>
      </c>
      <c r="AB76" s="47" t="str">
        <f aca="false">IF(OR($G76&lt;&gt;"Yes",NOT(ISNUMBER($H76))),"",COUNTIFS(c_Met,"Yes",c_Date,"&lt;"&amp;$H76)+COUNTIFS($G$2:$G76,"Yes",$H$2:$H76,$H76))</f>
        <v/>
      </c>
    </row>
    <row r="77" customFormat="false" ht="15" hidden="false" customHeight="false" outlineLevel="0" collapsed="false">
      <c r="A77" s="44" t="n">
        <f aca="false">IF($B77="","",COUNTA($B$2:$B77))</f>
        <v>76</v>
      </c>
      <c r="B77" s="11" t="s">
        <v>290</v>
      </c>
      <c r="C77" s="11"/>
      <c r="D77" s="11" t="s">
        <v>27</v>
      </c>
      <c r="E77" s="11" t="s">
        <v>193</v>
      </c>
      <c r="F77" s="11" t="s">
        <v>68</v>
      </c>
      <c r="G77" s="34" t="s">
        <v>132</v>
      </c>
      <c r="H77" s="25"/>
      <c r="I77" s="40" t="n">
        <v>0</v>
      </c>
      <c r="J77" s="34" t="s">
        <v>132</v>
      </c>
      <c r="K77" s="45"/>
      <c r="L77" s="34"/>
      <c r="M77" s="34" t="s">
        <v>142</v>
      </c>
      <c r="N77" s="11" t="s">
        <v>133</v>
      </c>
      <c r="O77" s="11" t="s">
        <v>133</v>
      </c>
      <c r="P77" s="11" t="s">
        <v>133</v>
      </c>
      <c r="Q77" s="11" t="s">
        <v>133</v>
      </c>
      <c r="R77" s="11" t="s">
        <v>133</v>
      </c>
      <c r="S77" s="46" t="s">
        <v>291</v>
      </c>
      <c r="T77" s="44" t="n">
        <f aca="false">IF($B77="","",COUNTA($N77:$R77)-COUNTIF($N77:$R77,"Not Invited"))</f>
        <v>0</v>
      </c>
      <c r="U77" s="44" t="n">
        <f aca="false">IF($B77="","",COUNTIF($N77:$R77,"Attended"))</f>
        <v>0</v>
      </c>
      <c r="V77" s="47" t="str">
        <f aca="false">IF($B77="","",_xlfn.TEXTJOIN(", ",TRUE(),IF($N77="Attended",Setup!$D$15,""),IF($O77="Attended",Setup!$D$16,""),IF($P77="Attended",Setup!$D$17,""),IF($Q77="Attended",Setup!$D$18,""),IF($R77="Attended",Setup!$D$19,"")))</f>
        <v/>
      </c>
      <c r="W77" s="48" t="str">
        <f aca="true">IF(OR($B77="",NOT(ISNUMBER($H77))),"",TODAY()-$H77)</f>
        <v/>
      </c>
      <c r="X77" s="47" t="str">
        <f aca="false">IF($B77="","",IF($U77&gt;0,"Event attendee",IF($G77="Yes","Met (no event)",IF($T77&gt;0,"Invited only",IF(OR($L77="Yes",$M77="Yes"),"Contacted only","Not yet contacted")))))</f>
        <v>Contacted only</v>
      </c>
      <c r="Y77" s="47" t="n">
        <f aca="false">IF($B77="","",COUNTIF(c_Firm,"&lt;"&amp;$D77)+COUNTIFS(c_Firm,$D77,c_Name,"&lt;"&amp;$B77)+COUNTIFS($D$2:$D77,$D77,$B$2:$B77,$B77))</f>
        <v>76</v>
      </c>
      <c r="Z77" s="47" t="n">
        <f aca="false">IF($B77="","",IF(AND(OR(Contacts!$C$3="(All)",$D77=Contacts!$C$3),OR(Contacts!$E$3="(All)",$G77=Contacts!$E$3),OR(Contacts!$G$3="(All)",ISNUMBER(SEARCH(Contacts!$G$3,$V77))),OR(Contacts!$I$3="(All)",$X77=Contacts!$I$3),OR(Contacts!$K$3="",ISNUMBER(SEARCH(Contacts!$K$3,$B77&amp;" "&amp;$C77&amp;" "&amp;$D77&amp;" "&amp;$S77)))),1,0))</f>
        <v>1</v>
      </c>
      <c r="AA77" s="47" t="n">
        <f aca="false">IF($Z77=1,COUNTIFS(c_Pass,1,c_Sort,"&lt;="&amp;$Y77),"")</f>
        <v>76</v>
      </c>
      <c r="AB77" s="47" t="str">
        <f aca="false">IF(OR($G77&lt;&gt;"Yes",NOT(ISNUMBER($H77))),"",COUNTIFS(c_Met,"Yes",c_Date,"&lt;"&amp;$H77)+COUNTIFS($G$2:$G77,"Yes",$H$2:$H77,$H77))</f>
        <v/>
      </c>
    </row>
    <row r="78" customFormat="false" ht="15" hidden="false" customHeight="false" outlineLevel="0" collapsed="false">
      <c r="A78" s="44" t="n">
        <f aca="false">IF($B78="","",COUNTA($B$2:$B78))</f>
        <v>77</v>
      </c>
      <c r="B78" s="11" t="s">
        <v>292</v>
      </c>
      <c r="C78" s="11"/>
      <c r="D78" s="11" t="s">
        <v>39</v>
      </c>
      <c r="E78" s="11" t="s">
        <v>131</v>
      </c>
      <c r="F78" s="11" t="s">
        <v>72</v>
      </c>
      <c r="G78" s="34" t="s">
        <v>132</v>
      </c>
      <c r="H78" s="25"/>
      <c r="I78" s="40" t="n">
        <v>0</v>
      </c>
      <c r="J78" s="34" t="s">
        <v>132</v>
      </c>
      <c r="K78" s="45"/>
      <c r="L78" s="34"/>
      <c r="M78" s="34"/>
      <c r="N78" s="11" t="s">
        <v>133</v>
      </c>
      <c r="O78" s="11" t="s">
        <v>133</v>
      </c>
      <c r="P78" s="11" t="s">
        <v>133</v>
      </c>
      <c r="Q78" s="11" t="s">
        <v>133</v>
      </c>
      <c r="R78" s="11" t="s">
        <v>133</v>
      </c>
      <c r="S78" s="46" t="s">
        <v>293</v>
      </c>
      <c r="T78" s="44" t="n">
        <f aca="false">IF($B78="","",COUNTA($N78:$R78)-COUNTIF($N78:$R78,"Not Invited"))</f>
        <v>0</v>
      </c>
      <c r="U78" s="44" t="n">
        <f aca="false">IF($B78="","",COUNTIF($N78:$R78,"Attended"))</f>
        <v>0</v>
      </c>
      <c r="V78" s="47" t="str">
        <f aca="false">IF($B78="","",_xlfn.TEXTJOIN(", ",TRUE(),IF($N78="Attended",Setup!$D$15,""),IF($O78="Attended",Setup!$D$16,""),IF($P78="Attended",Setup!$D$17,""),IF($Q78="Attended",Setup!$D$18,""),IF($R78="Attended",Setup!$D$19,"")))</f>
        <v/>
      </c>
      <c r="W78" s="48" t="str">
        <f aca="true">IF(OR($B78="",NOT(ISNUMBER($H78))),"",TODAY()-$H78)</f>
        <v/>
      </c>
      <c r="X78" s="47" t="str">
        <f aca="false">IF($B78="","",IF($U78&gt;0,"Event attendee",IF($G78="Yes","Met (no event)",IF($T78&gt;0,"Invited only",IF(OR($L78="Yes",$M78="Yes"),"Contacted only","Not yet contacted")))))</f>
        <v>Not yet contacted</v>
      </c>
      <c r="Y78" s="47" t="n">
        <f aca="false">IF($B78="","",COUNTIF(c_Firm,"&lt;"&amp;$D78)+COUNTIFS(c_Firm,$D78,c_Name,"&lt;"&amp;$B78)+COUNTIFS($D$2:$D78,$D78,$B$2:$B78,$B78))</f>
        <v>77</v>
      </c>
      <c r="Z78" s="47" t="n">
        <f aca="false">IF($B78="","",IF(AND(OR(Contacts!$C$3="(All)",$D78=Contacts!$C$3),OR(Contacts!$E$3="(All)",$G78=Contacts!$E$3),OR(Contacts!$G$3="(All)",ISNUMBER(SEARCH(Contacts!$G$3,$V78))),OR(Contacts!$I$3="(All)",$X78=Contacts!$I$3),OR(Contacts!$K$3="",ISNUMBER(SEARCH(Contacts!$K$3,$B78&amp;" "&amp;$C78&amp;" "&amp;$D78&amp;" "&amp;$S78)))),1,0))</f>
        <v>1</v>
      </c>
      <c r="AA78" s="47" t="n">
        <f aca="false">IF($Z78=1,COUNTIFS(c_Pass,1,c_Sort,"&lt;="&amp;$Y78),"")</f>
        <v>77</v>
      </c>
      <c r="AB78" s="47" t="str">
        <f aca="false">IF(OR($G78&lt;&gt;"Yes",NOT(ISNUMBER($H78))),"",COUNTIFS(c_Met,"Yes",c_Date,"&lt;"&amp;$H78)+COUNTIFS($G$2:$G78,"Yes",$H$2:$H78,$H78))</f>
        <v/>
      </c>
    </row>
    <row r="79" customFormat="false" ht="15" hidden="false" customHeight="false" outlineLevel="0" collapsed="false">
      <c r="A79" s="44" t="n">
        <f aca="false">IF($B79="","",COUNTA($B$2:$B79))</f>
        <v>78</v>
      </c>
      <c r="B79" s="11" t="s">
        <v>294</v>
      </c>
      <c r="C79" s="11" t="s">
        <v>295</v>
      </c>
      <c r="D79" s="11" t="s">
        <v>40</v>
      </c>
      <c r="E79" s="11" t="s">
        <v>131</v>
      </c>
      <c r="F79" s="11" t="s">
        <v>141</v>
      </c>
      <c r="G79" s="34" t="s">
        <v>142</v>
      </c>
      <c r="H79" s="25" t="n">
        <v>45989</v>
      </c>
      <c r="I79" s="40" t="n">
        <v>1</v>
      </c>
      <c r="J79" s="34" t="s">
        <v>132</v>
      </c>
      <c r="K79" s="45"/>
      <c r="L79" s="34"/>
      <c r="M79" s="34"/>
      <c r="N79" s="11" t="s">
        <v>55</v>
      </c>
      <c r="O79" s="11" t="s">
        <v>57</v>
      </c>
      <c r="P79" s="11" t="s">
        <v>133</v>
      </c>
      <c r="Q79" s="11" t="s">
        <v>133</v>
      </c>
      <c r="R79" s="11" t="s">
        <v>133</v>
      </c>
      <c r="S79" s="46" t="s">
        <v>296</v>
      </c>
      <c r="T79" s="44" t="n">
        <f aca="false">IF($B79="","",COUNTA($N79:$R79)-COUNTIF($N79:$R79,"Not Invited"))</f>
        <v>2</v>
      </c>
      <c r="U79" s="44" t="n">
        <f aca="false">IF($B79="","",COUNTIF($N79:$R79,"Attended"))</f>
        <v>1</v>
      </c>
      <c r="V79" s="47" t="str">
        <f aca="false">IF($B79="","",_xlfn.TEXTJOIN(", ",TRUE(),IF($N79="Attended",Setup!$D$15,""),IF($O79="Attended",Setup!$D$16,""),IF($P79="Attended",Setup!$D$17,""),IF($Q79="Attended",Setup!$D$18,""),IF($R79="Attended",Setup!$D$19,"")))</f>
        <v>Oct-25 Symposium</v>
      </c>
      <c r="W79" s="48" t="n">
        <f aca="true">IF(OR($B79="",NOT(ISNUMBER($H79))),"",TODAY()-$H79)</f>
        <v>252</v>
      </c>
      <c r="X79" s="47" t="str">
        <f aca="false">IF($B79="","",IF($U79&gt;0,"Event attendee",IF($G79="Yes","Met (no event)",IF($T79&gt;0,"Invited only",IF(OR($L79="Yes",$M79="Yes"),"Contacted only","Not yet contacted")))))</f>
        <v>Event attendee</v>
      </c>
      <c r="Y79" s="47" t="n">
        <f aca="false">IF($B79="","",COUNTIF(c_Firm,"&lt;"&amp;$D79)+COUNTIFS(c_Firm,$D79,c_Name,"&lt;"&amp;$B79)+COUNTIFS($D$2:$D79,$D79,$B$2:$B79,$B79))</f>
        <v>78</v>
      </c>
      <c r="Z79" s="47" t="n">
        <f aca="false">IF($B79="","",IF(AND(OR(Contacts!$C$3="(All)",$D79=Contacts!$C$3),OR(Contacts!$E$3="(All)",$G79=Contacts!$E$3),OR(Contacts!$G$3="(All)",ISNUMBER(SEARCH(Contacts!$G$3,$V79))),OR(Contacts!$I$3="(All)",$X79=Contacts!$I$3),OR(Contacts!$K$3="",ISNUMBER(SEARCH(Contacts!$K$3,$B79&amp;" "&amp;$C79&amp;" "&amp;$D79&amp;" "&amp;$S79)))),1,0))</f>
        <v>1</v>
      </c>
      <c r="AA79" s="47" t="n">
        <f aca="false">IF($Z79=1,COUNTIFS(c_Pass,1,c_Sort,"&lt;="&amp;$Y79),"")</f>
        <v>78</v>
      </c>
      <c r="AB79" s="47" t="n">
        <f aca="false">IF(OR($G79&lt;&gt;"Yes",NOT(ISNUMBER($H79))),"",COUNTIFS(c_Met,"Yes",c_Date,"&lt;"&amp;$H79)+COUNTIFS($G$2:$G79,"Yes",$H$2:$H79,$H79))</f>
        <v>35</v>
      </c>
    </row>
    <row r="80" customFormat="false" ht="15" hidden="false" customHeight="false" outlineLevel="0" collapsed="false">
      <c r="A80" s="44" t="n">
        <f aca="false">IF($B80="","",COUNTA($B$2:$B80))</f>
        <v>79</v>
      </c>
      <c r="B80" s="11" t="s">
        <v>297</v>
      </c>
      <c r="C80" s="11" t="s">
        <v>298</v>
      </c>
      <c r="D80" s="11" t="s">
        <v>38</v>
      </c>
      <c r="E80" s="11" t="s">
        <v>131</v>
      </c>
      <c r="F80" s="11" t="s">
        <v>141</v>
      </c>
      <c r="G80" s="34" t="s">
        <v>142</v>
      </c>
      <c r="H80" s="25" t="n">
        <v>45412</v>
      </c>
      <c r="I80" s="40" t="n">
        <v>1</v>
      </c>
      <c r="J80" s="34" t="s">
        <v>299</v>
      </c>
      <c r="K80" s="45"/>
      <c r="L80" s="34"/>
      <c r="M80" s="34"/>
      <c r="N80" s="11" t="s">
        <v>57</v>
      </c>
      <c r="O80" s="11" t="s">
        <v>133</v>
      </c>
      <c r="P80" s="11" t="s">
        <v>54</v>
      </c>
      <c r="Q80" s="11" t="s">
        <v>133</v>
      </c>
      <c r="R80" s="11" t="s">
        <v>133</v>
      </c>
      <c r="S80" s="46" t="s">
        <v>178</v>
      </c>
      <c r="T80" s="44" t="n">
        <f aca="false">IF($B80="","",COUNTA($N80:$R80)-COUNTIF($N80:$R80,"Not Invited"))</f>
        <v>2</v>
      </c>
      <c r="U80" s="44" t="n">
        <f aca="false">IF($B80="","",COUNTIF($N80:$R80,"Attended"))</f>
        <v>0</v>
      </c>
      <c r="V80" s="47" t="str">
        <f aca="false">IF($B80="","",_xlfn.TEXTJOIN(", ",TRUE(),IF($N80="Attended",Setup!$D$15,""),IF($O80="Attended",Setup!$D$16,""),IF($P80="Attended",Setup!$D$17,""),IF($Q80="Attended",Setup!$D$18,""),IF($R80="Attended",Setup!$D$19,"")))</f>
        <v/>
      </c>
      <c r="W80" s="48" t="n">
        <f aca="true">IF(OR($B80="",NOT(ISNUMBER($H80))),"",TODAY()-$H80)</f>
        <v>829</v>
      </c>
      <c r="X80" s="47" t="str">
        <f aca="false">IF($B80="","",IF($U80&gt;0,"Event attendee",IF($G80="Yes","Met (no event)",IF($T80&gt;0,"Invited only",IF(OR($L80="Yes",$M80="Yes"),"Contacted only","Not yet contacted")))))</f>
        <v>Met (no event)</v>
      </c>
      <c r="Y80" s="47" t="n">
        <f aca="false">IF($B80="","",COUNTIF(c_Firm,"&lt;"&amp;$D80)+COUNTIFS(c_Firm,$D80,c_Name,"&lt;"&amp;$B80)+COUNTIFS($D$2:$D80,$D80,$B$2:$B80,$B80))</f>
        <v>79</v>
      </c>
      <c r="Z80" s="47" t="n">
        <f aca="false">IF($B80="","",IF(AND(OR(Contacts!$C$3="(All)",$D80=Contacts!$C$3),OR(Contacts!$E$3="(All)",$G80=Contacts!$E$3),OR(Contacts!$G$3="(All)",ISNUMBER(SEARCH(Contacts!$G$3,$V80))),OR(Contacts!$I$3="(All)",$X80=Contacts!$I$3),OR(Contacts!$K$3="",ISNUMBER(SEARCH(Contacts!$K$3,$B80&amp;" "&amp;$C80&amp;" "&amp;$D80&amp;" "&amp;$S80)))),1,0))</f>
        <v>1</v>
      </c>
      <c r="AA80" s="47" t="n">
        <f aca="false">IF($Z80=1,COUNTIFS(c_Pass,1,c_Sort,"&lt;="&amp;$Y80),"")</f>
        <v>79</v>
      </c>
      <c r="AB80" s="47" t="n">
        <f aca="false">IF(OR($G80&lt;&gt;"Yes",NOT(ISNUMBER($H80))),"",COUNTIFS(c_Met,"Yes",c_Date,"&lt;"&amp;$H80)+COUNTIFS($G$2:$G80,"Yes",$H$2:$H80,$H80))</f>
        <v>1</v>
      </c>
    </row>
    <row r="81" customFormat="false" ht="15" hidden="false" customHeight="false" outlineLevel="0" collapsed="false">
      <c r="A81" s="44" t="n">
        <f aca="false">IF($B81="","",COUNTA($B$2:$B81))</f>
        <v>80</v>
      </c>
      <c r="B81" s="11" t="s">
        <v>300</v>
      </c>
      <c r="C81" s="11" t="s">
        <v>301</v>
      </c>
      <c r="D81" s="11" t="s">
        <v>38</v>
      </c>
      <c r="E81" s="11" t="s">
        <v>131</v>
      </c>
      <c r="F81" s="11" t="s">
        <v>141</v>
      </c>
      <c r="G81" s="34" t="s">
        <v>142</v>
      </c>
      <c r="H81" s="25" t="n">
        <v>45412</v>
      </c>
      <c r="I81" s="40" t="n">
        <v>1</v>
      </c>
      <c r="J81" s="34" t="s">
        <v>299</v>
      </c>
      <c r="K81" s="45"/>
      <c r="L81" s="34"/>
      <c r="M81" s="34"/>
      <c r="N81" s="11" t="s">
        <v>57</v>
      </c>
      <c r="O81" s="11" t="s">
        <v>133</v>
      </c>
      <c r="P81" s="11" t="s">
        <v>54</v>
      </c>
      <c r="Q81" s="11" t="s">
        <v>133</v>
      </c>
      <c r="R81" s="11" t="s">
        <v>133</v>
      </c>
      <c r="S81" s="46" t="s">
        <v>178</v>
      </c>
      <c r="T81" s="44" t="n">
        <f aca="false">IF($B81="","",COUNTA($N81:$R81)-COUNTIF($N81:$R81,"Not Invited"))</f>
        <v>2</v>
      </c>
      <c r="U81" s="44" t="n">
        <f aca="false">IF($B81="","",COUNTIF($N81:$R81,"Attended"))</f>
        <v>0</v>
      </c>
      <c r="V81" s="47" t="str">
        <f aca="false">IF($B81="","",_xlfn.TEXTJOIN(", ",TRUE(),IF($N81="Attended",Setup!$D$15,""),IF($O81="Attended",Setup!$D$16,""),IF($P81="Attended",Setup!$D$17,""),IF($Q81="Attended",Setup!$D$18,""),IF($R81="Attended",Setup!$D$19,"")))</f>
        <v/>
      </c>
      <c r="W81" s="48" t="n">
        <f aca="true">IF(OR($B81="",NOT(ISNUMBER($H81))),"",TODAY()-$H81)</f>
        <v>829</v>
      </c>
      <c r="X81" s="47" t="str">
        <f aca="false">IF($B81="","",IF($U81&gt;0,"Event attendee",IF($G81="Yes","Met (no event)",IF($T81&gt;0,"Invited only",IF(OR($L81="Yes",$M81="Yes"),"Contacted only","Not yet contacted")))))</f>
        <v>Met (no event)</v>
      </c>
      <c r="Y81" s="47" t="n">
        <f aca="false">IF($B81="","",COUNTIF(c_Firm,"&lt;"&amp;$D81)+COUNTIFS(c_Firm,$D81,c_Name,"&lt;"&amp;$B81)+COUNTIFS($D$2:$D81,$D81,$B$2:$B81,$B81))</f>
        <v>80</v>
      </c>
      <c r="Z81" s="47" t="n">
        <f aca="false">IF($B81="","",IF(AND(OR(Contacts!$C$3="(All)",$D81=Contacts!$C$3),OR(Contacts!$E$3="(All)",$G81=Contacts!$E$3),OR(Contacts!$G$3="(All)",ISNUMBER(SEARCH(Contacts!$G$3,$V81))),OR(Contacts!$I$3="(All)",$X81=Contacts!$I$3),OR(Contacts!$K$3="",ISNUMBER(SEARCH(Contacts!$K$3,$B81&amp;" "&amp;$C81&amp;" "&amp;$D81&amp;" "&amp;$S81)))),1,0))</f>
        <v>1</v>
      </c>
      <c r="AA81" s="47" t="n">
        <f aca="false">IF($Z81=1,COUNTIFS(c_Pass,1,c_Sort,"&lt;="&amp;$Y81),"")</f>
        <v>80</v>
      </c>
      <c r="AB81" s="47" t="n">
        <f aca="false">IF(OR($G81&lt;&gt;"Yes",NOT(ISNUMBER($H81))),"",COUNTIFS(c_Met,"Yes",c_Date,"&lt;"&amp;$H81)+COUNTIFS($G$2:$G81,"Yes",$H$2:$H81,$H81))</f>
        <v>2</v>
      </c>
    </row>
    <row r="82" customFormat="false" ht="15" hidden="false" customHeight="false" outlineLevel="0" collapsed="false">
      <c r="A82" s="44" t="n">
        <f aca="false">IF($B82="","",COUNTA($B$2:$B82))</f>
        <v>81</v>
      </c>
      <c r="B82" s="11" t="s">
        <v>302</v>
      </c>
      <c r="C82" s="11" t="s">
        <v>303</v>
      </c>
      <c r="D82" s="11" t="s">
        <v>41</v>
      </c>
      <c r="E82" s="11" t="s">
        <v>131</v>
      </c>
      <c r="F82" s="11" t="s">
        <v>66</v>
      </c>
      <c r="G82" s="34" t="s">
        <v>132</v>
      </c>
      <c r="H82" s="25"/>
      <c r="I82" s="40" t="n">
        <v>0</v>
      </c>
      <c r="J82" s="34" t="s">
        <v>132</v>
      </c>
      <c r="K82" s="45"/>
      <c r="L82" s="34"/>
      <c r="M82" s="34"/>
      <c r="N82" s="11" t="s">
        <v>133</v>
      </c>
      <c r="O82" s="11" t="s">
        <v>55</v>
      </c>
      <c r="P82" s="11" t="s">
        <v>133</v>
      </c>
      <c r="Q82" s="11" t="s">
        <v>133</v>
      </c>
      <c r="R82" s="11" t="s">
        <v>133</v>
      </c>
      <c r="S82" s="46"/>
      <c r="T82" s="44" t="n">
        <f aca="false">IF($B82="","",COUNTA($N82:$R82)-COUNTIF($N82:$R82,"Not Invited"))</f>
        <v>1</v>
      </c>
      <c r="U82" s="44" t="n">
        <f aca="false">IF($B82="","",COUNTIF($N82:$R82,"Attended"))</f>
        <v>1</v>
      </c>
      <c r="V82" s="47" t="str">
        <f aca="false">IF($B82="","",_xlfn.TEXTJOIN(", ",TRUE(),IF($N82="Attended",Setup!$D$15,""),IF($O82="Attended",Setup!$D$16,""),IF($P82="Attended",Setup!$D$17,""),IF($Q82="Attended",Setup!$D$18,""),IF($R82="Attended",Setup!$D$19,"")))</f>
        <v>May-26 Symposium</v>
      </c>
      <c r="W82" s="48" t="str">
        <f aca="true">IF(OR($B82="",NOT(ISNUMBER($H82))),"",TODAY()-$H82)</f>
        <v/>
      </c>
      <c r="X82" s="47" t="str">
        <f aca="false">IF($B82="","",IF($U82&gt;0,"Event attendee",IF($G82="Yes","Met (no event)",IF($T82&gt;0,"Invited only",IF(OR($L82="Yes",$M82="Yes"),"Contacted only","Not yet contacted")))))</f>
        <v>Event attendee</v>
      </c>
      <c r="Y82" s="47" t="n">
        <f aca="false">IF($B82="","",COUNTIF(c_Firm,"&lt;"&amp;$D82)+COUNTIFS(c_Firm,$D82,c_Name,"&lt;"&amp;$B82)+COUNTIFS($D$2:$D82,$D82,$B$2:$B82,$B82))</f>
        <v>81</v>
      </c>
      <c r="Z82" s="47" t="n">
        <f aca="false">IF($B82="","",IF(AND(OR(Contacts!$C$3="(All)",$D82=Contacts!$C$3),OR(Contacts!$E$3="(All)",$G82=Contacts!$E$3),OR(Contacts!$G$3="(All)",ISNUMBER(SEARCH(Contacts!$G$3,$V82))),OR(Contacts!$I$3="(All)",$X82=Contacts!$I$3),OR(Contacts!$K$3="",ISNUMBER(SEARCH(Contacts!$K$3,$B82&amp;" "&amp;$C82&amp;" "&amp;$D82&amp;" "&amp;$S82)))),1,0))</f>
        <v>1</v>
      </c>
      <c r="AA82" s="47" t="n">
        <f aca="false">IF($Z82=1,COUNTIFS(c_Pass,1,c_Sort,"&lt;="&amp;$Y82),"")</f>
        <v>81</v>
      </c>
      <c r="AB82" s="47" t="str">
        <f aca="false">IF(OR($G82&lt;&gt;"Yes",NOT(ISNUMBER($H82))),"",COUNTIFS(c_Met,"Yes",c_Date,"&lt;"&amp;$H82)+COUNTIFS($G$2:$G82,"Yes",$H$2:$H82,$H82))</f>
        <v/>
      </c>
    </row>
    <row r="83" customFormat="false" ht="15" hidden="false" customHeight="false" outlineLevel="0" collapsed="false">
      <c r="A83" s="44" t="n">
        <f aca="false">IF($B83="","",COUNTA($B$2:$B83))</f>
        <v>82</v>
      </c>
      <c r="B83" s="11" t="s">
        <v>304</v>
      </c>
      <c r="C83" s="11" t="s">
        <v>305</v>
      </c>
      <c r="D83" s="11" t="s">
        <v>42</v>
      </c>
      <c r="E83" s="11" t="s">
        <v>131</v>
      </c>
      <c r="F83" s="11" t="s">
        <v>141</v>
      </c>
      <c r="G83" s="34" t="s">
        <v>142</v>
      </c>
      <c r="H83" s="25" t="n">
        <v>46062</v>
      </c>
      <c r="I83" s="40" t="n">
        <v>1</v>
      </c>
      <c r="J83" s="34" t="s">
        <v>132</v>
      </c>
      <c r="K83" s="45" t="n">
        <v>5000000</v>
      </c>
      <c r="L83" s="34"/>
      <c r="M83" s="34"/>
      <c r="N83" s="11" t="s">
        <v>143</v>
      </c>
      <c r="O83" s="11" t="s">
        <v>57</v>
      </c>
      <c r="P83" s="11" t="s">
        <v>133</v>
      </c>
      <c r="Q83" s="11" t="s">
        <v>133</v>
      </c>
      <c r="R83" s="11" t="s">
        <v>133</v>
      </c>
      <c r="S83" s="46" t="s">
        <v>146</v>
      </c>
      <c r="T83" s="44" t="n">
        <f aca="false">IF($B83="","",COUNTA($N83:$R83)-COUNTIF($N83:$R83,"Not Invited"))</f>
        <v>2</v>
      </c>
      <c r="U83" s="44" t="n">
        <f aca="false">IF($B83="","",COUNTIF($N83:$R83,"Attended"))</f>
        <v>0</v>
      </c>
      <c r="V83" s="47" t="str">
        <f aca="false">IF($B83="","",_xlfn.TEXTJOIN(", ",TRUE(),IF($N83="Attended",Setup!$D$15,""),IF($O83="Attended",Setup!$D$16,""),IF($P83="Attended",Setup!$D$17,""),IF($Q83="Attended",Setup!$D$18,""),IF($R83="Attended",Setup!$D$19,"")))</f>
        <v/>
      </c>
      <c r="W83" s="48" t="n">
        <f aca="true">IF(OR($B83="",NOT(ISNUMBER($H83))),"",TODAY()-$H83)</f>
        <v>179</v>
      </c>
      <c r="X83" s="47" t="str">
        <f aca="false">IF($B83="","",IF($U83&gt;0,"Event attendee",IF($G83="Yes","Met (no event)",IF($T83&gt;0,"Invited only",IF(OR($L83="Yes",$M83="Yes"),"Contacted only","Not yet contacted")))))</f>
        <v>Met (no event)</v>
      </c>
      <c r="Y83" s="47" t="n">
        <f aca="false">IF($B83="","",COUNTIF(c_Firm,"&lt;"&amp;$D83)+COUNTIFS(c_Firm,$D83,c_Name,"&lt;"&amp;$B83)+COUNTIFS($D$2:$D83,$D83,$B$2:$B83,$B83))</f>
        <v>82</v>
      </c>
      <c r="Z83" s="47" t="n">
        <f aca="false">IF($B83="","",IF(AND(OR(Contacts!$C$3="(All)",$D83=Contacts!$C$3),OR(Contacts!$E$3="(All)",$G83=Contacts!$E$3),OR(Contacts!$G$3="(All)",ISNUMBER(SEARCH(Contacts!$G$3,$V83))),OR(Contacts!$I$3="(All)",$X83=Contacts!$I$3),OR(Contacts!$K$3="",ISNUMBER(SEARCH(Contacts!$K$3,$B83&amp;" "&amp;$C83&amp;" "&amp;$D83&amp;" "&amp;$S83)))),1,0))</f>
        <v>1</v>
      </c>
      <c r="AA83" s="47" t="n">
        <f aca="false">IF($Z83=1,COUNTIFS(c_Pass,1,c_Sort,"&lt;="&amp;$Y83),"")</f>
        <v>82</v>
      </c>
      <c r="AB83" s="47" t="n">
        <f aca="false">IF(OR($G83&lt;&gt;"Yes",NOT(ISNUMBER($H83))),"",COUNTIFS(c_Met,"Yes",c_Date,"&lt;"&amp;$H83)+COUNTIFS($G$2:$G83,"Yes",$H$2:$H83,$H83))</f>
        <v>45</v>
      </c>
    </row>
    <row r="84" customFormat="false" ht="15" hidden="false" customHeight="false" outlineLevel="0" collapsed="false">
      <c r="A84" s="44" t="n">
        <f aca="false">IF($B84="","",COUNTA($B$2:$B84))</f>
        <v>83</v>
      </c>
      <c r="B84" s="11" t="s">
        <v>306</v>
      </c>
      <c r="C84" s="11" t="s">
        <v>307</v>
      </c>
      <c r="D84" s="11" t="s">
        <v>30</v>
      </c>
      <c r="E84" s="11" t="s">
        <v>131</v>
      </c>
      <c r="F84" s="11" t="s">
        <v>141</v>
      </c>
      <c r="G84" s="34" t="s">
        <v>132</v>
      </c>
      <c r="H84" s="25"/>
      <c r="I84" s="40" t="n">
        <v>0</v>
      </c>
      <c r="J84" s="34" t="s">
        <v>132</v>
      </c>
      <c r="K84" s="45" t="n">
        <v>18000000</v>
      </c>
      <c r="L84" s="34"/>
      <c r="M84" s="34"/>
      <c r="N84" s="11" t="s">
        <v>55</v>
      </c>
      <c r="O84" s="11" t="s">
        <v>57</v>
      </c>
      <c r="P84" s="11" t="s">
        <v>133</v>
      </c>
      <c r="Q84" s="11" t="s">
        <v>133</v>
      </c>
      <c r="R84" s="11" t="s">
        <v>133</v>
      </c>
      <c r="S84" s="46" t="s">
        <v>146</v>
      </c>
      <c r="T84" s="44" t="n">
        <f aca="false">IF($B84="","",COUNTA($N84:$R84)-COUNTIF($N84:$R84,"Not Invited"))</f>
        <v>2</v>
      </c>
      <c r="U84" s="44" t="n">
        <f aca="false">IF($B84="","",COUNTIF($N84:$R84,"Attended"))</f>
        <v>1</v>
      </c>
      <c r="V84" s="47" t="str">
        <f aca="false">IF($B84="","",_xlfn.TEXTJOIN(", ",TRUE(),IF($N84="Attended",Setup!$D$15,""),IF($O84="Attended",Setup!$D$16,""),IF($P84="Attended",Setup!$D$17,""),IF($Q84="Attended",Setup!$D$18,""),IF($R84="Attended",Setup!$D$19,"")))</f>
        <v>Oct-25 Symposium</v>
      </c>
      <c r="W84" s="48" t="str">
        <f aca="true">IF(OR($B84="",NOT(ISNUMBER($H84))),"",TODAY()-$H84)</f>
        <v/>
      </c>
      <c r="X84" s="47" t="str">
        <f aca="false">IF($B84="","",IF($U84&gt;0,"Event attendee",IF($G84="Yes","Met (no event)",IF($T84&gt;0,"Invited only",IF(OR($L84="Yes",$M84="Yes"),"Contacted only","Not yet contacted")))))</f>
        <v>Event attendee</v>
      </c>
      <c r="Y84" s="47" t="n">
        <f aca="false">IF($B84="","",COUNTIF(c_Firm,"&lt;"&amp;$D84)+COUNTIFS(c_Firm,$D84,c_Name,"&lt;"&amp;$B84)+COUNTIFS($D$2:$D84,$D84,$B$2:$B84,$B84))</f>
        <v>83</v>
      </c>
      <c r="Z84" s="47" t="n">
        <f aca="false">IF($B84="","",IF(AND(OR(Contacts!$C$3="(All)",$D84=Contacts!$C$3),OR(Contacts!$E$3="(All)",$G84=Contacts!$E$3),OR(Contacts!$G$3="(All)",ISNUMBER(SEARCH(Contacts!$G$3,$V84))),OR(Contacts!$I$3="(All)",$X84=Contacts!$I$3),OR(Contacts!$K$3="",ISNUMBER(SEARCH(Contacts!$K$3,$B84&amp;" "&amp;$C84&amp;" "&amp;$D84&amp;" "&amp;$S84)))),1,0))</f>
        <v>1</v>
      </c>
      <c r="AA84" s="47" t="n">
        <f aca="false">IF($Z84=1,COUNTIFS(c_Pass,1,c_Sort,"&lt;="&amp;$Y84),"")</f>
        <v>83</v>
      </c>
      <c r="AB84" s="47" t="str">
        <f aca="false">IF(OR($G84&lt;&gt;"Yes",NOT(ISNUMBER($H84))),"",COUNTIFS(c_Met,"Yes",c_Date,"&lt;"&amp;$H84)+COUNTIFS($G$2:$G84,"Yes",$H$2:$H84,$H84))</f>
        <v/>
      </c>
    </row>
    <row r="85" customFormat="false" ht="15" hidden="false" customHeight="false" outlineLevel="0" collapsed="false">
      <c r="A85" s="44" t="n">
        <f aca="false">IF($B85="","",COUNTA($B$2:$B85))</f>
        <v>84</v>
      </c>
      <c r="B85" s="11" t="s">
        <v>308</v>
      </c>
      <c r="C85" s="11"/>
      <c r="D85" s="11" t="s">
        <v>30</v>
      </c>
      <c r="E85" s="11" t="s">
        <v>193</v>
      </c>
      <c r="F85" s="11" t="s">
        <v>68</v>
      </c>
      <c r="G85" s="34" t="s">
        <v>132</v>
      </c>
      <c r="H85" s="25"/>
      <c r="I85" s="40" t="n">
        <v>0</v>
      </c>
      <c r="J85" s="34" t="s">
        <v>132</v>
      </c>
      <c r="K85" s="45"/>
      <c r="L85" s="34"/>
      <c r="M85" s="34"/>
      <c r="N85" s="11" t="s">
        <v>133</v>
      </c>
      <c r="O85" s="11" t="s">
        <v>133</v>
      </c>
      <c r="P85" s="11" t="s">
        <v>133</v>
      </c>
      <c r="Q85" s="11" t="s">
        <v>133</v>
      </c>
      <c r="R85" s="11" t="s">
        <v>133</v>
      </c>
      <c r="S85" s="46"/>
      <c r="T85" s="44" t="n">
        <f aca="false">IF($B85="","",COUNTA($N85:$R85)-COUNTIF($N85:$R85,"Not Invited"))</f>
        <v>0</v>
      </c>
      <c r="U85" s="44" t="n">
        <f aca="false">IF($B85="","",COUNTIF($N85:$R85,"Attended"))</f>
        <v>0</v>
      </c>
      <c r="V85" s="47" t="str">
        <f aca="false">IF($B85="","",_xlfn.TEXTJOIN(", ",TRUE(),IF($N85="Attended",Setup!$D$15,""),IF($O85="Attended",Setup!$D$16,""),IF($P85="Attended",Setup!$D$17,""),IF($Q85="Attended",Setup!$D$18,""),IF($R85="Attended",Setup!$D$19,"")))</f>
        <v/>
      </c>
      <c r="W85" s="48" t="str">
        <f aca="true">IF(OR($B85="",NOT(ISNUMBER($H85))),"",TODAY()-$H85)</f>
        <v/>
      </c>
      <c r="X85" s="47" t="str">
        <f aca="false">IF($B85="","",IF($U85&gt;0,"Event attendee",IF($G85="Yes","Met (no event)",IF($T85&gt;0,"Invited only",IF(OR($L85="Yes",$M85="Yes"),"Contacted only","Not yet contacted")))))</f>
        <v>Not yet contacted</v>
      </c>
      <c r="Y85" s="47" t="n">
        <f aca="false">IF($B85="","",COUNTIF(c_Firm,"&lt;"&amp;$D85)+COUNTIFS(c_Firm,$D85,c_Name,"&lt;"&amp;$B85)+COUNTIFS($D$2:$D85,$D85,$B$2:$B85,$B85))</f>
        <v>84</v>
      </c>
      <c r="Z85" s="47" t="n">
        <f aca="false">IF($B85="","",IF(AND(OR(Contacts!$C$3="(All)",$D85=Contacts!$C$3),OR(Contacts!$E$3="(All)",$G85=Contacts!$E$3),OR(Contacts!$G$3="(All)",ISNUMBER(SEARCH(Contacts!$G$3,$V85))),OR(Contacts!$I$3="(All)",$X85=Contacts!$I$3),OR(Contacts!$K$3="",ISNUMBER(SEARCH(Contacts!$K$3,$B85&amp;" "&amp;$C85&amp;" "&amp;$D85&amp;" "&amp;$S85)))),1,0))</f>
        <v>1</v>
      </c>
      <c r="AA85" s="47" t="n">
        <f aca="false">IF($Z85=1,COUNTIFS(c_Pass,1,c_Sort,"&lt;="&amp;$Y85),"")</f>
        <v>84</v>
      </c>
      <c r="AB85" s="47" t="str">
        <f aca="false">IF(OR($G85&lt;&gt;"Yes",NOT(ISNUMBER($H85))),"",COUNTIFS(c_Met,"Yes",c_Date,"&lt;"&amp;$H85)+COUNTIFS($G$2:$G85,"Yes",$H$2:$H85,$H85))</f>
        <v/>
      </c>
    </row>
    <row r="86" customFormat="false" ht="15" hidden="false" customHeight="false" outlineLevel="0" collapsed="false">
      <c r="A86" s="44" t="n">
        <f aca="false">IF($B86="","",COUNTA($B$2:$B86))</f>
        <v>85</v>
      </c>
      <c r="B86" s="11" t="s">
        <v>309</v>
      </c>
      <c r="C86" s="11"/>
      <c r="D86" s="11" t="s">
        <v>30</v>
      </c>
      <c r="E86" s="11" t="s">
        <v>193</v>
      </c>
      <c r="F86" s="11" t="s">
        <v>68</v>
      </c>
      <c r="G86" s="34" t="s">
        <v>132</v>
      </c>
      <c r="H86" s="25"/>
      <c r="I86" s="40" t="n">
        <v>0</v>
      </c>
      <c r="J86" s="34" t="s">
        <v>132</v>
      </c>
      <c r="K86" s="45"/>
      <c r="L86" s="34"/>
      <c r="M86" s="34"/>
      <c r="N86" s="11" t="s">
        <v>133</v>
      </c>
      <c r="O86" s="11" t="s">
        <v>133</v>
      </c>
      <c r="P86" s="11" t="s">
        <v>133</v>
      </c>
      <c r="Q86" s="11" t="s">
        <v>133</v>
      </c>
      <c r="R86" s="11" t="s">
        <v>133</v>
      </c>
      <c r="S86" s="46"/>
      <c r="T86" s="44" t="n">
        <f aca="false">IF($B86="","",COUNTA($N86:$R86)-COUNTIF($N86:$R86,"Not Invited"))</f>
        <v>0</v>
      </c>
      <c r="U86" s="44" t="n">
        <f aca="false">IF($B86="","",COUNTIF($N86:$R86,"Attended"))</f>
        <v>0</v>
      </c>
      <c r="V86" s="47" t="str">
        <f aca="false">IF($B86="","",_xlfn.TEXTJOIN(", ",TRUE(),IF($N86="Attended",Setup!$D$15,""),IF($O86="Attended",Setup!$D$16,""),IF($P86="Attended",Setup!$D$17,""),IF($Q86="Attended",Setup!$D$18,""),IF($R86="Attended",Setup!$D$19,"")))</f>
        <v/>
      </c>
      <c r="W86" s="48" t="str">
        <f aca="true">IF(OR($B86="",NOT(ISNUMBER($H86))),"",TODAY()-$H86)</f>
        <v/>
      </c>
      <c r="X86" s="47" t="str">
        <f aca="false">IF($B86="","",IF($U86&gt;0,"Event attendee",IF($G86="Yes","Met (no event)",IF($T86&gt;0,"Invited only",IF(OR($L86="Yes",$M86="Yes"),"Contacted only","Not yet contacted")))))</f>
        <v>Not yet contacted</v>
      </c>
      <c r="Y86" s="47" t="n">
        <f aca="false">IF($B86="","",COUNTIF(c_Firm,"&lt;"&amp;$D86)+COUNTIFS(c_Firm,$D86,c_Name,"&lt;"&amp;$B86)+COUNTIFS($D$2:$D86,$D86,$B$2:$B86,$B86))</f>
        <v>85</v>
      </c>
      <c r="Z86" s="47" t="n">
        <f aca="false">IF($B86="","",IF(AND(OR(Contacts!$C$3="(All)",$D86=Contacts!$C$3),OR(Contacts!$E$3="(All)",$G86=Contacts!$E$3),OR(Contacts!$G$3="(All)",ISNUMBER(SEARCH(Contacts!$G$3,$V86))),OR(Contacts!$I$3="(All)",$X86=Contacts!$I$3),OR(Contacts!$K$3="",ISNUMBER(SEARCH(Contacts!$K$3,$B86&amp;" "&amp;$C86&amp;" "&amp;$D86&amp;" "&amp;$S86)))),1,0))</f>
        <v>1</v>
      </c>
      <c r="AA86" s="47" t="n">
        <f aca="false">IF($Z86=1,COUNTIFS(c_Pass,1,c_Sort,"&lt;="&amp;$Y86),"")</f>
        <v>85</v>
      </c>
      <c r="AB86" s="47" t="str">
        <f aca="false">IF(OR($G86&lt;&gt;"Yes",NOT(ISNUMBER($H86))),"",COUNTIFS(c_Met,"Yes",c_Date,"&lt;"&amp;$H86)+COUNTIFS($G$2:$G86,"Yes",$H$2:$H86,$H86))</f>
        <v/>
      </c>
    </row>
    <row r="87" customFormat="false" ht="15" hidden="false" customHeight="false" outlineLevel="0" collapsed="false">
      <c r="A87" s="44" t="n">
        <f aca="false">IF($B87="","",COUNTA($B$2:$B87))</f>
        <v>86</v>
      </c>
      <c r="B87" s="11" t="s">
        <v>310</v>
      </c>
      <c r="C87" s="11"/>
      <c r="D87" s="11" t="s">
        <v>30</v>
      </c>
      <c r="E87" s="11" t="s">
        <v>311</v>
      </c>
      <c r="F87" s="11" t="s">
        <v>68</v>
      </c>
      <c r="G87" s="34" t="s">
        <v>132</v>
      </c>
      <c r="H87" s="25"/>
      <c r="I87" s="40" t="n">
        <v>0</v>
      </c>
      <c r="J87" s="34" t="s">
        <v>132</v>
      </c>
      <c r="K87" s="45"/>
      <c r="L87" s="34"/>
      <c r="M87" s="34"/>
      <c r="N87" s="11" t="s">
        <v>133</v>
      </c>
      <c r="O87" s="11" t="s">
        <v>133</v>
      </c>
      <c r="P87" s="11" t="s">
        <v>133</v>
      </c>
      <c r="Q87" s="11" t="s">
        <v>133</v>
      </c>
      <c r="R87" s="11" t="s">
        <v>133</v>
      </c>
      <c r="S87" s="46" t="s">
        <v>312</v>
      </c>
      <c r="T87" s="44" t="n">
        <f aca="false">IF($B87="","",COUNTA($N87:$R87)-COUNTIF($N87:$R87,"Not Invited"))</f>
        <v>0</v>
      </c>
      <c r="U87" s="44" t="n">
        <f aca="false">IF($B87="","",COUNTIF($N87:$R87,"Attended"))</f>
        <v>0</v>
      </c>
      <c r="V87" s="47" t="str">
        <f aca="false">IF($B87="","",_xlfn.TEXTJOIN(", ",TRUE(),IF($N87="Attended",Setup!$D$15,""),IF($O87="Attended",Setup!$D$16,""),IF($P87="Attended",Setup!$D$17,""),IF($Q87="Attended",Setup!$D$18,""),IF($R87="Attended",Setup!$D$19,"")))</f>
        <v/>
      </c>
      <c r="W87" s="48" t="str">
        <f aca="true">IF(OR($B87="",NOT(ISNUMBER($H87))),"",TODAY()-$H87)</f>
        <v/>
      </c>
      <c r="X87" s="47" t="str">
        <f aca="false">IF($B87="","",IF($U87&gt;0,"Event attendee",IF($G87="Yes","Met (no event)",IF($T87&gt;0,"Invited only",IF(OR($L87="Yes",$M87="Yes"),"Contacted only","Not yet contacted")))))</f>
        <v>Not yet contacted</v>
      </c>
      <c r="Y87" s="47" t="n">
        <f aca="false">IF($B87="","",COUNTIF(c_Firm,"&lt;"&amp;$D87)+COUNTIFS(c_Firm,$D87,c_Name,"&lt;"&amp;$B87)+COUNTIFS($D$2:$D87,$D87,$B$2:$B87,$B87))</f>
        <v>86</v>
      </c>
      <c r="Z87" s="47" t="n">
        <f aca="false">IF($B87="","",IF(AND(OR(Contacts!$C$3="(All)",$D87=Contacts!$C$3),OR(Contacts!$E$3="(All)",$G87=Contacts!$E$3),OR(Contacts!$G$3="(All)",ISNUMBER(SEARCH(Contacts!$G$3,$V87))),OR(Contacts!$I$3="(All)",$X87=Contacts!$I$3),OR(Contacts!$K$3="",ISNUMBER(SEARCH(Contacts!$K$3,$B87&amp;" "&amp;$C87&amp;" "&amp;$D87&amp;" "&amp;$S87)))),1,0))</f>
        <v>1</v>
      </c>
      <c r="AA87" s="47" t="n">
        <f aca="false">IF($Z87=1,COUNTIFS(c_Pass,1,c_Sort,"&lt;="&amp;$Y87),"")</f>
        <v>86</v>
      </c>
      <c r="AB87" s="47" t="str">
        <f aca="false">IF(OR($G87&lt;&gt;"Yes",NOT(ISNUMBER($H87))),"",COUNTIFS(c_Met,"Yes",c_Date,"&lt;"&amp;$H87)+COUNTIFS($G$2:$G87,"Yes",$H$2:$H87,$H87))</f>
        <v/>
      </c>
    </row>
    <row r="88" customFormat="false" ht="15" hidden="false" customHeight="false" outlineLevel="0" collapsed="false">
      <c r="A88" s="44" t="n">
        <f aca="false">IF($B88="","",COUNTA($B$2:$B88))</f>
        <v>87</v>
      </c>
      <c r="B88" s="11" t="s">
        <v>313</v>
      </c>
      <c r="C88" s="11"/>
      <c r="D88" s="11" t="s">
        <v>30</v>
      </c>
      <c r="E88" s="11" t="s">
        <v>193</v>
      </c>
      <c r="F88" s="11" t="s">
        <v>68</v>
      </c>
      <c r="G88" s="34" t="s">
        <v>132</v>
      </c>
      <c r="H88" s="25"/>
      <c r="I88" s="40" t="n">
        <v>0</v>
      </c>
      <c r="J88" s="34" t="s">
        <v>132</v>
      </c>
      <c r="K88" s="45"/>
      <c r="L88" s="34"/>
      <c r="M88" s="34"/>
      <c r="N88" s="11" t="s">
        <v>133</v>
      </c>
      <c r="O88" s="11" t="s">
        <v>133</v>
      </c>
      <c r="P88" s="11" t="s">
        <v>133</v>
      </c>
      <c r="Q88" s="11" t="s">
        <v>133</v>
      </c>
      <c r="R88" s="11" t="s">
        <v>133</v>
      </c>
      <c r="S88" s="46"/>
      <c r="T88" s="44" t="n">
        <f aca="false">IF($B88="","",COUNTA($N88:$R88)-COUNTIF($N88:$R88,"Not Invited"))</f>
        <v>0</v>
      </c>
      <c r="U88" s="44" t="n">
        <f aca="false">IF($B88="","",COUNTIF($N88:$R88,"Attended"))</f>
        <v>0</v>
      </c>
      <c r="V88" s="47" t="str">
        <f aca="false">IF($B88="","",_xlfn.TEXTJOIN(", ",TRUE(),IF($N88="Attended",Setup!$D$15,""),IF($O88="Attended",Setup!$D$16,""),IF($P88="Attended",Setup!$D$17,""),IF($Q88="Attended",Setup!$D$18,""),IF($R88="Attended",Setup!$D$19,"")))</f>
        <v/>
      </c>
      <c r="W88" s="48" t="str">
        <f aca="true">IF(OR($B88="",NOT(ISNUMBER($H88))),"",TODAY()-$H88)</f>
        <v/>
      </c>
      <c r="X88" s="47" t="str">
        <f aca="false">IF($B88="","",IF($U88&gt;0,"Event attendee",IF($G88="Yes","Met (no event)",IF($T88&gt;0,"Invited only",IF(OR($L88="Yes",$M88="Yes"),"Contacted only","Not yet contacted")))))</f>
        <v>Not yet contacted</v>
      </c>
      <c r="Y88" s="47" t="n">
        <f aca="false">IF($B88="","",COUNTIF(c_Firm,"&lt;"&amp;$D88)+COUNTIFS(c_Firm,$D88,c_Name,"&lt;"&amp;$B88)+COUNTIFS($D$2:$D88,$D88,$B$2:$B88,$B88))</f>
        <v>87</v>
      </c>
      <c r="Z88" s="47" t="n">
        <f aca="false">IF($B88="","",IF(AND(OR(Contacts!$C$3="(All)",$D88=Contacts!$C$3),OR(Contacts!$E$3="(All)",$G88=Contacts!$E$3),OR(Contacts!$G$3="(All)",ISNUMBER(SEARCH(Contacts!$G$3,$V88))),OR(Contacts!$I$3="(All)",$X88=Contacts!$I$3),OR(Contacts!$K$3="",ISNUMBER(SEARCH(Contacts!$K$3,$B88&amp;" "&amp;$C88&amp;" "&amp;$D88&amp;" "&amp;$S88)))),1,0))</f>
        <v>1</v>
      </c>
      <c r="AA88" s="47" t="n">
        <f aca="false">IF($Z88=1,COUNTIFS(c_Pass,1,c_Sort,"&lt;="&amp;$Y88),"")</f>
        <v>87</v>
      </c>
      <c r="AB88" s="47" t="str">
        <f aca="false">IF(OR($G88&lt;&gt;"Yes",NOT(ISNUMBER($H88))),"",COUNTIFS(c_Met,"Yes",c_Date,"&lt;"&amp;$H88)+COUNTIFS($G$2:$G88,"Yes",$H$2:$H88,$H88))</f>
        <v/>
      </c>
    </row>
    <row r="89" customFormat="false" ht="15" hidden="false" customHeight="false" outlineLevel="0" collapsed="false">
      <c r="A89" s="44" t="n">
        <f aca="false">IF($B89="","",COUNTA($B$2:$B89))</f>
        <v>88</v>
      </c>
      <c r="B89" s="11" t="s">
        <v>314</v>
      </c>
      <c r="C89" s="11"/>
      <c r="D89" s="11" t="s">
        <v>30</v>
      </c>
      <c r="E89" s="11" t="s">
        <v>311</v>
      </c>
      <c r="F89" s="11" t="s">
        <v>68</v>
      </c>
      <c r="G89" s="34" t="s">
        <v>132</v>
      </c>
      <c r="H89" s="25"/>
      <c r="I89" s="40" t="n">
        <v>0</v>
      </c>
      <c r="J89" s="34" t="s">
        <v>132</v>
      </c>
      <c r="K89" s="45"/>
      <c r="L89" s="34"/>
      <c r="M89" s="34"/>
      <c r="N89" s="11" t="s">
        <v>133</v>
      </c>
      <c r="O89" s="11" t="s">
        <v>133</v>
      </c>
      <c r="P89" s="11" t="s">
        <v>133</v>
      </c>
      <c r="Q89" s="11" t="s">
        <v>133</v>
      </c>
      <c r="R89" s="11" t="s">
        <v>133</v>
      </c>
      <c r="S89" s="46" t="s">
        <v>312</v>
      </c>
      <c r="T89" s="44" t="n">
        <f aca="false">IF($B89="","",COUNTA($N89:$R89)-COUNTIF($N89:$R89,"Not Invited"))</f>
        <v>0</v>
      </c>
      <c r="U89" s="44" t="n">
        <f aca="false">IF($B89="","",COUNTIF($N89:$R89,"Attended"))</f>
        <v>0</v>
      </c>
      <c r="V89" s="47" t="str">
        <f aca="false">IF($B89="","",_xlfn.TEXTJOIN(", ",TRUE(),IF($N89="Attended",Setup!$D$15,""),IF($O89="Attended",Setup!$D$16,""),IF($P89="Attended",Setup!$D$17,""),IF($Q89="Attended",Setup!$D$18,""),IF($R89="Attended",Setup!$D$19,"")))</f>
        <v/>
      </c>
      <c r="W89" s="48" t="str">
        <f aca="true">IF(OR($B89="",NOT(ISNUMBER($H89))),"",TODAY()-$H89)</f>
        <v/>
      </c>
      <c r="X89" s="47" t="str">
        <f aca="false">IF($B89="","",IF($U89&gt;0,"Event attendee",IF($G89="Yes","Met (no event)",IF($T89&gt;0,"Invited only",IF(OR($L89="Yes",$M89="Yes"),"Contacted only","Not yet contacted")))))</f>
        <v>Not yet contacted</v>
      </c>
      <c r="Y89" s="47" t="n">
        <f aca="false">IF($B89="","",COUNTIF(c_Firm,"&lt;"&amp;$D89)+COUNTIFS(c_Firm,$D89,c_Name,"&lt;"&amp;$B89)+COUNTIFS($D$2:$D89,$D89,$B$2:$B89,$B89))</f>
        <v>88</v>
      </c>
      <c r="Z89" s="47" t="n">
        <f aca="false">IF($B89="","",IF(AND(OR(Contacts!$C$3="(All)",$D89=Contacts!$C$3),OR(Contacts!$E$3="(All)",$G89=Contacts!$E$3),OR(Contacts!$G$3="(All)",ISNUMBER(SEARCH(Contacts!$G$3,$V89))),OR(Contacts!$I$3="(All)",$X89=Contacts!$I$3),OR(Contacts!$K$3="",ISNUMBER(SEARCH(Contacts!$K$3,$B89&amp;" "&amp;$C89&amp;" "&amp;$D89&amp;" "&amp;$S89)))),1,0))</f>
        <v>1</v>
      </c>
      <c r="AA89" s="47" t="n">
        <f aca="false">IF($Z89=1,COUNTIFS(c_Pass,1,c_Sort,"&lt;="&amp;$Y89),"")</f>
        <v>88</v>
      </c>
      <c r="AB89" s="47" t="str">
        <f aca="false">IF(OR($G89&lt;&gt;"Yes",NOT(ISNUMBER($H89))),"",COUNTIFS(c_Met,"Yes",c_Date,"&lt;"&amp;$H89)+COUNTIFS($G$2:$G89,"Yes",$H$2:$H89,$H89))</f>
        <v/>
      </c>
    </row>
    <row r="90" customFormat="false" ht="15" hidden="false" customHeight="false" outlineLevel="0" collapsed="false">
      <c r="A90" s="44" t="n">
        <f aca="false">IF($B90="","",COUNTA($B$2:$B90))</f>
        <v>89</v>
      </c>
      <c r="B90" s="11" t="s">
        <v>315</v>
      </c>
      <c r="C90" s="11" t="s">
        <v>316</v>
      </c>
      <c r="D90" s="11" t="s">
        <v>30</v>
      </c>
      <c r="E90" s="11" t="s">
        <v>131</v>
      </c>
      <c r="F90" s="11" t="s">
        <v>289</v>
      </c>
      <c r="G90" s="34" t="s">
        <v>132</v>
      </c>
      <c r="H90" s="25"/>
      <c r="I90" s="40" t="n">
        <v>0</v>
      </c>
      <c r="J90" s="34" t="s">
        <v>132</v>
      </c>
      <c r="K90" s="45"/>
      <c r="L90" s="34"/>
      <c r="M90" s="34"/>
      <c r="N90" s="11" t="s">
        <v>133</v>
      </c>
      <c r="O90" s="11" t="s">
        <v>55</v>
      </c>
      <c r="P90" s="11" t="s">
        <v>133</v>
      </c>
      <c r="Q90" s="11" t="s">
        <v>133</v>
      </c>
      <c r="R90" s="11" t="s">
        <v>133</v>
      </c>
      <c r="S90" s="46"/>
      <c r="T90" s="44" t="n">
        <f aca="false">IF($B90="","",COUNTA($N90:$R90)-COUNTIF($N90:$R90,"Not Invited"))</f>
        <v>1</v>
      </c>
      <c r="U90" s="44" t="n">
        <f aca="false">IF($B90="","",COUNTIF($N90:$R90,"Attended"))</f>
        <v>1</v>
      </c>
      <c r="V90" s="47" t="str">
        <f aca="false">IF($B90="","",_xlfn.TEXTJOIN(", ",TRUE(),IF($N90="Attended",Setup!$D$15,""),IF($O90="Attended",Setup!$D$16,""),IF($P90="Attended",Setup!$D$17,""),IF($Q90="Attended",Setup!$D$18,""),IF($R90="Attended",Setup!$D$19,"")))</f>
        <v>May-26 Symposium</v>
      </c>
      <c r="W90" s="48" t="str">
        <f aca="true">IF(OR($B90="",NOT(ISNUMBER($H90))),"",TODAY()-$H90)</f>
        <v/>
      </c>
      <c r="X90" s="47" t="str">
        <f aca="false">IF($B90="","",IF($U90&gt;0,"Event attendee",IF($G90="Yes","Met (no event)",IF($T90&gt;0,"Invited only",IF(OR($L90="Yes",$M90="Yes"),"Contacted only","Not yet contacted")))))</f>
        <v>Event attendee</v>
      </c>
      <c r="Y90" s="47" t="n">
        <f aca="false">IF($B90="","",COUNTIF(c_Firm,"&lt;"&amp;$D90)+COUNTIFS(c_Firm,$D90,c_Name,"&lt;"&amp;$B90)+COUNTIFS($D$2:$D90,$D90,$B$2:$B90,$B90))</f>
        <v>89</v>
      </c>
      <c r="Z90" s="47" t="n">
        <f aca="false">IF($B90="","",IF(AND(OR(Contacts!$C$3="(All)",$D90=Contacts!$C$3),OR(Contacts!$E$3="(All)",$G90=Contacts!$E$3),OR(Contacts!$G$3="(All)",ISNUMBER(SEARCH(Contacts!$G$3,$V90))),OR(Contacts!$I$3="(All)",$X90=Contacts!$I$3),OR(Contacts!$K$3="",ISNUMBER(SEARCH(Contacts!$K$3,$B90&amp;" "&amp;$C90&amp;" "&amp;$D90&amp;" "&amp;$S90)))),1,0))</f>
        <v>1</v>
      </c>
      <c r="AA90" s="47" t="n">
        <f aca="false">IF($Z90=1,COUNTIFS(c_Pass,1,c_Sort,"&lt;="&amp;$Y90),"")</f>
        <v>89</v>
      </c>
      <c r="AB90" s="47" t="str">
        <f aca="false">IF(OR($G90&lt;&gt;"Yes",NOT(ISNUMBER($H90))),"",COUNTIFS(c_Met,"Yes",c_Date,"&lt;"&amp;$H90)+COUNTIFS($G$2:$G90,"Yes",$H$2:$H90,$H90))</f>
        <v/>
      </c>
    </row>
    <row r="91" customFormat="false" ht="15" hidden="false" customHeight="false" outlineLevel="0" collapsed="false">
      <c r="A91" s="44" t="n">
        <f aca="false">IF($B91="","",COUNTA($B$2:$B91))</f>
        <v>90</v>
      </c>
      <c r="B91" s="11" t="s">
        <v>317</v>
      </c>
      <c r="C91" s="11"/>
      <c r="D91" s="11" t="s">
        <v>30</v>
      </c>
      <c r="E91" s="11" t="s">
        <v>311</v>
      </c>
      <c r="F91" s="11" t="s">
        <v>68</v>
      </c>
      <c r="G91" s="34" t="s">
        <v>132</v>
      </c>
      <c r="H91" s="25"/>
      <c r="I91" s="40" t="n">
        <v>0</v>
      </c>
      <c r="J91" s="34" t="s">
        <v>132</v>
      </c>
      <c r="K91" s="45"/>
      <c r="L91" s="34"/>
      <c r="M91" s="34"/>
      <c r="N91" s="11" t="s">
        <v>133</v>
      </c>
      <c r="O91" s="11" t="s">
        <v>133</v>
      </c>
      <c r="P91" s="11" t="s">
        <v>133</v>
      </c>
      <c r="Q91" s="11" t="s">
        <v>133</v>
      </c>
      <c r="R91" s="11" t="s">
        <v>133</v>
      </c>
      <c r="S91" s="46" t="s">
        <v>312</v>
      </c>
      <c r="T91" s="44" t="n">
        <f aca="false">IF($B91="","",COUNTA($N91:$R91)-COUNTIF($N91:$R91,"Not Invited"))</f>
        <v>0</v>
      </c>
      <c r="U91" s="44" t="n">
        <f aca="false">IF($B91="","",COUNTIF($N91:$R91,"Attended"))</f>
        <v>0</v>
      </c>
      <c r="V91" s="47" t="str">
        <f aca="false">IF($B91="","",_xlfn.TEXTJOIN(", ",TRUE(),IF($N91="Attended",Setup!$D$15,""),IF($O91="Attended",Setup!$D$16,""),IF($P91="Attended",Setup!$D$17,""),IF($Q91="Attended",Setup!$D$18,""),IF($R91="Attended",Setup!$D$19,"")))</f>
        <v/>
      </c>
      <c r="W91" s="48" t="str">
        <f aca="true">IF(OR($B91="",NOT(ISNUMBER($H91))),"",TODAY()-$H91)</f>
        <v/>
      </c>
      <c r="X91" s="47" t="str">
        <f aca="false">IF($B91="","",IF($U91&gt;0,"Event attendee",IF($G91="Yes","Met (no event)",IF($T91&gt;0,"Invited only",IF(OR($L91="Yes",$M91="Yes"),"Contacted only","Not yet contacted")))))</f>
        <v>Not yet contacted</v>
      </c>
      <c r="Y91" s="47" t="n">
        <f aca="false">IF($B91="","",COUNTIF(c_Firm,"&lt;"&amp;$D91)+COUNTIFS(c_Firm,$D91,c_Name,"&lt;"&amp;$B91)+COUNTIFS($D$2:$D91,$D91,$B$2:$B91,$B91))</f>
        <v>90</v>
      </c>
      <c r="Z91" s="47" t="n">
        <f aca="false">IF($B91="","",IF(AND(OR(Contacts!$C$3="(All)",$D91=Contacts!$C$3),OR(Contacts!$E$3="(All)",$G91=Contacts!$E$3),OR(Contacts!$G$3="(All)",ISNUMBER(SEARCH(Contacts!$G$3,$V91))),OR(Contacts!$I$3="(All)",$X91=Contacts!$I$3),OR(Contacts!$K$3="",ISNUMBER(SEARCH(Contacts!$K$3,$B91&amp;" "&amp;$C91&amp;" "&amp;$D91&amp;" "&amp;$S91)))),1,0))</f>
        <v>1</v>
      </c>
      <c r="AA91" s="47" t="n">
        <f aca="false">IF($Z91=1,COUNTIFS(c_Pass,1,c_Sort,"&lt;="&amp;$Y91),"")</f>
        <v>90</v>
      </c>
      <c r="AB91" s="47" t="str">
        <f aca="false">IF(OR($G91&lt;&gt;"Yes",NOT(ISNUMBER($H91))),"",COUNTIFS(c_Met,"Yes",c_Date,"&lt;"&amp;$H91)+COUNTIFS($G$2:$G91,"Yes",$H$2:$H91,$H91))</f>
        <v/>
      </c>
    </row>
    <row r="92" customFormat="false" ht="15" hidden="false" customHeight="false" outlineLevel="0" collapsed="false">
      <c r="A92" s="44" t="n">
        <f aca="false">IF($B92="","",COUNTA($B$2:$B92))</f>
        <v>91</v>
      </c>
      <c r="B92" s="11" t="s">
        <v>318</v>
      </c>
      <c r="C92" s="11"/>
      <c r="D92" s="11" t="s">
        <v>30</v>
      </c>
      <c r="E92" s="11" t="s">
        <v>311</v>
      </c>
      <c r="F92" s="11" t="s">
        <v>68</v>
      </c>
      <c r="G92" s="34" t="s">
        <v>132</v>
      </c>
      <c r="H92" s="25"/>
      <c r="I92" s="40" t="n">
        <v>0</v>
      </c>
      <c r="J92" s="34" t="s">
        <v>132</v>
      </c>
      <c r="K92" s="45"/>
      <c r="L92" s="34"/>
      <c r="M92" s="34"/>
      <c r="N92" s="11" t="s">
        <v>133</v>
      </c>
      <c r="O92" s="11" t="s">
        <v>133</v>
      </c>
      <c r="P92" s="11" t="s">
        <v>133</v>
      </c>
      <c r="Q92" s="11" t="s">
        <v>133</v>
      </c>
      <c r="R92" s="11" t="s">
        <v>133</v>
      </c>
      <c r="S92" s="46" t="s">
        <v>312</v>
      </c>
      <c r="T92" s="44" t="n">
        <f aca="false">IF($B92="","",COUNTA($N92:$R92)-COUNTIF($N92:$R92,"Not Invited"))</f>
        <v>0</v>
      </c>
      <c r="U92" s="44" t="n">
        <f aca="false">IF($B92="","",COUNTIF($N92:$R92,"Attended"))</f>
        <v>0</v>
      </c>
      <c r="V92" s="47" t="str">
        <f aca="false">IF($B92="","",_xlfn.TEXTJOIN(", ",TRUE(),IF($N92="Attended",Setup!$D$15,""),IF($O92="Attended",Setup!$D$16,""),IF($P92="Attended",Setup!$D$17,""),IF($Q92="Attended",Setup!$D$18,""),IF($R92="Attended",Setup!$D$19,"")))</f>
        <v/>
      </c>
      <c r="W92" s="48" t="str">
        <f aca="true">IF(OR($B92="",NOT(ISNUMBER($H92))),"",TODAY()-$H92)</f>
        <v/>
      </c>
      <c r="X92" s="47" t="str">
        <f aca="false">IF($B92="","",IF($U92&gt;0,"Event attendee",IF($G92="Yes","Met (no event)",IF($T92&gt;0,"Invited only",IF(OR($L92="Yes",$M92="Yes"),"Contacted only","Not yet contacted")))))</f>
        <v>Not yet contacted</v>
      </c>
      <c r="Y92" s="47" t="n">
        <f aca="false">IF($B92="","",COUNTIF(c_Firm,"&lt;"&amp;$D92)+COUNTIFS(c_Firm,$D92,c_Name,"&lt;"&amp;$B92)+COUNTIFS($D$2:$D92,$D92,$B$2:$B92,$B92))</f>
        <v>91</v>
      </c>
      <c r="Z92" s="47" t="n">
        <f aca="false">IF($B92="","",IF(AND(OR(Contacts!$C$3="(All)",$D92=Contacts!$C$3),OR(Contacts!$E$3="(All)",$G92=Contacts!$E$3),OR(Contacts!$G$3="(All)",ISNUMBER(SEARCH(Contacts!$G$3,$V92))),OR(Contacts!$I$3="(All)",$X92=Contacts!$I$3),OR(Contacts!$K$3="",ISNUMBER(SEARCH(Contacts!$K$3,$B92&amp;" "&amp;$C92&amp;" "&amp;$D92&amp;" "&amp;$S92)))),1,0))</f>
        <v>1</v>
      </c>
      <c r="AA92" s="47" t="n">
        <f aca="false">IF($Z92=1,COUNTIFS(c_Pass,1,c_Sort,"&lt;="&amp;$Y92),"")</f>
        <v>91</v>
      </c>
      <c r="AB92" s="47" t="str">
        <f aca="false">IF(OR($G92&lt;&gt;"Yes",NOT(ISNUMBER($H92))),"",COUNTIFS(c_Met,"Yes",c_Date,"&lt;"&amp;$H92)+COUNTIFS($G$2:$G92,"Yes",$H$2:$H92,$H92))</f>
        <v/>
      </c>
    </row>
    <row r="93" customFormat="false" ht="15" hidden="false" customHeight="false" outlineLevel="0" collapsed="false">
      <c r="A93" s="44" t="n">
        <f aca="false">IF($B93="","",COUNTA($B$2:$B93))</f>
        <v>92</v>
      </c>
      <c r="B93" s="11" t="s">
        <v>319</v>
      </c>
      <c r="C93" s="11" t="s">
        <v>320</v>
      </c>
      <c r="D93" s="11" t="s">
        <v>30</v>
      </c>
      <c r="E93" s="11" t="s">
        <v>131</v>
      </c>
      <c r="F93" s="11" t="s">
        <v>141</v>
      </c>
      <c r="G93" s="34" t="s">
        <v>142</v>
      </c>
      <c r="H93" s="25" t="n">
        <v>45985</v>
      </c>
      <c r="I93" s="40" t="n">
        <v>1</v>
      </c>
      <c r="J93" s="34" t="s">
        <v>142</v>
      </c>
      <c r="K93" s="45" t="n">
        <v>70000000</v>
      </c>
      <c r="L93" s="34"/>
      <c r="M93" s="34"/>
      <c r="N93" s="11" t="s">
        <v>55</v>
      </c>
      <c r="O93" s="11" t="s">
        <v>57</v>
      </c>
      <c r="P93" s="11" t="s">
        <v>133</v>
      </c>
      <c r="Q93" s="11" t="s">
        <v>133</v>
      </c>
      <c r="R93" s="11" t="s">
        <v>133</v>
      </c>
      <c r="S93" s="46" t="s">
        <v>146</v>
      </c>
      <c r="T93" s="44" t="n">
        <f aca="false">IF($B93="","",COUNTA($N93:$R93)-COUNTIF($N93:$R93,"Not Invited"))</f>
        <v>2</v>
      </c>
      <c r="U93" s="44" t="n">
        <f aca="false">IF($B93="","",COUNTIF($N93:$R93,"Attended"))</f>
        <v>1</v>
      </c>
      <c r="V93" s="47" t="str">
        <f aca="false">IF($B93="","",_xlfn.TEXTJOIN(", ",TRUE(),IF($N93="Attended",Setup!$D$15,""),IF($O93="Attended",Setup!$D$16,""),IF($P93="Attended",Setup!$D$17,""),IF($Q93="Attended",Setup!$D$18,""),IF($R93="Attended",Setup!$D$19,"")))</f>
        <v>Oct-25 Symposium</v>
      </c>
      <c r="W93" s="48" t="n">
        <f aca="true">IF(OR($B93="",NOT(ISNUMBER($H93))),"",TODAY()-$H93)</f>
        <v>256</v>
      </c>
      <c r="X93" s="47" t="str">
        <f aca="false">IF($B93="","",IF($U93&gt;0,"Event attendee",IF($G93="Yes","Met (no event)",IF($T93&gt;0,"Invited only",IF(OR($L93="Yes",$M93="Yes"),"Contacted only","Not yet contacted")))))</f>
        <v>Event attendee</v>
      </c>
      <c r="Y93" s="47" t="n">
        <f aca="false">IF($B93="","",COUNTIF(c_Firm,"&lt;"&amp;$D93)+COUNTIFS(c_Firm,$D93,c_Name,"&lt;"&amp;$B93)+COUNTIFS($D$2:$D93,$D93,$B$2:$B93,$B93))</f>
        <v>92</v>
      </c>
      <c r="Z93" s="47" t="n">
        <f aca="false">IF($B93="","",IF(AND(OR(Contacts!$C$3="(All)",$D93=Contacts!$C$3),OR(Contacts!$E$3="(All)",$G93=Contacts!$E$3),OR(Contacts!$G$3="(All)",ISNUMBER(SEARCH(Contacts!$G$3,$V93))),OR(Contacts!$I$3="(All)",$X93=Contacts!$I$3),OR(Contacts!$K$3="",ISNUMBER(SEARCH(Contacts!$K$3,$B93&amp;" "&amp;$C93&amp;" "&amp;$D93&amp;" "&amp;$S93)))),1,0))</f>
        <v>1</v>
      </c>
      <c r="AA93" s="47" t="n">
        <f aca="false">IF($Z93=1,COUNTIFS(c_Pass,1,c_Sort,"&lt;="&amp;$Y93),"")</f>
        <v>92</v>
      </c>
      <c r="AB93" s="47" t="n">
        <f aca="false">IF(OR($G93&lt;&gt;"Yes",NOT(ISNUMBER($H93))),"",COUNTIFS(c_Met,"Yes",c_Date,"&lt;"&amp;$H93)+COUNTIFS($G$2:$G93,"Yes",$H$2:$H93,$H93))</f>
        <v>32</v>
      </c>
    </row>
    <row r="94" customFormat="false" ht="15" hidden="false" customHeight="false" outlineLevel="0" collapsed="false">
      <c r="A94" s="44" t="n">
        <f aca="false">IF($B94="","",COUNTA($B$2:$B94))</f>
        <v>93</v>
      </c>
      <c r="B94" s="11" t="s">
        <v>321</v>
      </c>
      <c r="C94" s="11"/>
      <c r="D94" s="11" t="s">
        <v>30</v>
      </c>
      <c r="E94" s="11" t="s">
        <v>311</v>
      </c>
      <c r="F94" s="11" t="s">
        <v>68</v>
      </c>
      <c r="G94" s="34" t="s">
        <v>132</v>
      </c>
      <c r="H94" s="25"/>
      <c r="I94" s="40" t="n">
        <v>0</v>
      </c>
      <c r="J94" s="34" t="s">
        <v>132</v>
      </c>
      <c r="K94" s="45"/>
      <c r="L94" s="34"/>
      <c r="M94" s="34"/>
      <c r="N94" s="11" t="s">
        <v>133</v>
      </c>
      <c r="O94" s="11" t="s">
        <v>133</v>
      </c>
      <c r="P94" s="11" t="s">
        <v>133</v>
      </c>
      <c r="Q94" s="11" t="s">
        <v>133</v>
      </c>
      <c r="R94" s="11" t="s">
        <v>133</v>
      </c>
      <c r="S94" s="46" t="s">
        <v>312</v>
      </c>
      <c r="T94" s="44" t="n">
        <f aca="false">IF($B94="","",COUNTA($N94:$R94)-COUNTIF($N94:$R94,"Not Invited"))</f>
        <v>0</v>
      </c>
      <c r="U94" s="44" t="n">
        <f aca="false">IF($B94="","",COUNTIF($N94:$R94,"Attended"))</f>
        <v>0</v>
      </c>
      <c r="V94" s="47" t="str">
        <f aca="false">IF($B94="","",_xlfn.TEXTJOIN(", ",TRUE(),IF($N94="Attended",Setup!$D$15,""),IF($O94="Attended",Setup!$D$16,""),IF($P94="Attended",Setup!$D$17,""),IF($Q94="Attended",Setup!$D$18,""),IF($R94="Attended",Setup!$D$19,"")))</f>
        <v/>
      </c>
      <c r="W94" s="48" t="str">
        <f aca="true">IF(OR($B94="",NOT(ISNUMBER($H94))),"",TODAY()-$H94)</f>
        <v/>
      </c>
      <c r="X94" s="47" t="str">
        <f aca="false">IF($B94="","",IF($U94&gt;0,"Event attendee",IF($G94="Yes","Met (no event)",IF($T94&gt;0,"Invited only",IF(OR($L94="Yes",$M94="Yes"),"Contacted only","Not yet contacted")))))</f>
        <v>Not yet contacted</v>
      </c>
      <c r="Y94" s="47" t="n">
        <f aca="false">IF($B94="","",COUNTIF(c_Firm,"&lt;"&amp;$D94)+COUNTIFS(c_Firm,$D94,c_Name,"&lt;"&amp;$B94)+COUNTIFS($D$2:$D94,$D94,$B$2:$B94,$B94))</f>
        <v>93</v>
      </c>
      <c r="Z94" s="47" t="n">
        <f aca="false">IF($B94="","",IF(AND(OR(Contacts!$C$3="(All)",$D94=Contacts!$C$3),OR(Contacts!$E$3="(All)",$G94=Contacts!$E$3),OR(Contacts!$G$3="(All)",ISNUMBER(SEARCH(Contacts!$G$3,$V94))),OR(Contacts!$I$3="(All)",$X94=Contacts!$I$3),OR(Contacts!$K$3="",ISNUMBER(SEARCH(Contacts!$K$3,$B94&amp;" "&amp;$C94&amp;" "&amp;$D94&amp;" "&amp;$S94)))),1,0))</f>
        <v>1</v>
      </c>
      <c r="AA94" s="47" t="n">
        <f aca="false">IF($Z94=1,COUNTIFS(c_Pass,1,c_Sort,"&lt;="&amp;$Y94),"")</f>
        <v>93</v>
      </c>
      <c r="AB94" s="47" t="str">
        <f aca="false">IF(OR($G94&lt;&gt;"Yes",NOT(ISNUMBER($H94))),"",COUNTIFS(c_Met,"Yes",c_Date,"&lt;"&amp;$H94)+COUNTIFS($G$2:$G94,"Yes",$H$2:$H94,$H94))</f>
        <v/>
      </c>
    </row>
    <row r="95" customFormat="false" ht="15" hidden="false" customHeight="false" outlineLevel="0" collapsed="false">
      <c r="A95" s="44" t="n">
        <f aca="false">IF($B95="","",COUNTA($B$2:$B95))</f>
        <v>94</v>
      </c>
      <c r="B95" s="11" t="s">
        <v>322</v>
      </c>
      <c r="C95" s="11"/>
      <c r="D95" s="11" t="s">
        <v>30</v>
      </c>
      <c r="E95" s="11" t="s">
        <v>311</v>
      </c>
      <c r="F95" s="11" t="s">
        <v>68</v>
      </c>
      <c r="G95" s="34" t="s">
        <v>132</v>
      </c>
      <c r="H95" s="25"/>
      <c r="I95" s="40" t="n">
        <v>0</v>
      </c>
      <c r="J95" s="34" t="s">
        <v>132</v>
      </c>
      <c r="K95" s="45"/>
      <c r="L95" s="34"/>
      <c r="M95" s="34"/>
      <c r="N95" s="11" t="s">
        <v>133</v>
      </c>
      <c r="O95" s="11" t="s">
        <v>133</v>
      </c>
      <c r="P95" s="11" t="s">
        <v>133</v>
      </c>
      <c r="Q95" s="11" t="s">
        <v>133</v>
      </c>
      <c r="R95" s="11" t="s">
        <v>133</v>
      </c>
      <c r="S95" s="46" t="s">
        <v>312</v>
      </c>
      <c r="T95" s="44" t="n">
        <f aca="false">IF($B95="","",COUNTA($N95:$R95)-COUNTIF($N95:$R95,"Not Invited"))</f>
        <v>0</v>
      </c>
      <c r="U95" s="44" t="n">
        <f aca="false">IF($B95="","",COUNTIF($N95:$R95,"Attended"))</f>
        <v>0</v>
      </c>
      <c r="V95" s="47" t="str">
        <f aca="false">IF($B95="","",_xlfn.TEXTJOIN(", ",TRUE(),IF($N95="Attended",Setup!$D$15,""),IF($O95="Attended",Setup!$D$16,""),IF($P95="Attended",Setup!$D$17,""),IF($Q95="Attended",Setup!$D$18,""),IF($R95="Attended",Setup!$D$19,"")))</f>
        <v/>
      </c>
      <c r="W95" s="48" t="str">
        <f aca="true">IF(OR($B95="",NOT(ISNUMBER($H95))),"",TODAY()-$H95)</f>
        <v/>
      </c>
      <c r="X95" s="47" t="str">
        <f aca="false">IF($B95="","",IF($U95&gt;0,"Event attendee",IF($G95="Yes","Met (no event)",IF($T95&gt;0,"Invited only",IF(OR($L95="Yes",$M95="Yes"),"Contacted only","Not yet contacted")))))</f>
        <v>Not yet contacted</v>
      </c>
      <c r="Y95" s="47" t="n">
        <f aca="false">IF($B95="","",COUNTIF(c_Firm,"&lt;"&amp;$D95)+COUNTIFS(c_Firm,$D95,c_Name,"&lt;"&amp;$B95)+COUNTIFS($D$2:$D95,$D95,$B$2:$B95,$B95))</f>
        <v>94</v>
      </c>
      <c r="Z95" s="47" t="n">
        <f aca="false">IF($B95="","",IF(AND(OR(Contacts!$C$3="(All)",$D95=Contacts!$C$3),OR(Contacts!$E$3="(All)",$G95=Contacts!$E$3),OR(Contacts!$G$3="(All)",ISNUMBER(SEARCH(Contacts!$G$3,$V95))),OR(Contacts!$I$3="(All)",$X95=Contacts!$I$3),OR(Contacts!$K$3="",ISNUMBER(SEARCH(Contacts!$K$3,$B95&amp;" "&amp;$C95&amp;" "&amp;$D95&amp;" "&amp;$S95)))),1,0))</f>
        <v>1</v>
      </c>
      <c r="AA95" s="47" t="n">
        <f aca="false">IF($Z95=1,COUNTIFS(c_Pass,1,c_Sort,"&lt;="&amp;$Y95),"")</f>
        <v>94</v>
      </c>
      <c r="AB95" s="47" t="str">
        <f aca="false">IF(OR($G95&lt;&gt;"Yes",NOT(ISNUMBER($H95))),"",COUNTIFS(c_Met,"Yes",c_Date,"&lt;"&amp;$H95)+COUNTIFS($G$2:$G95,"Yes",$H$2:$H95,$H95))</f>
        <v/>
      </c>
    </row>
    <row r="96" customFormat="false" ht="15" hidden="false" customHeight="false" outlineLevel="0" collapsed="false">
      <c r="A96" s="44" t="n">
        <f aca="false">IF($B96="","",COUNTA($B$2:$B96))</f>
        <v>95</v>
      </c>
      <c r="B96" s="11" t="s">
        <v>323</v>
      </c>
      <c r="C96" s="11"/>
      <c r="D96" s="11" t="s">
        <v>30</v>
      </c>
      <c r="E96" s="11" t="s">
        <v>193</v>
      </c>
      <c r="F96" s="11" t="s">
        <v>68</v>
      </c>
      <c r="G96" s="34" t="s">
        <v>132</v>
      </c>
      <c r="H96" s="25"/>
      <c r="I96" s="40" t="n">
        <v>0</v>
      </c>
      <c r="J96" s="34" t="s">
        <v>132</v>
      </c>
      <c r="K96" s="45"/>
      <c r="L96" s="34"/>
      <c r="M96" s="34"/>
      <c r="N96" s="11" t="s">
        <v>133</v>
      </c>
      <c r="O96" s="11" t="s">
        <v>133</v>
      </c>
      <c r="P96" s="11" t="s">
        <v>133</v>
      </c>
      <c r="Q96" s="11" t="s">
        <v>133</v>
      </c>
      <c r="R96" s="11" t="s">
        <v>133</v>
      </c>
      <c r="S96" s="46"/>
      <c r="T96" s="44" t="n">
        <f aca="false">IF($B96="","",COUNTA($N96:$R96)-COUNTIF($N96:$R96,"Not Invited"))</f>
        <v>0</v>
      </c>
      <c r="U96" s="44" t="n">
        <f aca="false">IF($B96="","",COUNTIF($N96:$R96,"Attended"))</f>
        <v>0</v>
      </c>
      <c r="V96" s="47" t="str">
        <f aca="false">IF($B96="","",_xlfn.TEXTJOIN(", ",TRUE(),IF($N96="Attended",Setup!$D$15,""),IF($O96="Attended",Setup!$D$16,""),IF($P96="Attended",Setup!$D$17,""),IF($Q96="Attended",Setup!$D$18,""),IF($R96="Attended",Setup!$D$19,"")))</f>
        <v/>
      </c>
      <c r="W96" s="48" t="str">
        <f aca="true">IF(OR($B96="",NOT(ISNUMBER($H96))),"",TODAY()-$H96)</f>
        <v/>
      </c>
      <c r="X96" s="47" t="str">
        <f aca="false">IF($B96="","",IF($U96&gt;0,"Event attendee",IF($G96="Yes","Met (no event)",IF($T96&gt;0,"Invited only",IF(OR($L96="Yes",$M96="Yes"),"Contacted only","Not yet contacted")))))</f>
        <v>Not yet contacted</v>
      </c>
      <c r="Y96" s="47" t="n">
        <f aca="false">IF($B96="","",COUNTIF(c_Firm,"&lt;"&amp;$D96)+COUNTIFS(c_Firm,$D96,c_Name,"&lt;"&amp;$B96)+COUNTIFS($D$2:$D96,$D96,$B$2:$B96,$B96))</f>
        <v>95</v>
      </c>
      <c r="Z96" s="47" t="n">
        <f aca="false">IF($B96="","",IF(AND(OR(Contacts!$C$3="(All)",$D96=Contacts!$C$3),OR(Contacts!$E$3="(All)",$G96=Contacts!$E$3),OR(Contacts!$G$3="(All)",ISNUMBER(SEARCH(Contacts!$G$3,$V96))),OR(Contacts!$I$3="(All)",$X96=Contacts!$I$3),OR(Contacts!$K$3="",ISNUMBER(SEARCH(Contacts!$K$3,$B96&amp;" "&amp;$C96&amp;" "&amp;$D96&amp;" "&amp;$S96)))),1,0))</f>
        <v>1</v>
      </c>
      <c r="AA96" s="47" t="n">
        <f aca="false">IF($Z96=1,COUNTIFS(c_Pass,1,c_Sort,"&lt;="&amp;$Y96),"")</f>
        <v>95</v>
      </c>
      <c r="AB96" s="47" t="str">
        <f aca="false">IF(OR($G96&lt;&gt;"Yes",NOT(ISNUMBER($H96))),"",COUNTIFS(c_Met,"Yes",c_Date,"&lt;"&amp;$H96)+COUNTIFS($G$2:$G96,"Yes",$H$2:$H96,$H96))</f>
        <v/>
      </c>
    </row>
    <row r="97" customFormat="false" ht="15" hidden="false" customHeight="false" outlineLevel="0" collapsed="false">
      <c r="A97" s="44" t="n">
        <f aca="false">IF($B97="","",COUNTA($B$2:$B97))</f>
        <v>96</v>
      </c>
      <c r="B97" s="11" t="s">
        <v>324</v>
      </c>
      <c r="C97" s="11"/>
      <c r="D97" s="11" t="s">
        <v>30</v>
      </c>
      <c r="E97" s="11" t="s">
        <v>311</v>
      </c>
      <c r="F97" s="11" t="s">
        <v>68</v>
      </c>
      <c r="G97" s="34" t="s">
        <v>132</v>
      </c>
      <c r="H97" s="25"/>
      <c r="I97" s="40" t="n">
        <v>0</v>
      </c>
      <c r="J97" s="34" t="s">
        <v>132</v>
      </c>
      <c r="K97" s="45"/>
      <c r="L97" s="34"/>
      <c r="M97" s="34"/>
      <c r="N97" s="11" t="s">
        <v>133</v>
      </c>
      <c r="O97" s="11" t="s">
        <v>133</v>
      </c>
      <c r="P97" s="11" t="s">
        <v>133</v>
      </c>
      <c r="Q97" s="11" t="s">
        <v>133</v>
      </c>
      <c r="R97" s="11" t="s">
        <v>133</v>
      </c>
      <c r="S97" s="46" t="s">
        <v>312</v>
      </c>
      <c r="T97" s="44" t="n">
        <f aca="false">IF($B97="","",COUNTA($N97:$R97)-COUNTIF($N97:$R97,"Not Invited"))</f>
        <v>0</v>
      </c>
      <c r="U97" s="44" t="n">
        <f aca="false">IF($B97="","",COUNTIF($N97:$R97,"Attended"))</f>
        <v>0</v>
      </c>
      <c r="V97" s="47" t="str">
        <f aca="false">IF($B97="","",_xlfn.TEXTJOIN(", ",TRUE(),IF($N97="Attended",Setup!$D$15,""),IF($O97="Attended",Setup!$D$16,""),IF($P97="Attended",Setup!$D$17,""),IF($Q97="Attended",Setup!$D$18,""),IF($R97="Attended",Setup!$D$19,"")))</f>
        <v/>
      </c>
      <c r="W97" s="48" t="str">
        <f aca="true">IF(OR($B97="",NOT(ISNUMBER($H97))),"",TODAY()-$H97)</f>
        <v/>
      </c>
      <c r="X97" s="47" t="str">
        <f aca="false">IF($B97="","",IF($U97&gt;0,"Event attendee",IF($G97="Yes","Met (no event)",IF($T97&gt;0,"Invited only",IF(OR($L97="Yes",$M97="Yes"),"Contacted only","Not yet contacted")))))</f>
        <v>Not yet contacted</v>
      </c>
      <c r="Y97" s="47" t="n">
        <f aca="false">IF($B97="","",COUNTIF(c_Firm,"&lt;"&amp;$D97)+COUNTIFS(c_Firm,$D97,c_Name,"&lt;"&amp;$B97)+COUNTIFS($D$2:$D97,$D97,$B$2:$B97,$B97))</f>
        <v>96</v>
      </c>
      <c r="Z97" s="47" t="n">
        <f aca="false">IF($B97="","",IF(AND(OR(Contacts!$C$3="(All)",$D97=Contacts!$C$3),OR(Contacts!$E$3="(All)",$G97=Contacts!$E$3),OR(Contacts!$G$3="(All)",ISNUMBER(SEARCH(Contacts!$G$3,$V97))),OR(Contacts!$I$3="(All)",$X97=Contacts!$I$3),OR(Contacts!$K$3="",ISNUMBER(SEARCH(Contacts!$K$3,$B97&amp;" "&amp;$C97&amp;" "&amp;$D97&amp;" "&amp;$S97)))),1,0))</f>
        <v>1</v>
      </c>
      <c r="AA97" s="47" t="n">
        <f aca="false">IF($Z97=1,COUNTIFS(c_Pass,1,c_Sort,"&lt;="&amp;$Y97),"")</f>
        <v>96</v>
      </c>
      <c r="AB97" s="47" t="str">
        <f aca="false">IF(OR($G97&lt;&gt;"Yes",NOT(ISNUMBER($H97))),"",COUNTIFS(c_Met,"Yes",c_Date,"&lt;"&amp;$H97)+COUNTIFS($G$2:$G97,"Yes",$H$2:$H97,$H97))</f>
        <v/>
      </c>
    </row>
    <row r="98" customFormat="false" ht="15" hidden="false" customHeight="false" outlineLevel="0" collapsed="false">
      <c r="A98" s="44" t="n">
        <f aca="false">IF($B98="","",COUNTA($B$2:$B98))</f>
        <v>97</v>
      </c>
      <c r="B98" s="11" t="s">
        <v>325</v>
      </c>
      <c r="C98" s="11"/>
      <c r="D98" s="11" t="s">
        <v>30</v>
      </c>
      <c r="E98" s="11" t="s">
        <v>311</v>
      </c>
      <c r="F98" s="11" t="s">
        <v>68</v>
      </c>
      <c r="G98" s="34" t="s">
        <v>132</v>
      </c>
      <c r="H98" s="25"/>
      <c r="I98" s="40" t="n">
        <v>0</v>
      </c>
      <c r="J98" s="34" t="s">
        <v>132</v>
      </c>
      <c r="K98" s="45"/>
      <c r="L98" s="34"/>
      <c r="M98" s="34"/>
      <c r="N98" s="11" t="s">
        <v>133</v>
      </c>
      <c r="O98" s="11" t="s">
        <v>133</v>
      </c>
      <c r="P98" s="11" t="s">
        <v>133</v>
      </c>
      <c r="Q98" s="11" t="s">
        <v>133</v>
      </c>
      <c r="R98" s="11" t="s">
        <v>133</v>
      </c>
      <c r="S98" s="46" t="s">
        <v>312</v>
      </c>
      <c r="T98" s="44" t="n">
        <f aca="false">IF($B98="","",COUNTA($N98:$R98)-COUNTIF($N98:$R98,"Not Invited"))</f>
        <v>0</v>
      </c>
      <c r="U98" s="44" t="n">
        <f aca="false">IF($B98="","",COUNTIF($N98:$R98,"Attended"))</f>
        <v>0</v>
      </c>
      <c r="V98" s="47" t="str">
        <f aca="false">IF($B98="","",_xlfn.TEXTJOIN(", ",TRUE(),IF($N98="Attended",Setup!$D$15,""),IF($O98="Attended",Setup!$D$16,""),IF($P98="Attended",Setup!$D$17,""),IF($Q98="Attended",Setup!$D$18,""),IF($R98="Attended",Setup!$D$19,"")))</f>
        <v/>
      </c>
      <c r="W98" s="48" t="str">
        <f aca="true">IF(OR($B98="",NOT(ISNUMBER($H98))),"",TODAY()-$H98)</f>
        <v/>
      </c>
      <c r="X98" s="47" t="str">
        <f aca="false">IF($B98="","",IF($U98&gt;0,"Event attendee",IF($G98="Yes","Met (no event)",IF($T98&gt;0,"Invited only",IF(OR($L98="Yes",$M98="Yes"),"Contacted only","Not yet contacted")))))</f>
        <v>Not yet contacted</v>
      </c>
      <c r="Y98" s="47" t="n">
        <f aca="false">IF($B98="","",COUNTIF(c_Firm,"&lt;"&amp;$D98)+COUNTIFS(c_Firm,$D98,c_Name,"&lt;"&amp;$B98)+COUNTIFS($D$2:$D98,$D98,$B$2:$B98,$B98))</f>
        <v>97</v>
      </c>
      <c r="Z98" s="47" t="n">
        <f aca="false">IF($B98="","",IF(AND(OR(Contacts!$C$3="(All)",$D98=Contacts!$C$3),OR(Contacts!$E$3="(All)",$G98=Contacts!$E$3),OR(Contacts!$G$3="(All)",ISNUMBER(SEARCH(Contacts!$G$3,$V98))),OR(Contacts!$I$3="(All)",$X98=Contacts!$I$3),OR(Contacts!$K$3="",ISNUMBER(SEARCH(Contacts!$K$3,$B98&amp;" "&amp;$C98&amp;" "&amp;$D98&amp;" "&amp;$S98)))),1,0))</f>
        <v>1</v>
      </c>
      <c r="AA98" s="47" t="n">
        <f aca="false">IF($Z98=1,COUNTIFS(c_Pass,1,c_Sort,"&lt;="&amp;$Y98),"")</f>
        <v>97</v>
      </c>
      <c r="AB98" s="47" t="str">
        <f aca="false">IF(OR($G98&lt;&gt;"Yes",NOT(ISNUMBER($H98))),"",COUNTIFS(c_Met,"Yes",c_Date,"&lt;"&amp;$H98)+COUNTIFS($G$2:$G98,"Yes",$H$2:$H98,$H98))</f>
        <v/>
      </c>
    </row>
    <row r="99" customFormat="false" ht="15" hidden="false" customHeight="false" outlineLevel="0" collapsed="false">
      <c r="A99" s="44" t="n">
        <f aca="false">IF($B99="","",COUNTA($B$2:$B99))</f>
        <v>98</v>
      </c>
      <c r="B99" s="11" t="s">
        <v>326</v>
      </c>
      <c r="C99" s="11"/>
      <c r="D99" s="11" t="s">
        <v>30</v>
      </c>
      <c r="E99" s="11" t="s">
        <v>311</v>
      </c>
      <c r="F99" s="11" t="s">
        <v>68</v>
      </c>
      <c r="G99" s="34" t="s">
        <v>132</v>
      </c>
      <c r="H99" s="25"/>
      <c r="I99" s="40" t="n">
        <v>0</v>
      </c>
      <c r="J99" s="34" t="s">
        <v>132</v>
      </c>
      <c r="K99" s="45"/>
      <c r="L99" s="34"/>
      <c r="M99" s="34"/>
      <c r="N99" s="11" t="s">
        <v>133</v>
      </c>
      <c r="O99" s="11" t="s">
        <v>133</v>
      </c>
      <c r="P99" s="11" t="s">
        <v>133</v>
      </c>
      <c r="Q99" s="11" t="s">
        <v>133</v>
      </c>
      <c r="R99" s="11" t="s">
        <v>133</v>
      </c>
      <c r="S99" s="46" t="s">
        <v>312</v>
      </c>
      <c r="T99" s="44" t="n">
        <f aca="false">IF($B99="","",COUNTA($N99:$R99)-COUNTIF($N99:$R99,"Not Invited"))</f>
        <v>0</v>
      </c>
      <c r="U99" s="44" t="n">
        <f aca="false">IF($B99="","",COUNTIF($N99:$R99,"Attended"))</f>
        <v>0</v>
      </c>
      <c r="V99" s="47" t="str">
        <f aca="false">IF($B99="","",_xlfn.TEXTJOIN(", ",TRUE(),IF($N99="Attended",Setup!$D$15,""),IF($O99="Attended",Setup!$D$16,""),IF($P99="Attended",Setup!$D$17,""),IF($Q99="Attended",Setup!$D$18,""),IF($R99="Attended",Setup!$D$19,"")))</f>
        <v/>
      </c>
      <c r="W99" s="48" t="str">
        <f aca="true">IF(OR($B99="",NOT(ISNUMBER($H99))),"",TODAY()-$H99)</f>
        <v/>
      </c>
      <c r="X99" s="47" t="str">
        <f aca="false">IF($B99="","",IF($U99&gt;0,"Event attendee",IF($G99="Yes","Met (no event)",IF($T99&gt;0,"Invited only",IF(OR($L99="Yes",$M99="Yes"),"Contacted only","Not yet contacted")))))</f>
        <v>Not yet contacted</v>
      </c>
      <c r="Y99" s="47" t="n">
        <f aca="false">IF($B99="","",COUNTIF(c_Firm,"&lt;"&amp;$D99)+COUNTIFS(c_Firm,$D99,c_Name,"&lt;"&amp;$B99)+COUNTIFS($D$2:$D99,$D99,$B$2:$B99,$B99))</f>
        <v>98</v>
      </c>
      <c r="Z99" s="47" t="n">
        <f aca="false">IF($B99="","",IF(AND(OR(Contacts!$C$3="(All)",$D99=Contacts!$C$3),OR(Contacts!$E$3="(All)",$G99=Contacts!$E$3),OR(Contacts!$G$3="(All)",ISNUMBER(SEARCH(Contacts!$G$3,$V99))),OR(Contacts!$I$3="(All)",$X99=Contacts!$I$3),OR(Contacts!$K$3="",ISNUMBER(SEARCH(Contacts!$K$3,$B99&amp;" "&amp;$C99&amp;" "&amp;$D99&amp;" "&amp;$S99)))),1,0))</f>
        <v>1</v>
      </c>
      <c r="AA99" s="47" t="n">
        <f aca="false">IF($Z99=1,COUNTIFS(c_Pass,1,c_Sort,"&lt;="&amp;$Y99),"")</f>
        <v>98</v>
      </c>
      <c r="AB99" s="47" t="str">
        <f aca="false">IF(OR($G99&lt;&gt;"Yes",NOT(ISNUMBER($H99))),"",COUNTIFS(c_Met,"Yes",c_Date,"&lt;"&amp;$H99)+COUNTIFS($G$2:$G99,"Yes",$H$2:$H99,$H99))</f>
        <v/>
      </c>
    </row>
    <row r="100" customFormat="false" ht="15" hidden="false" customHeight="false" outlineLevel="0" collapsed="false">
      <c r="A100" s="44" t="n">
        <f aca="false">IF($B100="","",COUNTA($B$2:$B100))</f>
        <v>99</v>
      </c>
      <c r="B100" s="11" t="s">
        <v>327</v>
      </c>
      <c r="C100" s="11"/>
      <c r="D100" s="11" t="s">
        <v>30</v>
      </c>
      <c r="E100" s="11" t="s">
        <v>193</v>
      </c>
      <c r="F100" s="11" t="s">
        <v>68</v>
      </c>
      <c r="G100" s="34" t="s">
        <v>132</v>
      </c>
      <c r="H100" s="25"/>
      <c r="I100" s="40" t="n">
        <v>0</v>
      </c>
      <c r="J100" s="34" t="s">
        <v>132</v>
      </c>
      <c r="K100" s="45"/>
      <c r="L100" s="34"/>
      <c r="M100" s="34"/>
      <c r="N100" s="11" t="s">
        <v>133</v>
      </c>
      <c r="O100" s="11" t="s">
        <v>133</v>
      </c>
      <c r="P100" s="11" t="s">
        <v>133</v>
      </c>
      <c r="Q100" s="11" t="s">
        <v>133</v>
      </c>
      <c r="R100" s="11" t="s">
        <v>133</v>
      </c>
      <c r="S100" s="46"/>
      <c r="T100" s="44" t="n">
        <f aca="false">IF($B100="","",COUNTA($N100:$R100)-COUNTIF($N100:$R100,"Not Invited"))</f>
        <v>0</v>
      </c>
      <c r="U100" s="44" t="n">
        <f aca="false">IF($B100="","",COUNTIF($N100:$R100,"Attended"))</f>
        <v>0</v>
      </c>
      <c r="V100" s="47" t="str">
        <f aca="false">IF($B100="","",_xlfn.TEXTJOIN(", ",TRUE(),IF($N100="Attended",Setup!$D$15,""),IF($O100="Attended",Setup!$D$16,""),IF($P100="Attended",Setup!$D$17,""),IF($Q100="Attended",Setup!$D$18,""),IF($R100="Attended",Setup!$D$19,"")))</f>
        <v/>
      </c>
      <c r="W100" s="48" t="str">
        <f aca="true">IF(OR($B100="",NOT(ISNUMBER($H100))),"",TODAY()-$H100)</f>
        <v/>
      </c>
      <c r="X100" s="47" t="str">
        <f aca="false">IF($B100="","",IF($U100&gt;0,"Event attendee",IF($G100="Yes","Met (no event)",IF($T100&gt;0,"Invited only",IF(OR($L100="Yes",$M100="Yes"),"Contacted only","Not yet contacted")))))</f>
        <v>Not yet contacted</v>
      </c>
      <c r="Y100" s="47" t="n">
        <f aca="false">IF($B100="","",COUNTIF(c_Firm,"&lt;"&amp;$D100)+COUNTIFS(c_Firm,$D100,c_Name,"&lt;"&amp;$B100)+COUNTIFS($D$2:$D100,$D100,$B$2:$B100,$B100))</f>
        <v>99</v>
      </c>
      <c r="Z100" s="47" t="n">
        <f aca="false">IF($B100="","",IF(AND(OR(Contacts!$C$3="(All)",$D100=Contacts!$C$3),OR(Contacts!$E$3="(All)",$G100=Contacts!$E$3),OR(Contacts!$G$3="(All)",ISNUMBER(SEARCH(Contacts!$G$3,$V100))),OR(Contacts!$I$3="(All)",$X100=Contacts!$I$3),OR(Contacts!$K$3="",ISNUMBER(SEARCH(Contacts!$K$3,$B100&amp;" "&amp;$C100&amp;" "&amp;$D100&amp;" "&amp;$S100)))),1,0))</f>
        <v>1</v>
      </c>
      <c r="AA100" s="47" t="n">
        <f aca="false">IF($Z100=1,COUNTIFS(c_Pass,1,c_Sort,"&lt;="&amp;$Y100),"")</f>
        <v>99</v>
      </c>
      <c r="AB100" s="47" t="str">
        <f aca="false">IF(OR($G100&lt;&gt;"Yes",NOT(ISNUMBER($H100))),"",COUNTIFS(c_Met,"Yes",c_Date,"&lt;"&amp;$H100)+COUNTIFS($G$2:$G100,"Yes",$H$2:$H100,$H100))</f>
        <v/>
      </c>
    </row>
    <row r="101" customFormat="false" ht="15" hidden="false" customHeight="false" outlineLevel="0" collapsed="false">
      <c r="A101" s="44" t="n">
        <f aca="false">IF($B101="","",COUNTA($B$2:$B101))</f>
        <v>100</v>
      </c>
      <c r="B101" s="11" t="s">
        <v>328</v>
      </c>
      <c r="C101" s="11"/>
      <c r="D101" s="11" t="s">
        <v>30</v>
      </c>
      <c r="E101" s="11" t="s">
        <v>193</v>
      </c>
      <c r="F101" s="11" t="s">
        <v>68</v>
      </c>
      <c r="G101" s="34" t="s">
        <v>132</v>
      </c>
      <c r="H101" s="25"/>
      <c r="I101" s="40" t="n">
        <v>0</v>
      </c>
      <c r="J101" s="34" t="s">
        <v>132</v>
      </c>
      <c r="K101" s="45"/>
      <c r="L101" s="34"/>
      <c r="M101" s="34"/>
      <c r="N101" s="11" t="s">
        <v>133</v>
      </c>
      <c r="O101" s="11" t="s">
        <v>133</v>
      </c>
      <c r="P101" s="11" t="s">
        <v>133</v>
      </c>
      <c r="Q101" s="11" t="s">
        <v>133</v>
      </c>
      <c r="R101" s="11" t="s">
        <v>133</v>
      </c>
      <c r="S101" s="46"/>
      <c r="T101" s="44" t="n">
        <f aca="false">IF($B101="","",COUNTA($N101:$R101)-COUNTIF($N101:$R101,"Not Invited"))</f>
        <v>0</v>
      </c>
      <c r="U101" s="44" t="n">
        <f aca="false">IF($B101="","",COUNTIF($N101:$R101,"Attended"))</f>
        <v>0</v>
      </c>
      <c r="V101" s="47" t="str">
        <f aca="false">IF($B101="","",_xlfn.TEXTJOIN(", ",TRUE(),IF($N101="Attended",Setup!$D$15,""),IF($O101="Attended",Setup!$D$16,""),IF($P101="Attended",Setup!$D$17,""),IF($Q101="Attended",Setup!$D$18,""),IF($R101="Attended",Setup!$D$19,"")))</f>
        <v/>
      </c>
      <c r="W101" s="48" t="str">
        <f aca="true">IF(OR($B101="",NOT(ISNUMBER($H101))),"",TODAY()-$H101)</f>
        <v/>
      </c>
      <c r="X101" s="47" t="str">
        <f aca="false">IF($B101="","",IF($U101&gt;0,"Event attendee",IF($G101="Yes","Met (no event)",IF($T101&gt;0,"Invited only",IF(OR($L101="Yes",$M101="Yes"),"Contacted only","Not yet contacted")))))</f>
        <v>Not yet contacted</v>
      </c>
      <c r="Y101" s="47" t="n">
        <f aca="false">IF($B101="","",COUNTIF(c_Firm,"&lt;"&amp;$D101)+COUNTIFS(c_Firm,$D101,c_Name,"&lt;"&amp;$B101)+COUNTIFS($D$2:$D101,$D101,$B$2:$B101,$B101))</f>
        <v>100</v>
      </c>
      <c r="Z101" s="47" t="n">
        <f aca="false">IF($B101="","",IF(AND(OR(Contacts!$C$3="(All)",$D101=Contacts!$C$3),OR(Contacts!$E$3="(All)",$G101=Contacts!$E$3),OR(Contacts!$G$3="(All)",ISNUMBER(SEARCH(Contacts!$G$3,$V101))),OR(Contacts!$I$3="(All)",$X101=Contacts!$I$3),OR(Contacts!$K$3="",ISNUMBER(SEARCH(Contacts!$K$3,$B101&amp;" "&amp;$C101&amp;" "&amp;$D101&amp;" "&amp;$S101)))),1,0))</f>
        <v>1</v>
      </c>
      <c r="AA101" s="47" t="n">
        <f aca="false">IF($Z101=1,COUNTIFS(c_Pass,1,c_Sort,"&lt;="&amp;$Y101),"")</f>
        <v>100</v>
      </c>
      <c r="AB101" s="47" t="str">
        <f aca="false">IF(OR($G101&lt;&gt;"Yes",NOT(ISNUMBER($H101))),"",COUNTIFS(c_Met,"Yes",c_Date,"&lt;"&amp;$H101)+COUNTIFS($G$2:$G101,"Yes",$H$2:$H101,$H101))</f>
        <v/>
      </c>
    </row>
    <row r="102" customFormat="false" ht="15" hidden="false" customHeight="false" outlineLevel="0" collapsed="false">
      <c r="A102" s="44" t="n">
        <f aca="false">IF($B102="","",COUNTA($B$2:$B102))</f>
        <v>101</v>
      </c>
      <c r="B102" s="11" t="s">
        <v>329</v>
      </c>
      <c r="C102" s="11" t="s">
        <v>330</v>
      </c>
      <c r="D102" s="11" t="s">
        <v>30</v>
      </c>
      <c r="E102" s="11" t="s">
        <v>131</v>
      </c>
      <c r="F102" s="11" t="s">
        <v>66</v>
      </c>
      <c r="G102" s="34" t="s">
        <v>132</v>
      </c>
      <c r="H102" s="25"/>
      <c r="I102" s="40" t="n">
        <v>0</v>
      </c>
      <c r="J102" s="34" t="s">
        <v>132</v>
      </c>
      <c r="K102" s="45"/>
      <c r="L102" s="34"/>
      <c r="M102" s="34"/>
      <c r="N102" s="11" t="s">
        <v>133</v>
      </c>
      <c r="O102" s="11" t="s">
        <v>55</v>
      </c>
      <c r="P102" s="11" t="s">
        <v>133</v>
      </c>
      <c r="Q102" s="11" t="s">
        <v>133</v>
      </c>
      <c r="R102" s="11" t="s">
        <v>133</v>
      </c>
      <c r="S102" s="46"/>
      <c r="T102" s="44" t="n">
        <f aca="false">IF($B102="","",COUNTA($N102:$R102)-COUNTIF($N102:$R102,"Not Invited"))</f>
        <v>1</v>
      </c>
      <c r="U102" s="44" t="n">
        <f aca="false">IF($B102="","",COUNTIF($N102:$R102,"Attended"))</f>
        <v>1</v>
      </c>
      <c r="V102" s="47" t="str">
        <f aca="false">IF($B102="","",_xlfn.TEXTJOIN(", ",TRUE(),IF($N102="Attended",Setup!$D$15,""),IF($O102="Attended",Setup!$D$16,""),IF($P102="Attended",Setup!$D$17,""),IF($Q102="Attended",Setup!$D$18,""),IF($R102="Attended",Setup!$D$19,"")))</f>
        <v>May-26 Symposium</v>
      </c>
      <c r="W102" s="48" t="str">
        <f aca="true">IF(OR($B102="",NOT(ISNUMBER($H102))),"",TODAY()-$H102)</f>
        <v/>
      </c>
      <c r="X102" s="47" t="str">
        <f aca="false">IF($B102="","",IF($U102&gt;0,"Event attendee",IF($G102="Yes","Met (no event)",IF($T102&gt;0,"Invited only",IF(OR($L102="Yes",$M102="Yes"),"Contacted only","Not yet contacted")))))</f>
        <v>Event attendee</v>
      </c>
      <c r="Y102" s="47" t="n">
        <f aca="false">IF($B102="","",COUNTIF(c_Firm,"&lt;"&amp;$D102)+COUNTIFS(c_Firm,$D102,c_Name,"&lt;"&amp;$B102)+COUNTIFS($D$2:$D102,$D102,$B$2:$B102,$B102))</f>
        <v>101</v>
      </c>
      <c r="Z102" s="47" t="n">
        <f aca="false">IF($B102="","",IF(AND(OR(Contacts!$C$3="(All)",$D102=Contacts!$C$3),OR(Contacts!$E$3="(All)",$G102=Contacts!$E$3),OR(Contacts!$G$3="(All)",ISNUMBER(SEARCH(Contacts!$G$3,$V102))),OR(Contacts!$I$3="(All)",$X102=Contacts!$I$3),OR(Contacts!$K$3="",ISNUMBER(SEARCH(Contacts!$K$3,$B102&amp;" "&amp;$C102&amp;" "&amp;$D102&amp;" "&amp;$S102)))),1,0))</f>
        <v>1</v>
      </c>
      <c r="AA102" s="47" t="n">
        <f aca="false">IF($Z102=1,COUNTIFS(c_Pass,1,c_Sort,"&lt;="&amp;$Y102),"")</f>
        <v>101</v>
      </c>
      <c r="AB102" s="47" t="str">
        <f aca="false">IF(OR($G102&lt;&gt;"Yes",NOT(ISNUMBER($H102))),"",COUNTIFS(c_Met,"Yes",c_Date,"&lt;"&amp;$H102)+COUNTIFS($G$2:$G102,"Yes",$H$2:$H102,$H102))</f>
        <v/>
      </c>
    </row>
    <row r="103" customFormat="false" ht="15" hidden="false" customHeight="false" outlineLevel="0" collapsed="false">
      <c r="A103" s="44" t="n">
        <f aca="false">IF($B103="","",COUNTA($B$2:$B103))</f>
        <v>102</v>
      </c>
      <c r="B103" s="11" t="s">
        <v>331</v>
      </c>
      <c r="C103" s="11"/>
      <c r="D103" s="11" t="s">
        <v>30</v>
      </c>
      <c r="E103" s="11" t="s">
        <v>311</v>
      </c>
      <c r="F103" s="11" t="s">
        <v>68</v>
      </c>
      <c r="G103" s="34" t="s">
        <v>132</v>
      </c>
      <c r="H103" s="25"/>
      <c r="I103" s="40" t="n">
        <v>0</v>
      </c>
      <c r="J103" s="34" t="s">
        <v>132</v>
      </c>
      <c r="K103" s="45"/>
      <c r="L103" s="34"/>
      <c r="M103" s="34"/>
      <c r="N103" s="11" t="s">
        <v>133</v>
      </c>
      <c r="O103" s="11" t="s">
        <v>133</v>
      </c>
      <c r="P103" s="11" t="s">
        <v>133</v>
      </c>
      <c r="Q103" s="11" t="s">
        <v>133</v>
      </c>
      <c r="R103" s="11" t="s">
        <v>133</v>
      </c>
      <c r="S103" s="46" t="s">
        <v>312</v>
      </c>
      <c r="T103" s="44" t="n">
        <f aca="false">IF($B103="","",COUNTA($N103:$R103)-COUNTIF($N103:$R103,"Not Invited"))</f>
        <v>0</v>
      </c>
      <c r="U103" s="44" t="n">
        <f aca="false">IF($B103="","",COUNTIF($N103:$R103,"Attended"))</f>
        <v>0</v>
      </c>
      <c r="V103" s="47" t="str">
        <f aca="false">IF($B103="","",_xlfn.TEXTJOIN(", ",TRUE(),IF($N103="Attended",Setup!$D$15,""),IF($O103="Attended",Setup!$D$16,""),IF($P103="Attended",Setup!$D$17,""),IF($Q103="Attended",Setup!$D$18,""),IF($R103="Attended",Setup!$D$19,"")))</f>
        <v/>
      </c>
      <c r="W103" s="48" t="str">
        <f aca="true">IF(OR($B103="",NOT(ISNUMBER($H103))),"",TODAY()-$H103)</f>
        <v/>
      </c>
      <c r="X103" s="47" t="str">
        <f aca="false">IF($B103="","",IF($U103&gt;0,"Event attendee",IF($G103="Yes","Met (no event)",IF($T103&gt;0,"Invited only",IF(OR($L103="Yes",$M103="Yes"),"Contacted only","Not yet contacted")))))</f>
        <v>Not yet contacted</v>
      </c>
      <c r="Y103" s="47" t="n">
        <f aca="false">IF($B103="","",COUNTIF(c_Firm,"&lt;"&amp;$D103)+COUNTIFS(c_Firm,$D103,c_Name,"&lt;"&amp;$B103)+COUNTIFS($D$2:$D103,$D103,$B$2:$B103,$B103))</f>
        <v>102</v>
      </c>
      <c r="Z103" s="47" t="n">
        <f aca="false">IF($B103="","",IF(AND(OR(Contacts!$C$3="(All)",$D103=Contacts!$C$3),OR(Contacts!$E$3="(All)",$G103=Contacts!$E$3),OR(Contacts!$G$3="(All)",ISNUMBER(SEARCH(Contacts!$G$3,$V103))),OR(Contacts!$I$3="(All)",$X103=Contacts!$I$3),OR(Contacts!$K$3="",ISNUMBER(SEARCH(Contacts!$K$3,$B103&amp;" "&amp;$C103&amp;" "&amp;$D103&amp;" "&amp;$S103)))),1,0))</f>
        <v>1</v>
      </c>
      <c r="AA103" s="47" t="n">
        <f aca="false">IF($Z103=1,COUNTIFS(c_Pass,1,c_Sort,"&lt;="&amp;$Y103),"")</f>
        <v>102</v>
      </c>
      <c r="AB103" s="47" t="str">
        <f aca="false">IF(OR($G103&lt;&gt;"Yes",NOT(ISNUMBER($H103))),"",COUNTIFS(c_Met,"Yes",c_Date,"&lt;"&amp;$H103)+COUNTIFS($G$2:$G103,"Yes",$H$2:$H103,$H103))</f>
        <v/>
      </c>
    </row>
    <row r="104" customFormat="false" ht="15" hidden="false" customHeight="false" outlineLevel="0" collapsed="false">
      <c r="A104" s="44" t="n">
        <f aca="false">IF($B104="","",COUNTA($B$2:$B104))</f>
        <v>103</v>
      </c>
      <c r="B104" s="11" t="s">
        <v>332</v>
      </c>
      <c r="C104" s="11"/>
      <c r="D104" s="11" t="s">
        <v>30</v>
      </c>
      <c r="E104" s="11" t="s">
        <v>193</v>
      </c>
      <c r="F104" s="11" t="s">
        <v>68</v>
      </c>
      <c r="G104" s="34" t="s">
        <v>132</v>
      </c>
      <c r="H104" s="25"/>
      <c r="I104" s="40" t="n">
        <v>0</v>
      </c>
      <c r="J104" s="34" t="s">
        <v>132</v>
      </c>
      <c r="K104" s="45"/>
      <c r="L104" s="34"/>
      <c r="M104" s="34"/>
      <c r="N104" s="11" t="s">
        <v>133</v>
      </c>
      <c r="O104" s="11" t="s">
        <v>133</v>
      </c>
      <c r="P104" s="11" t="s">
        <v>133</v>
      </c>
      <c r="Q104" s="11" t="s">
        <v>133</v>
      </c>
      <c r="R104" s="11" t="s">
        <v>133</v>
      </c>
      <c r="S104" s="46"/>
      <c r="T104" s="44" t="n">
        <f aca="false">IF($B104="","",COUNTA($N104:$R104)-COUNTIF($N104:$R104,"Not Invited"))</f>
        <v>0</v>
      </c>
      <c r="U104" s="44" t="n">
        <f aca="false">IF($B104="","",COUNTIF($N104:$R104,"Attended"))</f>
        <v>0</v>
      </c>
      <c r="V104" s="47" t="str">
        <f aca="false">IF($B104="","",_xlfn.TEXTJOIN(", ",TRUE(),IF($N104="Attended",Setup!$D$15,""),IF($O104="Attended",Setup!$D$16,""),IF($P104="Attended",Setup!$D$17,""),IF($Q104="Attended",Setup!$D$18,""),IF($R104="Attended",Setup!$D$19,"")))</f>
        <v/>
      </c>
      <c r="W104" s="48" t="str">
        <f aca="true">IF(OR($B104="",NOT(ISNUMBER($H104))),"",TODAY()-$H104)</f>
        <v/>
      </c>
      <c r="X104" s="47" t="str">
        <f aca="false">IF($B104="","",IF($U104&gt;0,"Event attendee",IF($G104="Yes","Met (no event)",IF($T104&gt;0,"Invited only",IF(OR($L104="Yes",$M104="Yes"),"Contacted only","Not yet contacted")))))</f>
        <v>Not yet contacted</v>
      </c>
      <c r="Y104" s="47" t="n">
        <f aca="false">IF($B104="","",COUNTIF(c_Firm,"&lt;"&amp;$D104)+COUNTIFS(c_Firm,$D104,c_Name,"&lt;"&amp;$B104)+COUNTIFS($D$2:$D104,$D104,$B$2:$B104,$B104))</f>
        <v>103</v>
      </c>
      <c r="Z104" s="47" t="n">
        <f aca="false">IF($B104="","",IF(AND(OR(Contacts!$C$3="(All)",$D104=Contacts!$C$3),OR(Contacts!$E$3="(All)",$G104=Contacts!$E$3),OR(Contacts!$G$3="(All)",ISNUMBER(SEARCH(Contacts!$G$3,$V104))),OR(Contacts!$I$3="(All)",$X104=Contacts!$I$3),OR(Contacts!$K$3="",ISNUMBER(SEARCH(Contacts!$K$3,$B104&amp;" "&amp;$C104&amp;" "&amp;$D104&amp;" "&amp;$S104)))),1,0))</f>
        <v>1</v>
      </c>
      <c r="AA104" s="47" t="n">
        <f aca="false">IF($Z104=1,COUNTIFS(c_Pass,1,c_Sort,"&lt;="&amp;$Y104),"")</f>
        <v>103</v>
      </c>
      <c r="AB104" s="47" t="str">
        <f aca="false">IF(OR($G104&lt;&gt;"Yes",NOT(ISNUMBER($H104))),"",COUNTIFS(c_Met,"Yes",c_Date,"&lt;"&amp;$H104)+COUNTIFS($G$2:$G104,"Yes",$H$2:$H104,$H104))</f>
        <v/>
      </c>
    </row>
    <row r="105" customFormat="false" ht="15" hidden="false" customHeight="false" outlineLevel="0" collapsed="false">
      <c r="A105" s="44" t="n">
        <f aca="false">IF($B105="","",COUNTA($B$2:$B105))</f>
        <v>104</v>
      </c>
      <c r="B105" s="11" t="s">
        <v>333</v>
      </c>
      <c r="C105" s="11"/>
      <c r="D105" s="11" t="s">
        <v>30</v>
      </c>
      <c r="E105" s="11" t="s">
        <v>131</v>
      </c>
      <c r="F105" s="11" t="s">
        <v>66</v>
      </c>
      <c r="G105" s="34" t="s">
        <v>142</v>
      </c>
      <c r="H105" s="25" t="n">
        <v>46132</v>
      </c>
      <c r="I105" s="40" t="n">
        <v>1</v>
      </c>
      <c r="J105" s="34" t="s">
        <v>132</v>
      </c>
      <c r="K105" s="45"/>
      <c r="L105" s="34"/>
      <c r="M105" s="34"/>
      <c r="N105" s="11" t="s">
        <v>143</v>
      </c>
      <c r="O105" s="11" t="s">
        <v>143</v>
      </c>
      <c r="P105" s="11" t="s">
        <v>133</v>
      </c>
      <c r="Q105" s="11" t="s">
        <v>133</v>
      </c>
      <c r="R105" s="11" t="s">
        <v>133</v>
      </c>
      <c r="S105" s="46"/>
      <c r="T105" s="44" t="n">
        <f aca="false">IF($B105="","",COUNTA($N105:$R105)-COUNTIF($N105:$R105,"Not Invited"))</f>
        <v>2</v>
      </c>
      <c r="U105" s="44" t="n">
        <f aca="false">IF($B105="","",COUNTIF($N105:$R105,"Attended"))</f>
        <v>0</v>
      </c>
      <c r="V105" s="47" t="str">
        <f aca="false">IF($B105="","",_xlfn.TEXTJOIN(", ",TRUE(),IF($N105="Attended",Setup!$D$15,""),IF($O105="Attended",Setup!$D$16,""),IF($P105="Attended",Setup!$D$17,""),IF($Q105="Attended",Setup!$D$18,""),IF($R105="Attended",Setup!$D$19,"")))</f>
        <v/>
      </c>
      <c r="W105" s="48" t="n">
        <f aca="true">IF(OR($B105="",NOT(ISNUMBER($H105))),"",TODAY()-$H105)</f>
        <v>109</v>
      </c>
      <c r="X105" s="47" t="str">
        <f aca="false">IF($B105="","",IF($U105&gt;0,"Event attendee",IF($G105="Yes","Met (no event)",IF($T105&gt;0,"Invited only",IF(OR($L105="Yes",$M105="Yes"),"Contacted only","Not yet contacted")))))</f>
        <v>Met (no event)</v>
      </c>
      <c r="Y105" s="47" t="n">
        <f aca="false">IF($B105="","",COUNTIF(c_Firm,"&lt;"&amp;$D105)+COUNTIFS(c_Firm,$D105,c_Name,"&lt;"&amp;$B105)+COUNTIFS($D$2:$D105,$D105,$B$2:$B105,$B105))</f>
        <v>104</v>
      </c>
      <c r="Z105" s="47" t="n">
        <f aca="false">IF($B105="","",IF(AND(OR(Contacts!$C$3="(All)",$D105=Contacts!$C$3),OR(Contacts!$E$3="(All)",$G105=Contacts!$E$3),OR(Contacts!$G$3="(All)",ISNUMBER(SEARCH(Contacts!$G$3,$V105))),OR(Contacts!$I$3="(All)",$X105=Contacts!$I$3),OR(Contacts!$K$3="",ISNUMBER(SEARCH(Contacts!$K$3,$B105&amp;" "&amp;$C105&amp;" "&amp;$D105&amp;" "&amp;$S105)))),1,0))</f>
        <v>1</v>
      </c>
      <c r="AA105" s="47" t="n">
        <f aca="false">IF($Z105=1,COUNTIFS(c_Pass,1,c_Sort,"&lt;="&amp;$Y105),"")</f>
        <v>104</v>
      </c>
      <c r="AB105" s="47" t="n">
        <f aca="false">IF(OR($G105&lt;&gt;"Yes",NOT(ISNUMBER($H105))),"",COUNTIFS(c_Met,"Yes",c_Date,"&lt;"&amp;$H105)+COUNTIFS($G$2:$G105,"Yes",$H$2:$H105,$H105))</f>
        <v>50</v>
      </c>
    </row>
    <row r="106" customFormat="false" ht="15" hidden="false" customHeight="false" outlineLevel="0" collapsed="false">
      <c r="A106" s="44" t="n">
        <f aca="false">IF($B106="","",COUNTA($B$2:$B106))</f>
        <v>105</v>
      </c>
      <c r="B106" s="11" t="s">
        <v>334</v>
      </c>
      <c r="C106" s="11" t="s">
        <v>335</v>
      </c>
      <c r="D106" s="11" t="s">
        <v>30</v>
      </c>
      <c r="E106" s="11" t="s">
        <v>131</v>
      </c>
      <c r="F106" s="11" t="s">
        <v>207</v>
      </c>
      <c r="G106" s="34" t="s">
        <v>132</v>
      </c>
      <c r="H106" s="25"/>
      <c r="I106" s="40" t="n">
        <v>0</v>
      </c>
      <c r="J106" s="34" t="s">
        <v>132</v>
      </c>
      <c r="K106" s="45" t="n">
        <v>20000000</v>
      </c>
      <c r="L106" s="34"/>
      <c r="M106" s="34"/>
      <c r="N106" s="11" t="s">
        <v>55</v>
      </c>
      <c r="O106" s="11" t="s">
        <v>57</v>
      </c>
      <c r="P106" s="11" t="s">
        <v>133</v>
      </c>
      <c r="Q106" s="11" t="s">
        <v>133</v>
      </c>
      <c r="R106" s="11" t="s">
        <v>133</v>
      </c>
      <c r="S106" s="46" t="s">
        <v>146</v>
      </c>
      <c r="T106" s="44" t="n">
        <f aca="false">IF($B106="","",COUNTA($N106:$R106)-COUNTIF($N106:$R106,"Not Invited"))</f>
        <v>2</v>
      </c>
      <c r="U106" s="44" t="n">
        <f aca="false">IF($B106="","",COUNTIF($N106:$R106,"Attended"))</f>
        <v>1</v>
      </c>
      <c r="V106" s="47" t="str">
        <f aca="false">IF($B106="","",_xlfn.TEXTJOIN(", ",TRUE(),IF($N106="Attended",Setup!$D$15,""),IF($O106="Attended",Setup!$D$16,""),IF($P106="Attended",Setup!$D$17,""),IF($Q106="Attended",Setup!$D$18,""),IF($R106="Attended",Setup!$D$19,"")))</f>
        <v>Oct-25 Symposium</v>
      </c>
      <c r="W106" s="48" t="str">
        <f aca="true">IF(OR($B106="",NOT(ISNUMBER($H106))),"",TODAY()-$H106)</f>
        <v/>
      </c>
      <c r="X106" s="47" t="str">
        <f aca="false">IF($B106="","",IF($U106&gt;0,"Event attendee",IF($G106="Yes","Met (no event)",IF($T106&gt;0,"Invited only",IF(OR($L106="Yes",$M106="Yes"),"Contacted only","Not yet contacted")))))</f>
        <v>Event attendee</v>
      </c>
      <c r="Y106" s="47" t="n">
        <f aca="false">IF($B106="","",COUNTIF(c_Firm,"&lt;"&amp;$D106)+COUNTIFS(c_Firm,$D106,c_Name,"&lt;"&amp;$B106)+COUNTIFS($D$2:$D106,$D106,$B$2:$B106,$B106))</f>
        <v>105</v>
      </c>
      <c r="Z106" s="47" t="n">
        <f aca="false">IF($B106="","",IF(AND(OR(Contacts!$C$3="(All)",$D106=Contacts!$C$3),OR(Contacts!$E$3="(All)",$G106=Contacts!$E$3),OR(Contacts!$G$3="(All)",ISNUMBER(SEARCH(Contacts!$G$3,$V106))),OR(Contacts!$I$3="(All)",$X106=Contacts!$I$3),OR(Contacts!$K$3="",ISNUMBER(SEARCH(Contacts!$K$3,$B106&amp;" "&amp;$C106&amp;" "&amp;$D106&amp;" "&amp;$S106)))),1,0))</f>
        <v>1</v>
      </c>
      <c r="AA106" s="47" t="n">
        <f aca="false">IF($Z106=1,COUNTIFS(c_Pass,1,c_Sort,"&lt;="&amp;$Y106),"")</f>
        <v>105</v>
      </c>
      <c r="AB106" s="47" t="str">
        <f aca="false">IF(OR($G106&lt;&gt;"Yes",NOT(ISNUMBER($H106))),"",COUNTIFS(c_Met,"Yes",c_Date,"&lt;"&amp;$H106)+COUNTIFS($G$2:$G106,"Yes",$H$2:$H106,$H106))</f>
        <v/>
      </c>
    </row>
    <row r="107" customFormat="false" ht="15" hidden="false" customHeight="false" outlineLevel="0" collapsed="false">
      <c r="A107" s="44" t="n">
        <f aca="false">IF($B107="","",COUNTA($B$2:$B107))</f>
        <v>106</v>
      </c>
      <c r="B107" s="11" t="s">
        <v>336</v>
      </c>
      <c r="C107" s="11" t="s">
        <v>337</v>
      </c>
      <c r="D107" s="11" t="s">
        <v>30</v>
      </c>
      <c r="E107" s="11" t="s">
        <v>131</v>
      </c>
      <c r="F107" s="11" t="s">
        <v>141</v>
      </c>
      <c r="G107" s="34" t="s">
        <v>132</v>
      </c>
      <c r="H107" s="25"/>
      <c r="I107" s="40" t="n">
        <v>0</v>
      </c>
      <c r="J107" s="34" t="s">
        <v>132</v>
      </c>
      <c r="K107" s="45" t="n">
        <v>40000000</v>
      </c>
      <c r="L107" s="34"/>
      <c r="M107" s="34"/>
      <c r="N107" s="11" t="s">
        <v>55</v>
      </c>
      <c r="O107" s="11" t="s">
        <v>55</v>
      </c>
      <c r="P107" s="11" t="s">
        <v>133</v>
      </c>
      <c r="Q107" s="11" t="s">
        <v>133</v>
      </c>
      <c r="R107" s="11" t="s">
        <v>133</v>
      </c>
      <c r="S107" s="46"/>
      <c r="T107" s="44" t="n">
        <f aca="false">IF($B107="","",COUNTA($N107:$R107)-COUNTIF($N107:$R107,"Not Invited"))</f>
        <v>2</v>
      </c>
      <c r="U107" s="44" t="n">
        <f aca="false">IF($B107="","",COUNTIF($N107:$R107,"Attended"))</f>
        <v>2</v>
      </c>
      <c r="V107" s="47" t="str">
        <f aca="false">IF($B107="","",_xlfn.TEXTJOIN(", ",TRUE(),IF($N107="Attended",Setup!$D$15,""),IF($O107="Attended",Setup!$D$16,""),IF($P107="Attended",Setup!$D$17,""),IF($Q107="Attended",Setup!$D$18,""),IF($R107="Attended",Setup!$D$19,"")))</f>
        <v>Oct-25 Symposium, May-26 Symposium</v>
      </c>
      <c r="W107" s="48" t="str">
        <f aca="true">IF(OR($B107="",NOT(ISNUMBER($H107))),"",TODAY()-$H107)</f>
        <v/>
      </c>
      <c r="X107" s="47" t="str">
        <f aca="false">IF($B107="","",IF($U107&gt;0,"Event attendee",IF($G107="Yes","Met (no event)",IF($T107&gt;0,"Invited only",IF(OR($L107="Yes",$M107="Yes"),"Contacted only","Not yet contacted")))))</f>
        <v>Event attendee</v>
      </c>
      <c r="Y107" s="47" t="n">
        <f aca="false">IF($B107="","",COUNTIF(c_Firm,"&lt;"&amp;$D107)+COUNTIFS(c_Firm,$D107,c_Name,"&lt;"&amp;$B107)+COUNTIFS($D$2:$D107,$D107,$B$2:$B107,$B107))</f>
        <v>106</v>
      </c>
      <c r="Z107" s="47" t="n">
        <f aca="false">IF($B107="","",IF(AND(OR(Contacts!$C$3="(All)",$D107=Contacts!$C$3),OR(Contacts!$E$3="(All)",$G107=Contacts!$E$3),OR(Contacts!$G$3="(All)",ISNUMBER(SEARCH(Contacts!$G$3,$V107))),OR(Contacts!$I$3="(All)",$X107=Contacts!$I$3),OR(Contacts!$K$3="",ISNUMBER(SEARCH(Contacts!$K$3,$B107&amp;" "&amp;$C107&amp;" "&amp;$D107&amp;" "&amp;$S107)))),1,0))</f>
        <v>1</v>
      </c>
      <c r="AA107" s="47" t="n">
        <f aca="false">IF($Z107=1,COUNTIFS(c_Pass,1,c_Sort,"&lt;="&amp;$Y107),"")</f>
        <v>106</v>
      </c>
      <c r="AB107" s="47" t="str">
        <f aca="false">IF(OR($G107&lt;&gt;"Yes",NOT(ISNUMBER($H107))),"",COUNTIFS(c_Met,"Yes",c_Date,"&lt;"&amp;$H107)+COUNTIFS($G$2:$G107,"Yes",$H$2:$H107,$H107))</f>
        <v/>
      </c>
    </row>
    <row r="108" customFormat="false" ht="15" hidden="false" customHeight="false" outlineLevel="0" collapsed="false">
      <c r="A108" s="44" t="n">
        <f aca="false">IF($B108="","",COUNTA($B$2:$B108))</f>
        <v>107</v>
      </c>
      <c r="B108" s="11" t="s">
        <v>338</v>
      </c>
      <c r="C108" s="11" t="s">
        <v>339</v>
      </c>
      <c r="D108" s="11" t="s">
        <v>30</v>
      </c>
      <c r="E108" s="11" t="s">
        <v>131</v>
      </c>
      <c r="F108" s="11" t="s">
        <v>66</v>
      </c>
      <c r="G108" s="34" t="s">
        <v>132</v>
      </c>
      <c r="H108" s="25"/>
      <c r="I108" s="40" t="n">
        <v>0</v>
      </c>
      <c r="J108" s="34" t="s">
        <v>132</v>
      </c>
      <c r="K108" s="45"/>
      <c r="L108" s="34"/>
      <c r="M108" s="34"/>
      <c r="N108" s="11" t="s">
        <v>133</v>
      </c>
      <c r="O108" s="11" t="s">
        <v>55</v>
      </c>
      <c r="P108" s="11" t="s">
        <v>133</v>
      </c>
      <c r="Q108" s="11" t="s">
        <v>133</v>
      </c>
      <c r="R108" s="11" t="s">
        <v>133</v>
      </c>
      <c r="S108" s="46"/>
      <c r="T108" s="44" t="n">
        <f aca="false">IF($B108="","",COUNTA($N108:$R108)-COUNTIF($N108:$R108,"Not Invited"))</f>
        <v>1</v>
      </c>
      <c r="U108" s="44" t="n">
        <f aca="false">IF($B108="","",COUNTIF($N108:$R108,"Attended"))</f>
        <v>1</v>
      </c>
      <c r="V108" s="47" t="str">
        <f aca="false">IF($B108="","",_xlfn.TEXTJOIN(", ",TRUE(),IF($N108="Attended",Setup!$D$15,""),IF($O108="Attended",Setup!$D$16,""),IF($P108="Attended",Setup!$D$17,""),IF($Q108="Attended",Setup!$D$18,""),IF($R108="Attended",Setup!$D$19,"")))</f>
        <v>May-26 Symposium</v>
      </c>
      <c r="W108" s="48" t="str">
        <f aca="true">IF(OR($B108="",NOT(ISNUMBER($H108))),"",TODAY()-$H108)</f>
        <v/>
      </c>
      <c r="X108" s="47" t="str">
        <f aca="false">IF($B108="","",IF($U108&gt;0,"Event attendee",IF($G108="Yes","Met (no event)",IF($T108&gt;0,"Invited only",IF(OR($L108="Yes",$M108="Yes"),"Contacted only","Not yet contacted")))))</f>
        <v>Event attendee</v>
      </c>
      <c r="Y108" s="47" t="n">
        <f aca="false">IF($B108="","",COUNTIF(c_Firm,"&lt;"&amp;$D108)+COUNTIFS(c_Firm,$D108,c_Name,"&lt;"&amp;$B108)+COUNTIFS($D$2:$D108,$D108,$B$2:$B108,$B108))</f>
        <v>107</v>
      </c>
      <c r="Z108" s="47" t="n">
        <f aca="false">IF($B108="","",IF(AND(OR(Contacts!$C$3="(All)",$D108=Contacts!$C$3),OR(Contacts!$E$3="(All)",$G108=Contacts!$E$3),OR(Contacts!$G$3="(All)",ISNUMBER(SEARCH(Contacts!$G$3,$V108))),OR(Contacts!$I$3="(All)",$X108=Contacts!$I$3),OR(Contacts!$K$3="",ISNUMBER(SEARCH(Contacts!$K$3,$B108&amp;" "&amp;$C108&amp;" "&amp;$D108&amp;" "&amp;$S108)))),1,0))</f>
        <v>1</v>
      </c>
      <c r="AA108" s="47" t="n">
        <f aca="false">IF($Z108=1,COUNTIFS(c_Pass,1,c_Sort,"&lt;="&amp;$Y108),"")</f>
        <v>107</v>
      </c>
      <c r="AB108" s="47" t="str">
        <f aca="false">IF(OR($G108&lt;&gt;"Yes",NOT(ISNUMBER($H108))),"",COUNTIFS(c_Met,"Yes",c_Date,"&lt;"&amp;$H108)+COUNTIFS($G$2:$G108,"Yes",$H$2:$H108,$H108))</f>
        <v/>
      </c>
    </row>
    <row r="109" customFormat="false" ht="15" hidden="false" customHeight="false" outlineLevel="0" collapsed="false">
      <c r="A109" s="44" t="n">
        <f aca="false">IF($B109="","",COUNTA($B$2:$B109))</f>
        <v>108</v>
      </c>
      <c r="B109" s="11" t="s">
        <v>340</v>
      </c>
      <c r="C109" s="11"/>
      <c r="D109" s="11" t="s">
        <v>30</v>
      </c>
      <c r="E109" s="11" t="s">
        <v>193</v>
      </c>
      <c r="F109" s="11" t="s">
        <v>68</v>
      </c>
      <c r="G109" s="34" t="s">
        <v>132</v>
      </c>
      <c r="H109" s="25"/>
      <c r="I109" s="40" t="n">
        <v>0</v>
      </c>
      <c r="J109" s="34" t="s">
        <v>132</v>
      </c>
      <c r="K109" s="45"/>
      <c r="L109" s="34"/>
      <c r="M109" s="34"/>
      <c r="N109" s="11" t="s">
        <v>133</v>
      </c>
      <c r="O109" s="11" t="s">
        <v>133</v>
      </c>
      <c r="P109" s="11" t="s">
        <v>133</v>
      </c>
      <c r="Q109" s="11" t="s">
        <v>133</v>
      </c>
      <c r="R109" s="11" t="s">
        <v>133</v>
      </c>
      <c r="S109" s="46"/>
      <c r="T109" s="44" t="n">
        <f aca="false">IF($B109="","",COUNTA($N109:$R109)-COUNTIF($N109:$R109,"Not Invited"))</f>
        <v>0</v>
      </c>
      <c r="U109" s="44" t="n">
        <f aca="false">IF($B109="","",COUNTIF($N109:$R109,"Attended"))</f>
        <v>0</v>
      </c>
      <c r="V109" s="47" t="str">
        <f aca="false">IF($B109="","",_xlfn.TEXTJOIN(", ",TRUE(),IF($N109="Attended",Setup!$D$15,""),IF($O109="Attended",Setup!$D$16,""),IF($P109="Attended",Setup!$D$17,""),IF($Q109="Attended",Setup!$D$18,""),IF($R109="Attended",Setup!$D$19,"")))</f>
        <v/>
      </c>
      <c r="W109" s="48" t="str">
        <f aca="true">IF(OR($B109="",NOT(ISNUMBER($H109))),"",TODAY()-$H109)</f>
        <v/>
      </c>
      <c r="X109" s="47" t="str">
        <f aca="false">IF($B109="","",IF($U109&gt;0,"Event attendee",IF($G109="Yes","Met (no event)",IF($T109&gt;0,"Invited only",IF(OR($L109="Yes",$M109="Yes"),"Contacted only","Not yet contacted")))))</f>
        <v>Not yet contacted</v>
      </c>
      <c r="Y109" s="47" t="n">
        <f aca="false">IF($B109="","",COUNTIF(c_Firm,"&lt;"&amp;$D109)+COUNTIFS(c_Firm,$D109,c_Name,"&lt;"&amp;$B109)+COUNTIFS($D$2:$D109,$D109,$B$2:$B109,$B109))</f>
        <v>108</v>
      </c>
      <c r="Z109" s="47" t="n">
        <f aca="false">IF($B109="","",IF(AND(OR(Contacts!$C$3="(All)",$D109=Contacts!$C$3),OR(Contacts!$E$3="(All)",$G109=Contacts!$E$3),OR(Contacts!$G$3="(All)",ISNUMBER(SEARCH(Contacts!$G$3,$V109))),OR(Contacts!$I$3="(All)",$X109=Contacts!$I$3),OR(Contacts!$K$3="",ISNUMBER(SEARCH(Contacts!$K$3,$B109&amp;" "&amp;$C109&amp;" "&amp;$D109&amp;" "&amp;$S109)))),1,0))</f>
        <v>1</v>
      </c>
      <c r="AA109" s="47" t="n">
        <f aca="false">IF($Z109=1,COUNTIFS(c_Pass,1,c_Sort,"&lt;="&amp;$Y109),"")</f>
        <v>108</v>
      </c>
      <c r="AB109" s="47" t="str">
        <f aca="false">IF(OR($G109&lt;&gt;"Yes",NOT(ISNUMBER($H109))),"",COUNTIFS(c_Met,"Yes",c_Date,"&lt;"&amp;$H109)+COUNTIFS($G$2:$G109,"Yes",$H$2:$H109,$H109))</f>
        <v/>
      </c>
    </row>
    <row r="110" customFormat="false" ht="15" hidden="false" customHeight="false" outlineLevel="0" collapsed="false">
      <c r="A110" s="44" t="n">
        <f aca="false">IF($B110="","",COUNTA($B$2:$B110))</f>
        <v>109</v>
      </c>
      <c r="B110" s="11" t="s">
        <v>341</v>
      </c>
      <c r="C110" s="11"/>
      <c r="D110" s="11" t="s">
        <v>30</v>
      </c>
      <c r="E110" s="11" t="s">
        <v>311</v>
      </c>
      <c r="F110" s="11" t="s">
        <v>68</v>
      </c>
      <c r="G110" s="34" t="s">
        <v>132</v>
      </c>
      <c r="H110" s="25"/>
      <c r="I110" s="40" t="n">
        <v>0</v>
      </c>
      <c r="J110" s="34" t="s">
        <v>132</v>
      </c>
      <c r="K110" s="45"/>
      <c r="L110" s="34"/>
      <c r="M110" s="34"/>
      <c r="N110" s="11" t="s">
        <v>133</v>
      </c>
      <c r="O110" s="11" t="s">
        <v>133</v>
      </c>
      <c r="P110" s="11" t="s">
        <v>133</v>
      </c>
      <c r="Q110" s="11" t="s">
        <v>133</v>
      </c>
      <c r="R110" s="11" t="s">
        <v>133</v>
      </c>
      <c r="S110" s="46" t="s">
        <v>312</v>
      </c>
      <c r="T110" s="44" t="n">
        <f aca="false">IF($B110="","",COUNTA($N110:$R110)-COUNTIF($N110:$R110,"Not Invited"))</f>
        <v>0</v>
      </c>
      <c r="U110" s="44" t="n">
        <f aca="false">IF($B110="","",COUNTIF($N110:$R110,"Attended"))</f>
        <v>0</v>
      </c>
      <c r="V110" s="47" t="str">
        <f aca="false">IF($B110="","",_xlfn.TEXTJOIN(", ",TRUE(),IF($N110="Attended",Setup!$D$15,""),IF($O110="Attended",Setup!$D$16,""),IF($P110="Attended",Setup!$D$17,""),IF($Q110="Attended",Setup!$D$18,""),IF($R110="Attended",Setup!$D$19,"")))</f>
        <v/>
      </c>
      <c r="W110" s="48" t="str">
        <f aca="true">IF(OR($B110="",NOT(ISNUMBER($H110))),"",TODAY()-$H110)</f>
        <v/>
      </c>
      <c r="X110" s="47" t="str">
        <f aca="false">IF($B110="","",IF($U110&gt;0,"Event attendee",IF($G110="Yes","Met (no event)",IF($T110&gt;0,"Invited only",IF(OR($L110="Yes",$M110="Yes"),"Contacted only","Not yet contacted")))))</f>
        <v>Not yet contacted</v>
      </c>
      <c r="Y110" s="47" t="n">
        <f aca="false">IF($B110="","",COUNTIF(c_Firm,"&lt;"&amp;$D110)+COUNTIFS(c_Firm,$D110,c_Name,"&lt;"&amp;$B110)+COUNTIFS($D$2:$D110,$D110,$B$2:$B110,$B110))</f>
        <v>109</v>
      </c>
      <c r="Z110" s="47" t="n">
        <f aca="false">IF($B110="","",IF(AND(OR(Contacts!$C$3="(All)",$D110=Contacts!$C$3),OR(Contacts!$E$3="(All)",$G110=Contacts!$E$3),OR(Contacts!$G$3="(All)",ISNUMBER(SEARCH(Contacts!$G$3,$V110))),OR(Contacts!$I$3="(All)",$X110=Contacts!$I$3),OR(Contacts!$K$3="",ISNUMBER(SEARCH(Contacts!$K$3,$B110&amp;" "&amp;$C110&amp;" "&amp;$D110&amp;" "&amp;$S110)))),1,0))</f>
        <v>1</v>
      </c>
      <c r="AA110" s="47" t="n">
        <f aca="false">IF($Z110=1,COUNTIFS(c_Pass,1,c_Sort,"&lt;="&amp;$Y110),"")</f>
        <v>109</v>
      </c>
      <c r="AB110" s="47" t="str">
        <f aca="false">IF(OR($G110&lt;&gt;"Yes",NOT(ISNUMBER($H110))),"",COUNTIFS(c_Met,"Yes",c_Date,"&lt;"&amp;$H110)+COUNTIFS($G$2:$G110,"Yes",$H$2:$H110,$H110))</f>
        <v/>
      </c>
    </row>
    <row r="111" customFormat="false" ht="15" hidden="false" customHeight="false" outlineLevel="0" collapsed="false">
      <c r="A111" s="44" t="n">
        <f aca="false">IF($B111="","",COUNTA($B$2:$B111))</f>
        <v>110</v>
      </c>
      <c r="B111" s="11" t="s">
        <v>342</v>
      </c>
      <c r="C111" s="11"/>
      <c r="D111" s="11" t="s">
        <v>35</v>
      </c>
      <c r="E111" s="11" t="s">
        <v>193</v>
      </c>
      <c r="F111" s="11" t="s">
        <v>68</v>
      </c>
      <c r="G111" s="34" t="s">
        <v>132</v>
      </c>
      <c r="H111" s="25"/>
      <c r="I111" s="40" t="n">
        <v>0</v>
      </c>
      <c r="J111" s="34" t="s">
        <v>132</v>
      </c>
      <c r="K111" s="45"/>
      <c r="L111" s="34"/>
      <c r="M111" s="34"/>
      <c r="N111" s="11" t="s">
        <v>133</v>
      </c>
      <c r="O111" s="11" t="s">
        <v>133</v>
      </c>
      <c r="P111" s="11" t="s">
        <v>133</v>
      </c>
      <c r="Q111" s="11" t="s">
        <v>133</v>
      </c>
      <c r="R111" s="11" t="s">
        <v>133</v>
      </c>
      <c r="S111" s="46" t="s">
        <v>343</v>
      </c>
      <c r="T111" s="44" t="n">
        <f aca="false">IF($B111="","",COUNTA($N111:$R111)-COUNTIF($N111:$R111,"Not Invited"))</f>
        <v>0</v>
      </c>
      <c r="U111" s="44" t="n">
        <f aca="false">IF($B111="","",COUNTIF($N111:$R111,"Attended"))</f>
        <v>0</v>
      </c>
      <c r="V111" s="47" t="str">
        <f aca="false">IF($B111="","",_xlfn.TEXTJOIN(", ",TRUE(),IF($N111="Attended",Setup!$D$15,""),IF($O111="Attended",Setup!$D$16,""),IF($P111="Attended",Setup!$D$17,""),IF($Q111="Attended",Setup!$D$18,""),IF($R111="Attended",Setup!$D$19,"")))</f>
        <v/>
      </c>
      <c r="W111" s="48" t="str">
        <f aca="true">IF(OR($B111="",NOT(ISNUMBER($H111))),"",TODAY()-$H111)</f>
        <v/>
      </c>
      <c r="X111" s="47" t="str">
        <f aca="false">IF($B111="","",IF($U111&gt;0,"Event attendee",IF($G111="Yes","Met (no event)",IF($T111&gt;0,"Invited only",IF(OR($L111="Yes",$M111="Yes"),"Contacted only","Not yet contacted")))))</f>
        <v>Not yet contacted</v>
      </c>
      <c r="Y111" s="47" t="n">
        <f aca="false">IF($B111="","",COUNTIF(c_Firm,"&lt;"&amp;$D111)+COUNTIFS(c_Firm,$D111,c_Name,"&lt;"&amp;$B111)+COUNTIFS($D$2:$D111,$D111,$B$2:$B111,$B111))</f>
        <v>110</v>
      </c>
      <c r="Z111" s="47" t="n">
        <f aca="false">IF($B111="","",IF(AND(OR(Contacts!$C$3="(All)",$D111=Contacts!$C$3),OR(Contacts!$E$3="(All)",$G111=Contacts!$E$3),OR(Contacts!$G$3="(All)",ISNUMBER(SEARCH(Contacts!$G$3,$V111))),OR(Contacts!$I$3="(All)",$X111=Contacts!$I$3),OR(Contacts!$K$3="",ISNUMBER(SEARCH(Contacts!$K$3,$B111&amp;" "&amp;$C111&amp;" "&amp;$D111&amp;" "&amp;$S111)))),1,0))</f>
        <v>1</v>
      </c>
      <c r="AA111" s="47" t="n">
        <f aca="false">IF($Z111=1,COUNTIFS(c_Pass,1,c_Sort,"&lt;="&amp;$Y111),"")</f>
        <v>110</v>
      </c>
      <c r="AB111" s="47" t="str">
        <f aca="false">IF(OR($G111&lt;&gt;"Yes",NOT(ISNUMBER($H111))),"",COUNTIFS(c_Met,"Yes",c_Date,"&lt;"&amp;$H111)+COUNTIFS($G$2:$G111,"Yes",$H$2:$H111,$H111))</f>
        <v/>
      </c>
    </row>
    <row r="112" customFormat="false" ht="15" hidden="false" customHeight="false" outlineLevel="0" collapsed="false">
      <c r="A112" s="44" t="n">
        <f aca="false">IF($B112="","",COUNTA($B$2:$B112))</f>
        <v>111</v>
      </c>
      <c r="B112" s="11" t="s">
        <v>344</v>
      </c>
      <c r="C112" s="11"/>
      <c r="D112" s="11" t="s">
        <v>35</v>
      </c>
      <c r="E112" s="11" t="s">
        <v>193</v>
      </c>
      <c r="F112" s="11" t="s">
        <v>68</v>
      </c>
      <c r="G112" s="34" t="s">
        <v>132</v>
      </c>
      <c r="H112" s="25"/>
      <c r="I112" s="40" t="n">
        <v>0</v>
      </c>
      <c r="J112" s="34" t="s">
        <v>132</v>
      </c>
      <c r="K112" s="45"/>
      <c r="L112" s="34"/>
      <c r="M112" s="34"/>
      <c r="N112" s="11" t="s">
        <v>133</v>
      </c>
      <c r="O112" s="11" t="s">
        <v>133</v>
      </c>
      <c r="P112" s="11" t="s">
        <v>133</v>
      </c>
      <c r="Q112" s="11" t="s">
        <v>133</v>
      </c>
      <c r="R112" s="11" t="s">
        <v>133</v>
      </c>
      <c r="S112" s="46" t="s">
        <v>345</v>
      </c>
      <c r="T112" s="44" t="n">
        <f aca="false">IF($B112="","",COUNTA($N112:$R112)-COUNTIF($N112:$R112,"Not Invited"))</f>
        <v>0</v>
      </c>
      <c r="U112" s="44" t="n">
        <f aca="false">IF($B112="","",COUNTIF($N112:$R112,"Attended"))</f>
        <v>0</v>
      </c>
      <c r="V112" s="47" t="str">
        <f aca="false">IF($B112="","",_xlfn.TEXTJOIN(", ",TRUE(),IF($N112="Attended",Setup!$D$15,""),IF($O112="Attended",Setup!$D$16,""),IF($P112="Attended",Setup!$D$17,""),IF($Q112="Attended",Setup!$D$18,""),IF($R112="Attended",Setup!$D$19,"")))</f>
        <v/>
      </c>
      <c r="W112" s="48" t="str">
        <f aca="true">IF(OR($B112="",NOT(ISNUMBER($H112))),"",TODAY()-$H112)</f>
        <v/>
      </c>
      <c r="X112" s="47" t="str">
        <f aca="false">IF($B112="","",IF($U112&gt;0,"Event attendee",IF($G112="Yes","Met (no event)",IF($T112&gt;0,"Invited only",IF(OR($L112="Yes",$M112="Yes"),"Contacted only","Not yet contacted")))))</f>
        <v>Not yet contacted</v>
      </c>
      <c r="Y112" s="47" t="n">
        <f aca="false">IF($B112="","",COUNTIF(c_Firm,"&lt;"&amp;$D112)+COUNTIFS(c_Firm,$D112,c_Name,"&lt;"&amp;$B112)+COUNTIFS($D$2:$D112,$D112,$B$2:$B112,$B112))</f>
        <v>111</v>
      </c>
      <c r="Z112" s="47" t="n">
        <f aca="false">IF($B112="","",IF(AND(OR(Contacts!$C$3="(All)",$D112=Contacts!$C$3),OR(Contacts!$E$3="(All)",$G112=Contacts!$E$3),OR(Contacts!$G$3="(All)",ISNUMBER(SEARCH(Contacts!$G$3,$V112))),OR(Contacts!$I$3="(All)",$X112=Contacts!$I$3),OR(Contacts!$K$3="",ISNUMBER(SEARCH(Contacts!$K$3,$B112&amp;" "&amp;$C112&amp;" "&amp;$D112&amp;" "&amp;$S112)))),1,0))</f>
        <v>1</v>
      </c>
      <c r="AA112" s="47" t="n">
        <f aca="false">IF($Z112=1,COUNTIFS(c_Pass,1,c_Sort,"&lt;="&amp;$Y112),"")</f>
        <v>111</v>
      </c>
      <c r="AB112" s="47" t="str">
        <f aca="false">IF(OR($G112&lt;&gt;"Yes",NOT(ISNUMBER($H112))),"",COUNTIFS(c_Met,"Yes",c_Date,"&lt;"&amp;$H112)+COUNTIFS($G$2:$G112,"Yes",$H$2:$H112,$H112))</f>
        <v/>
      </c>
    </row>
    <row r="113" customFormat="false" ht="15" hidden="false" customHeight="false" outlineLevel="0" collapsed="false">
      <c r="A113" s="44" t="n">
        <f aca="false">IF($B113="","",COUNTA($B$2:$B113))</f>
        <v>112</v>
      </c>
      <c r="B113" s="11" t="s">
        <v>346</v>
      </c>
      <c r="C113" s="11"/>
      <c r="D113" s="11" t="s">
        <v>35</v>
      </c>
      <c r="E113" s="11" t="s">
        <v>193</v>
      </c>
      <c r="F113" s="11" t="s">
        <v>68</v>
      </c>
      <c r="G113" s="34" t="s">
        <v>132</v>
      </c>
      <c r="H113" s="25"/>
      <c r="I113" s="40" t="n">
        <v>0</v>
      </c>
      <c r="J113" s="34" t="s">
        <v>132</v>
      </c>
      <c r="K113" s="45"/>
      <c r="L113" s="34"/>
      <c r="M113" s="34"/>
      <c r="N113" s="11" t="s">
        <v>133</v>
      </c>
      <c r="O113" s="11" t="s">
        <v>133</v>
      </c>
      <c r="P113" s="11" t="s">
        <v>133</v>
      </c>
      <c r="Q113" s="11" t="s">
        <v>133</v>
      </c>
      <c r="R113" s="11" t="s">
        <v>133</v>
      </c>
      <c r="S113" s="46" t="s">
        <v>347</v>
      </c>
      <c r="T113" s="44" t="n">
        <f aca="false">IF($B113="","",COUNTA($N113:$R113)-COUNTIF($N113:$R113,"Not Invited"))</f>
        <v>0</v>
      </c>
      <c r="U113" s="44" t="n">
        <f aca="false">IF($B113="","",COUNTIF($N113:$R113,"Attended"))</f>
        <v>0</v>
      </c>
      <c r="V113" s="47" t="str">
        <f aca="false">IF($B113="","",_xlfn.TEXTJOIN(", ",TRUE(),IF($N113="Attended",Setup!$D$15,""),IF($O113="Attended",Setup!$D$16,""),IF($P113="Attended",Setup!$D$17,""),IF($Q113="Attended",Setup!$D$18,""),IF($R113="Attended",Setup!$D$19,"")))</f>
        <v/>
      </c>
      <c r="W113" s="48" t="str">
        <f aca="true">IF(OR($B113="",NOT(ISNUMBER($H113))),"",TODAY()-$H113)</f>
        <v/>
      </c>
      <c r="X113" s="47" t="str">
        <f aca="false">IF($B113="","",IF($U113&gt;0,"Event attendee",IF($G113="Yes","Met (no event)",IF($T113&gt;0,"Invited only",IF(OR($L113="Yes",$M113="Yes"),"Contacted only","Not yet contacted")))))</f>
        <v>Not yet contacted</v>
      </c>
      <c r="Y113" s="47" t="n">
        <f aca="false">IF($B113="","",COUNTIF(c_Firm,"&lt;"&amp;$D113)+COUNTIFS(c_Firm,$D113,c_Name,"&lt;"&amp;$B113)+COUNTIFS($D$2:$D113,$D113,$B$2:$B113,$B113))</f>
        <v>112</v>
      </c>
      <c r="Z113" s="47" t="n">
        <f aca="false">IF($B113="","",IF(AND(OR(Contacts!$C$3="(All)",$D113=Contacts!$C$3),OR(Contacts!$E$3="(All)",$G113=Contacts!$E$3),OR(Contacts!$G$3="(All)",ISNUMBER(SEARCH(Contacts!$G$3,$V113))),OR(Contacts!$I$3="(All)",$X113=Contacts!$I$3),OR(Contacts!$K$3="",ISNUMBER(SEARCH(Contacts!$K$3,$B113&amp;" "&amp;$C113&amp;" "&amp;$D113&amp;" "&amp;$S113)))),1,0))</f>
        <v>1</v>
      </c>
      <c r="AA113" s="47" t="n">
        <f aca="false">IF($Z113=1,COUNTIFS(c_Pass,1,c_Sort,"&lt;="&amp;$Y113),"")</f>
        <v>112</v>
      </c>
      <c r="AB113" s="47" t="str">
        <f aca="false">IF(OR($G113&lt;&gt;"Yes",NOT(ISNUMBER($H113))),"",COUNTIFS(c_Met,"Yes",c_Date,"&lt;"&amp;$H113)+COUNTIFS($G$2:$G113,"Yes",$H$2:$H113,$H113))</f>
        <v/>
      </c>
    </row>
    <row r="114" customFormat="false" ht="15" hidden="false" customHeight="false" outlineLevel="0" collapsed="false">
      <c r="A114" s="44" t="n">
        <f aca="false">IF($B114="","",COUNTA($B$2:$B114))</f>
        <v>113</v>
      </c>
      <c r="B114" s="11" t="s">
        <v>348</v>
      </c>
      <c r="C114" s="11"/>
      <c r="D114" s="11" t="s">
        <v>35</v>
      </c>
      <c r="E114" s="11" t="s">
        <v>193</v>
      </c>
      <c r="F114" s="11" t="s">
        <v>68</v>
      </c>
      <c r="G114" s="34" t="s">
        <v>132</v>
      </c>
      <c r="H114" s="25"/>
      <c r="I114" s="40" t="n">
        <v>0</v>
      </c>
      <c r="J114" s="34" t="s">
        <v>132</v>
      </c>
      <c r="K114" s="45"/>
      <c r="L114" s="34"/>
      <c r="M114" s="34"/>
      <c r="N114" s="11" t="s">
        <v>133</v>
      </c>
      <c r="O114" s="11" t="s">
        <v>133</v>
      </c>
      <c r="P114" s="11" t="s">
        <v>133</v>
      </c>
      <c r="Q114" s="11" t="s">
        <v>133</v>
      </c>
      <c r="R114" s="11" t="s">
        <v>133</v>
      </c>
      <c r="S114" s="46" t="s">
        <v>349</v>
      </c>
      <c r="T114" s="44" t="n">
        <f aca="false">IF($B114="","",COUNTA($N114:$R114)-COUNTIF($N114:$R114,"Not Invited"))</f>
        <v>0</v>
      </c>
      <c r="U114" s="44" t="n">
        <f aca="false">IF($B114="","",COUNTIF($N114:$R114,"Attended"))</f>
        <v>0</v>
      </c>
      <c r="V114" s="47" t="str">
        <f aca="false">IF($B114="","",_xlfn.TEXTJOIN(", ",TRUE(),IF($N114="Attended",Setup!$D$15,""),IF($O114="Attended",Setup!$D$16,""),IF($P114="Attended",Setup!$D$17,""),IF($Q114="Attended",Setup!$D$18,""),IF($R114="Attended",Setup!$D$19,"")))</f>
        <v/>
      </c>
      <c r="W114" s="48" t="str">
        <f aca="true">IF(OR($B114="",NOT(ISNUMBER($H114))),"",TODAY()-$H114)</f>
        <v/>
      </c>
      <c r="X114" s="47" t="str">
        <f aca="false">IF($B114="","",IF($U114&gt;0,"Event attendee",IF($G114="Yes","Met (no event)",IF($T114&gt;0,"Invited only",IF(OR($L114="Yes",$M114="Yes"),"Contacted only","Not yet contacted")))))</f>
        <v>Not yet contacted</v>
      </c>
      <c r="Y114" s="47" t="n">
        <f aca="false">IF($B114="","",COUNTIF(c_Firm,"&lt;"&amp;$D114)+COUNTIFS(c_Firm,$D114,c_Name,"&lt;"&amp;$B114)+COUNTIFS($D$2:$D114,$D114,$B$2:$B114,$B114))</f>
        <v>113</v>
      </c>
      <c r="Z114" s="47" t="n">
        <f aca="false">IF($B114="","",IF(AND(OR(Contacts!$C$3="(All)",$D114=Contacts!$C$3),OR(Contacts!$E$3="(All)",$G114=Contacts!$E$3),OR(Contacts!$G$3="(All)",ISNUMBER(SEARCH(Contacts!$G$3,$V114))),OR(Contacts!$I$3="(All)",$X114=Contacts!$I$3),OR(Contacts!$K$3="",ISNUMBER(SEARCH(Contacts!$K$3,$B114&amp;" "&amp;$C114&amp;" "&amp;$D114&amp;" "&amp;$S114)))),1,0))</f>
        <v>1</v>
      </c>
      <c r="AA114" s="47" t="n">
        <f aca="false">IF($Z114=1,COUNTIFS(c_Pass,1,c_Sort,"&lt;="&amp;$Y114),"")</f>
        <v>113</v>
      </c>
      <c r="AB114" s="47" t="str">
        <f aca="false">IF(OR($G114&lt;&gt;"Yes",NOT(ISNUMBER($H114))),"",COUNTIFS(c_Met,"Yes",c_Date,"&lt;"&amp;$H114)+COUNTIFS($G$2:$G114,"Yes",$H$2:$H114,$H114))</f>
        <v/>
      </c>
    </row>
    <row r="115" customFormat="false" ht="15" hidden="false" customHeight="false" outlineLevel="0" collapsed="false">
      <c r="A115" s="44" t="n">
        <f aca="false">IF($B115="","",COUNTA($B$2:$B115))</f>
        <v>114</v>
      </c>
      <c r="B115" s="11" t="s">
        <v>350</v>
      </c>
      <c r="C115" s="11"/>
      <c r="D115" s="11" t="s">
        <v>35</v>
      </c>
      <c r="E115" s="11" t="s">
        <v>193</v>
      </c>
      <c r="F115" s="11" t="s">
        <v>68</v>
      </c>
      <c r="G115" s="34" t="s">
        <v>132</v>
      </c>
      <c r="H115" s="25"/>
      <c r="I115" s="40" t="n">
        <v>0</v>
      </c>
      <c r="J115" s="34" t="s">
        <v>132</v>
      </c>
      <c r="K115" s="45"/>
      <c r="L115" s="34"/>
      <c r="M115" s="34"/>
      <c r="N115" s="11" t="s">
        <v>133</v>
      </c>
      <c r="O115" s="11" t="s">
        <v>133</v>
      </c>
      <c r="P115" s="11" t="s">
        <v>133</v>
      </c>
      <c r="Q115" s="11" t="s">
        <v>133</v>
      </c>
      <c r="R115" s="11" t="s">
        <v>133</v>
      </c>
      <c r="S115" s="46" t="s">
        <v>351</v>
      </c>
      <c r="T115" s="44" t="n">
        <f aca="false">IF($B115="","",COUNTA($N115:$R115)-COUNTIF($N115:$R115,"Not Invited"))</f>
        <v>0</v>
      </c>
      <c r="U115" s="44" t="n">
        <f aca="false">IF($B115="","",COUNTIF($N115:$R115,"Attended"))</f>
        <v>0</v>
      </c>
      <c r="V115" s="47" t="str">
        <f aca="false">IF($B115="","",_xlfn.TEXTJOIN(", ",TRUE(),IF($N115="Attended",Setup!$D$15,""),IF($O115="Attended",Setup!$D$16,""),IF($P115="Attended",Setup!$D$17,""),IF($Q115="Attended",Setup!$D$18,""),IF($R115="Attended",Setup!$D$19,"")))</f>
        <v/>
      </c>
      <c r="W115" s="48" t="str">
        <f aca="true">IF(OR($B115="",NOT(ISNUMBER($H115))),"",TODAY()-$H115)</f>
        <v/>
      </c>
      <c r="X115" s="47" t="str">
        <f aca="false">IF($B115="","",IF($U115&gt;0,"Event attendee",IF($G115="Yes","Met (no event)",IF($T115&gt;0,"Invited only",IF(OR($L115="Yes",$M115="Yes"),"Contacted only","Not yet contacted")))))</f>
        <v>Not yet contacted</v>
      </c>
      <c r="Y115" s="47" t="n">
        <f aca="false">IF($B115="","",COUNTIF(c_Firm,"&lt;"&amp;$D115)+COUNTIFS(c_Firm,$D115,c_Name,"&lt;"&amp;$B115)+COUNTIFS($D$2:$D115,$D115,$B$2:$B115,$B115))</f>
        <v>114</v>
      </c>
      <c r="Z115" s="47" t="n">
        <f aca="false">IF($B115="","",IF(AND(OR(Contacts!$C$3="(All)",$D115=Contacts!$C$3),OR(Contacts!$E$3="(All)",$G115=Contacts!$E$3),OR(Contacts!$G$3="(All)",ISNUMBER(SEARCH(Contacts!$G$3,$V115))),OR(Contacts!$I$3="(All)",$X115=Contacts!$I$3),OR(Contacts!$K$3="",ISNUMBER(SEARCH(Contacts!$K$3,$B115&amp;" "&amp;$C115&amp;" "&amp;$D115&amp;" "&amp;$S115)))),1,0))</f>
        <v>1</v>
      </c>
      <c r="AA115" s="47" t="n">
        <f aca="false">IF($Z115=1,COUNTIFS(c_Pass,1,c_Sort,"&lt;="&amp;$Y115),"")</f>
        <v>114</v>
      </c>
      <c r="AB115" s="47" t="str">
        <f aca="false">IF(OR($G115&lt;&gt;"Yes",NOT(ISNUMBER($H115))),"",COUNTIFS(c_Met,"Yes",c_Date,"&lt;"&amp;$H115)+COUNTIFS($G$2:$G115,"Yes",$H$2:$H115,$H115))</f>
        <v/>
      </c>
    </row>
    <row r="116" customFormat="false" ht="15" hidden="false" customHeight="false" outlineLevel="0" collapsed="false">
      <c r="A116" s="44" t="n">
        <f aca="false">IF($B116="","",COUNTA($B$2:$B116))</f>
        <v>115</v>
      </c>
      <c r="B116" s="11" t="s">
        <v>352</v>
      </c>
      <c r="C116" s="11"/>
      <c r="D116" s="11" t="s">
        <v>35</v>
      </c>
      <c r="E116" s="11" t="s">
        <v>193</v>
      </c>
      <c r="F116" s="11" t="s">
        <v>68</v>
      </c>
      <c r="G116" s="34" t="s">
        <v>132</v>
      </c>
      <c r="H116" s="25"/>
      <c r="I116" s="40" t="n">
        <v>0</v>
      </c>
      <c r="J116" s="34" t="s">
        <v>132</v>
      </c>
      <c r="K116" s="45"/>
      <c r="L116" s="34"/>
      <c r="M116" s="34"/>
      <c r="N116" s="11" t="s">
        <v>133</v>
      </c>
      <c r="O116" s="11" t="s">
        <v>133</v>
      </c>
      <c r="P116" s="11" t="s">
        <v>133</v>
      </c>
      <c r="Q116" s="11" t="s">
        <v>133</v>
      </c>
      <c r="R116" s="11" t="s">
        <v>133</v>
      </c>
      <c r="S116" s="46" t="s">
        <v>353</v>
      </c>
      <c r="T116" s="44" t="n">
        <f aca="false">IF($B116="","",COUNTA($N116:$R116)-COUNTIF($N116:$R116,"Not Invited"))</f>
        <v>0</v>
      </c>
      <c r="U116" s="44" t="n">
        <f aca="false">IF($B116="","",COUNTIF($N116:$R116,"Attended"))</f>
        <v>0</v>
      </c>
      <c r="V116" s="47" t="str">
        <f aca="false">IF($B116="","",_xlfn.TEXTJOIN(", ",TRUE(),IF($N116="Attended",Setup!$D$15,""),IF($O116="Attended",Setup!$D$16,""),IF($P116="Attended",Setup!$D$17,""),IF($Q116="Attended",Setup!$D$18,""),IF($R116="Attended",Setup!$D$19,"")))</f>
        <v/>
      </c>
      <c r="W116" s="48" t="str">
        <f aca="true">IF(OR($B116="",NOT(ISNUMBER($H116))),"",TODAY()-$H116)</f>
        <v/>
      </c>
      <c r="X116" s="47" t="str">
        <f aca="false">IF($B116="","",IF($U116&gt;0,"Event attendee",IF($G116="Yes","Met (no event)",IF($T116&gt;0,"Invited only",IF(OR($L116="Yes",$M116="Yes"),"Contacted only","Not yet contacted")))))</f>
        <v>Not yet contacted</v>
      </c>
      <c r="Y116" s="47" t="n">
        <f aca="false">IF($B116="","",COUNTIF(c_Firm,"&lt;"&amp;$D116)+COUNTIFS(c_Firm,$D116,c_Name,"&lt;"&amp;$B116)+COUNTIFS($D$2:$D116,$D116,$B$2:$B116,$B116))</f>
        <v>115</v>
      </c>
      <c r="Z116" s="47" t="n">
        <f aca="false">IF($B116="","",IF(AND(OR(Contacts!$C$3="(All)",$D116=Contacts!$C$3),OR(Contacts!$E$3="(All)",$G116=Contacts!$E$3),OR(Contacts!$G$3="(All)",ISNUMBER(SEARCH(Contacts!$G$3,$V116))),OR(Contacts!$I$3="(All)",$X116=Contacts!$I$3),OR(Contacts!$K$3="",ISNUMBER(SEARCH(Contacts!$K$3,$B116&amp;" "&amp;$C116&amp;" "&amp;$D116&amp;" "&amp;$S116)))),1,0))</f>
        <v>1</v>
      </c>
      <c r="AA116" s="47" t="n">
        <f aca="false">IF($Z116=1,COUNTIFS(c_Pass,1,c_Sort,"&lt;="&amp;$Y116),"")</f>
        <v>115</v>
      </c>
      <c r="AB116" s="47" t="str">
        <f aca="false">IF(OR($G116&lt;&gt;"Yes",NOT(ISNUMBER($H116))),"",COUNTIFS(c_Met,"Yes",c_Date,"&lt;"&amp;$H116)+COUNTIFS($G$2:$G116,"Yes",$H$2:$H116,$H116))</f>
        <v/>
      </c>
    </row>
    <row r="117" customFormat="false" ht="15" hidden="false" customHeight="false" outlineLevel="0" collapsed="false">
      <c r="A117" s="44" t="n">
        <f aca="false">IF($B117="","",COUNTA($B$2:$B117))</f>
        <v>116</v>
      </c>
      <c r="B117" s="11" t="s">
        <v>354</v>
      </c>
      <c r="C117" s="11"/>
      <c r="D117" s="11" t="s">
        <v>35</v>
      </c>
      <c r="E117" s="11" t="s">
        <v>193</v>
      </c>
      <c r="F117" s="11" t="s">
        <v>68</v>
      </c>
      <c r="G117" s="34" t="s">
        <v>132</v>
      </c>
      <c r="H117" s="25"/>
      <c r="I117" s="40" t="n">
        <v>0</v>
      </c>
      <c r="J117" s="34" t="s">
        <v>132</v>
      </c>
      <c r="K117" s="45"/>
      <c r="L117" s="34"/>
      <c r="M117" s="34"/>
      <c r="N117" s="11" t="s">
        <v>133</v>
      </c>
      <c r="O117" s="11" t="s">
        <v>133</v>
      </c>
      <c r="P117" s="11" t="s">
        <v>133</v>
      </c>
      <c r="Q117" s="11" t="s">
        <v>133</v>
      </c>
      <c r="R117" s="11" t="s">
        <v>133</v>
      </c>
      <c r="S117" s="46" t="s">
        <v>355</v>
      </c>
      <c r="T117" s="44" t="n">
        <f aca="false">IF($B117="","",COUNTA($N117:$R117)-COUNTIF($N117:$R117,"Not Invited"))</f>
        <v>0</v>
      </c>
      <c r="U117" s="44" t="n">
        <f aca="false">IF($B117="","",COUNTIF($N117:$R117,"Attended"))</f>
        <v>0</v>
      </c>
      <c r="V117" s="47" t="str">
        <f aca="false">IF($B117="","",_xlfn.TEXTJOIN(", ",TRUE(),IF($N117="Attended",Setup!$D$15,""),IF($O117="Attended",Setup!$D$16,""),IF($P117="Attended",Setup!$D$17,""),IF($Q117="Attended",Setup!$D$18,""),IF($R117="Attended",Setup!$D$19,"")))</f>
        <v/>
      </c>
      <c r="W117" s="48" t="str">
        <f aca="true">IF(OR($B117="",NOT(ISNUMBER($H117))),"",TODAY()-$H117)</f>
        <v/>
      </c>
      <c r="X117" s="47" t="str">
        <f aca="false">IF($B117="","",IF($U117&gt;0,"Event attendee",IF($G117="Yes","Met (no event)",IF($T117&gt;0,"Invited only",IF(OR($L117="Yes",$M117="Yes"),"Contacted only","Not yet contacted")))))</f>
        <v>Not yet contacted</v>
      </c>
      <c r="Y117" s="47" t="n">
        <f aca="false">IF($B117="","",COUNTIF(c_Firm,"&lt;"&amp;$D117)+COUNTIFS(c_Firm,$D117,c_Name,"&lt;"&amp;$B117)+COUNTIFS($D$2:$D117,$D117,$B$2:$B117,$B117))</f>
        <v>116</v>
      </c>
      <c r="Z117" s="47" t="n">
        <f aca="false">IF($B117="","",IF(AND(OR(Contacts!$C$3="(All)",$D117=Contacts!$C$3),OR(Contacts!$E$3="(All)",$G117=Contacts!$E$3),OR(Contacts!$G$3="(All)",ISNUMBER(SEARCH(Contacts!$G$3,$V117))),OR(Contacts!$I$3="(All)",$X117=Contacts!$I$3),OR(Contacts!$K$3="",ISNUMBER(SEARCH(Contacts!$K$3,$B117&amp;" "&amp;$C117&amp;" "&amp;$D117&amp;" "&amp;$S117)))),1,0))</f>
        <v>1</v>
      </c>
      <c r="AA117" s="47" t="n">
        <f aca="false">IF($Z117=1,COUNTIFS(c_Pass,1,c_Sort,"&lt;="&amp;$Y117),"")</f>
        <v>116</v>
      </c>
      <c r="AB117" s="47" t="str">
        <f aca="false">IF(OR($G117&lt;&gt;"Yes",NOT(ISNUMBER($H117))),"",COUNTIFS(c_Met,"Yes",c_Date,"&lt;"&amp;$H117)+COUNTIFS($G$2:$G117,"Yes",$H$2:$H117,$H117))</f>
        <v/>
      </c>
    </row>
    <row r="118" customFormat="false" ht="15" hidden="false" customHeight="false" outlineLevel="0" collapsed="false">
      <c r="A118" s="44" t="n">
        <f aca="false">IF($B118="","",COUNTA($B$2:$B118))</f>
        <v>117</v>
      </c>
      <c r="B118" s="11" t="s">
        <v>356</v>
      </c>
      <c r="C118" s="11"/>
      <c r="D118" s="11" t="s">
        <v>35</v>
      </c>
      <c r="E118" s="11" t="s">
        <v>193</v>
      </c>
      <c r="F118" s="11" t="s">
        <v>68</v>
      </c>
      <c r="G118" s="34" t="s">
        <v>132</v>
      </c>
      <c r="H118" s="25"/>
      <c r="I118" s="40" t="n">
        <v>0</v>
      </c>
      <c r="J118" s="34" t="s">
        <v>132</v>
      </c>
      <c r="K118" s="45"/>
      <c r="L118" s="34"/>
      <c r="M118" s="34"/>
      <c r="N118" s="11" t="s">
        <v>133</v>
      </c>
      <c r="O118" s="11" t="s">
        <v>133</v>
      </c>
      <c r="P118" s="11" t="s">
        <v>133</v>
      </c>
      <c r="Q118" s="11" t="s">
        <v>133</v>
      </c>
      <c r="R118" s="11" t="s">
        <v>133</v>
      </c>
      <c r="S118" s="46" t="s">
        <v>357</v>
      </c>
      <c r="T118" s="44" t="n">
        <f aca="false">IF($B118="","",COUNTA($N118:$R118)-COUNTIF($N118:$R118,"Not Invited"))</f>
        <v>0</v>
      </c>
      <c r="U118" s="44" t="n">
        <f aca="false">IF($B118="","",COUNTIF($N118:$R118,"Attended"))</f>
        <v>0</v>
      </c>
      <c r="V118" s="47" t="str">
        <f aca="false">IF($B118="","",_xlfn.TEXTJOIN(", ",TRUE(),IF($N118="Attended",Setup!$D$15,""),IF($O118="Attended",Setup!$D$16,""),IF($P118="Attended",Setup!$D$17,""),IF($Q118="Attended",Setup!$D$18,""),IF($R118="Attended",Setup!$D$19,"")))</f>
        <v/>
      </c>
      <c r="W118" s="48" t="str">
        <f aca="true">IF(OR($B118="",NOT(ISNUMBER($H118))),"",TODAY()-$H118)</f>
        <v/>
      </c>
      <c r="X118" s="47" t="str">
        <f aca="false">IF($B118="","",IF($U118&gt;0,"Event attendee",IF($G118="Yes","Met (no event)",IF($T118&gt;0,"Invited only",IF(OR($L118="Yes",$M118="Yes"),"Contacted only","Not yet contacted")))))</f>
        <v>Not yet contacted</v>
      </c>
      <c r="Y118" s="47" t="n">
        <f aca="false">IF($B118="","",COUNTIF(c_Firm,"&lt;"&amp;$D118)+COUNTIFS(c_Firm,$D118,c_Name,"&lt;"&amp;$B118)+COUNTIFS($D$2:$D118,$D118,$B$2:$B118,$B118))</f>
        <v>117</v>
      </c>
      <c r="Z118" s="47" t="n">
        <f aca="false">IF($B118="","",IF(AND(OR(Contacts!$C$3="(All)",$D118=Contacts!$C$3),OR(Contacts!$E$3="(All)",$G118=Contacts!$E$3),OR(Contacts!$G$3="(All)",ISNUMBER(SEARCH(Contacts!$G$3,$V118))),OR(Contacts!$I$3="(All)",$X118=Contacts!$I$3),OR(Contacts!$K$3="",ISNUMBER(SEARCH(Contacts!$K$3,$B118&amp;" "&amp;$C118&amp;" "&amp;$D118&amp;" "&amp;$S118)))),1,0))</f>
        <v>1</v>
      </c>
      <c r="AA118" s="47" t="n">
        <f aca="false">IF($Z118=1,COUNTIFS(c_Pass,1,c_Sort,"&lt;="&amp;$Y118),"")</f>
        <v>117</v>
      </c>
      <c r="AB118" s="47" t="str">
        <f aca="false">IF(OR($G118&lt;&gt;"Yes",NOT(ISNUMBER($H118))),"",COUNTIFS(c_Met,"Yes",c_Date,"&lt;"&amp;$H118)+COUNTIFS($G$2:$G118,"Yes",$H$2:$H118,$H118))</f>
        <v/>
      </c>
    </row>
    <row r="119" customFormat="false" ht="15" hidden="false" customHeight="false" outlineLevel="0" collapsed="false">
      <c r="A119" s="44" t="n">
        <f aca="false">IF($B119="","",COUNTA($B$2:$B119))</f>
        <v>118</v>
      </c>
      <c r="B119" s="11" t="s">
        <v>358</v>
      </c>
      <c r="C119" s="11"/>
      <c r="D119" s="11" t="s">
        <v>35</v>
      </c>
      <c r="E119" s="11" t="s">
        <v>193</v>
      </c>
      <c r="F119" s="11" t="s">
        <v>68</v>
      </c>
      <c r="G119" s="34" t="s">
        <v>132</v>
      </c>
      <c r="H119" s="25"/>
      <c r="I119" s="40" t="n">
        <v>0</v>
      </c>
      <c r="J119" s="34" t="s">
        <v>132</v>
      </c>
      <c r="K119" s="45"/>
      <c r="L119" s="34"/>
      <c r="M119" s="34"/>
      <c r="N119" s="11" t="s">
        <v>133</v>
      </c>
      <c r="O119" s="11" t="s">
        <v>133</v>
      </c>
      <c r="P119" s="11" t="s">
        <v>133</v>
      </c>
      <c r="Q119" s="11" t="s">
        <v>133</v>
      </c>
      <c r="R119" s="11" t="s">
        <v>133</v>
      </c>
      <c r="S119" s="46" t="s">
        <v>359</v>
      </c>
      <c r="T119" s="44" t="n">
        <f aca="false">IF($B119="","",COUNTA($N119:$R119)-COUNTIF($N119:$R119,"Not Invited"))</f>
        <v>0</v>
      </c>
      <c r="U119" s="44" t="n">
        <f aca="false">IF($B119="","",COUNTIF($N119:$R119,"Attended"))</f>
        <v>0</v>
      </c>
      <c r="V119" s="47" t="str">
        <f aca="false">IF($B119="","",_xlfn.TEXTJOIN(", ",TRUE(),IF($N119="Attended",Setup!$D$15,""),IF($O119="Attended",Setup!$D$16,""),IF($P119="Attended",Setup!$D$17,""),IF($Q119="Attended",Setup!$D$18,""),IF($R119="Attended",Setup!$D$19,"")))</f>
        <v/>
      </c>
      <c r="W119" s="48" t="str">
        <f aca="true">IF(OR($B119="",NOT(ISNUMBER($H119))),"",TODAY()-$H119)</f>
        <v/>
      </c>
      <c r="X119" s="47" t="str">
        <f aca="false">IF($B119="","",IF($U119&gt;0,"Event attendee",IF($G119="Yes","Met (no event)",IF($T119&gt;0,"Invited only",IF(OR($L119="Yes",$M119="Yes"),"Contacted only","Not yet contacted")))))</f>
        <v>Not yet contacted</v>
      </c>
      <c r="Y119" s="47" t="n">
        <f aca="false">IF($B119="","",COUNTIF(c_Firm,"&lt;"&amp;$D119)+COUNTIFS(c_Firm,$D119,c_Name,"&lt;"&amp;$B119)+COUNTIFS($D$2:$D119,$D119,$B$2:$B119,$B119))</f>
        <v>118</v>
      </c>
      <c r="Z119" s="47" t="n">
        <f aca="false">IF($B119="","",IF(AND(OR(Contacts!$C$3="(All)",$D119=Contacts!$C$3),OR(Contacts!$E$3="(All)",$G119=Contacts!$E$3),OR(Contacts!$G$3="(All)",ISNUMBER(SEARCH(Contacts!$G$3,$V119))),OR(Contacts!$I$3="(All)",$X119=Contacts!$I$3),OR(Contacts!$K$3="",ISNUMBER(SEARCH(Contacts!$K$3,$B119&amp;" "&amp;$C119&amp;" "&amp;$D119&amp;" "&amp;$S119)))),1,0))</f>
        <v>1</v>
      </c>
      <c r="AA119" s="47" t="n">
        <f aca="false">IF($Z119=1,COUNTIFS(c_Pass,1,c_Sort,"&lt;="&amp;$Y119),"")</f>
        <v>118</v>
      </c>
      <c r="AB119" s="47" t="str">
        <f aca="false">IF(OR($G119&lt;&gt;"Yes",NOT(ISNUMBER($H119))),"",COUNTIFS(c_Met,"Yes",c_Date,"&lt;"&amp;$H119)+COUNTIFS($G$2:$G119,"Yes",$H$2:$H119,$H119))</f>
        <v/>
      </c>
    </row>
    <row r="120" customFormat="false" ht="15" hidden="false" customHeight="false" outlineLevel="0" collapsed="false">
      <c r="A120" s="44" t="n">
        <f aca="false">IF($B120="","",COUNTA($B$2:$B120))</f>
        <v>119</v>
      </c>
      <c r="B120" s="11" t="s">
        <v>360</v>
      </c>
      <c r="C120" s="11"/>
      <c r="D120" s="11" t="s">
        <v>35</v>
      </c>
      <c r="E120" s="11" t="s">
        <v>193</v>
      </c>
      <c r="F120" s="11" t="s">
        <v>68</v>
      </c>
      <c r="G120" s="34" t="s">
        <v>132</v>
      </c>
      <c r="H120" s="25"/>
      <c r="I120" s="40" t="n">
        <v>0</v>
      </c>
      <c r="J120" s="34" t="s">
        <v>132</v>
      </c>
      <c r="K120" s="45"/>
      <c r="L120" s="34"/>
      <c r="M120" s="34"/>
      <c r="N120" s="11" t="s">
        <v>133</v>
      </c>
      <c r="O120" s="11" t="s">
        <v>133</v>
      </c>
      <c r="P120" s="11" t="s">
        <v>133</v>
      </c>
      <c r="Q120" s="11" t="s">
        <v>133</v>
      </c>
      <c r="R120" s="11" t="s">
        <v>133</v>
      </c>
      <c r="S120" s="46" t="s">
        <v>361</v>
      </c>
      <c r="T120" s="44" t="n">
        <f aca="false">IF($B120="","",COUNTA($N120:$R120)-COUNTIF($N120:$R120,"Not Invited"))</f>
        <v>0</v>
      </c>
      <c r="U120" s="44" t="n">
        <f aca="false">IF($B120="","",COUNTIF($N120:$R120,"Attended"))</f>
        <v>0</v>
      </c>
      <c r="V120" s="47" t="str">
        <f aca="false">IF($B120="","",_xlfn.TEXTJOIN(", ",TRUE(),IF($N120="Attended",Setup!$D$15,""),IF($O120="Attended",Setup!$D$16,""),IF($P120="Attended",Setup!$D$17,""),IF($Q120="Attended",Setup!$D$18,""),IF($R120="Attended",Setup!$D$19,"")))</f>
        <v/>
      </c>
      <c r="W120" s="48" t="str">
        <f aca="true">IF(OR($B120="",NOT(ISNUMBER($H120))),"",TODAY()-$H120)</f>
        <v/>
      </c>
      <c r="X120" s="47" t="str">
        <f aca="false">IF($B120="","",IF($U120&gt;0,"Event attendee",IF($G120="Yes","Met (no event)",IF($T120&gt;0,"Invited only",IF(OR($L120="Yes",$M120="Yes"),"Contacted only","Not yet contacted")))))</f>
        <v>Not yet contacted</v>
      </c>
      <c r="Y120" s="47" t="n">
        <f aca="false">IF($B120="","",COUNTIF(c_Firm,"&lt;"&amp;$D120)+COUNTIFS(c_Firm,$D120,c_Name,"&lt;"&amp;$B120)+COUNTIFS($D$2:$D120,$D120,$B$2:$B120,$B120))</f>
        <v>119</v>
      </c>
      <c r="Z120" s="47" t="n">
        <f aca="false">IF($B120="","",IF(AND(OR(Contacts!$C$3="(All)",$D120=Contacts!$C$3),OR(Contacts!$E$3="(All)",$G120=Contacts!$E$3),OR(Contacts!$G$3="(All)",ISNUMBER(SEARCH(Contacts!$G$3,$V120))),OR(Contacts!$I$3="(All)",$X120=Contacts!$I$3),OR(Contacts!$K$3="",ISNUMBER(SEARCH(Contacts!$K$3,$B120&amp;" "&amp;$C120&amp;" "&amp;$D120&amp;" "&amp;$S120)))),1,0))</f>
        <v>1</v>
      </c>
      <c r="AA120" s="47" t="n">
        <f aca="false">IF($Z120=1,COUNTIFS(c_Pass,1,c_Sort,"&lt;="&amp;$Y120),"")</f>
        <v>119</v>
      </c>
      <c r="AB120" s="47" t="str">
        <f aca="false">IF(OR($G120&lt;&gt;"Yes",NOT(ISNUMBER($H120))),"",COUNTIFS(c_Met,"Yes",c_Date,"&lt;"&amp;$H120)+COUNTIFS($G$2:$G120,"Yes",$H$2:$H120,$H120))</f>
        <v/>
      </c>
    </row>
    <row r="121" customFormat="false" ht="15" hidden="false" customHeight="false" outlineLevel="0" collapsed="false">
      <c r="A121" s="44" t="n">
        <f aca="false">IF($B121="","",COUNTA($B$2:$B121))</f>
        <v>120</v>
      </c>
      <c r="B121" s="11" t="s">
        <v>362</v>
      </c>
      <c r="C121" s="11"/>
      <c r="D121" s="11" t="s">
        <v>35</v>
      </c>
      <c r="E121" s="11" t="s">
        <v>193</v>
      </c>
      <c r="F121" s="11" t="s">
        <v>68</v>
      </c>
      <c r="G121" s="34" t="s">
        <v>132</v>
      </c>
      <c r="H121" s="25"/>
      <c r="I121" s="40" t="n">
        <v>0</v>
      </c>
      <c r="J121" s="34" t="s">
        <v>132</v>
      </c>
      <c r="K121" s="45"/>
      <c r="L121" s="34"/>
      <c r="M121" s="34"/>
      <c r="N121" s="11" t="s">
        <v>133</v>
      </c>
      <c r="O121" s="11" t="s">
        <v>133</v>
      </c>
      <c r="P121" s="11" t="s">
        <v>133</v>
      </c>
      <c r="Q121" s="11" t="s">
        <v>133</v>
      </c>
      <c r="R121" s="11" t="s">
        <v>133</v>
      </c>
      <c r="S121" s="46" t="s">
        <v>363</v>
      </c>
      <c r="T121" s="44" t="n">
        <f aca="false">IF($B121="","",COUNTA($N121:$R121)-COUNTIF($N121:$R121,"Not Invited"))</f>
        <v>0</v>
      </c>
      <c r="U121" s="44" t="n">
        <f aca="false">IF($B121="","",COUNTIF($N121:$R121,"Attended"))</f>
        <v>0</v>
      </c>
      <c r="V121" s="47" t="str">
        <f aca="false">IF($B121="","",_xlfn.TEXTJOIN(", ",TRUE(),IF($N121="Attended",Setup!$D$15,""),IF($O121="Attended",Setup!$D$16,""),IF($P121="Attended",Setup!$D$17,""),IF($Q121="Attended",Setup!$D$18,""),IF($R121="Attended",Setup!$D$19,"")))</f>
        <v/>
      </c>
      <c r="W121" s="48" t="str">
        <f aca="true">IF(OR($B121="",NOT(ISNUMBER($H121))),"",TODAY()-$H121)</f>
        <v/>
      </c>
      <c r="X121" s="47" t="str">
        <f aca="false">IF($B121="","",IF($U121&gt;0,"Event attendee",IF($G121="Yes","Met (no event)",IF($T121&gt;0,"Invited only",IF(OR($L121="Yes",$M121="Yes"),"Contacted only","Not yet contacted")))))</f>
        <v>Not yet contacted</v>
      </c>
      <c r="Y121" s="47" t="n">
        <f aca="false">IF($B121="","",COUNTIF(c_Firm,"&lt;"&amp;$D121)+COUNTIFS(c_Firm,$D121,c_Name,"&lt;"&amp;$B121)+COUNTIFS($D$2:$D121,$D121,$B$2:$B121,$B121))</f>
        <v>120</v>
      </c>
      <c r="Z121" s="47" t="n">
        <f aca="false">IF($B121="","",IF(AND(OR(Contacts!$C$3="(All)",$D121=Contacts!$C$3),OR(Contacts!$E$3="(All)",$G121=Contacts!$E$3),OR(Contacts!$G$3="(All)",ISNUMBER(SEARCH(Contacts!$G$3,$V121))),OR(Contacts!$I$3="(All)",$X121=Contacts!$I$3),OR(Contacts!$K$3="",ISNUMBER(SEARCH(Contacts!$K$3,$B121&amp;" "&amp;$C121&amp;" "&amp;$D121&amp;" "&amp;$S121)))),1,0))</f>
        <v>1</v>
      </c>
      <c r="AA121" s="47" t="n">
        <f aca="false">IF($Z121=1,COUNTIFS(c_Pass,1,c_Sort,"&lt;="&amp;$Y121),"")</f>
        <v>120</v>
      </c>
      <c r="AB121" s="47" t="str">
        <f aca="false">IF(OR($G121&lt;&gt;"Yes",NOT(ISNUMBER($H121))),"",COUNTIFS(c_Met,"Yes",c_Date,"&lt;"&amp;$H121)+COUNTIFS($G$2:$G121,"Yes",$H$2:$H121,$H121))</f>
        <v/>
      </c>
    </row>
    <row r="122" customFormat="false" ht="15" hidden="false" customHeight="false" outlineLevel="0" collapsed="false">
      <c r="A122" s="44" t="n">
        <f aca="false">IF($B122="","",COUNTA($B$2:$B122))</f>
        <v>121</v>
      </c>
      <c r="B122" s="11" t="s">
        <v>364</v>
      </c>
      <c r="C122" s="11" t="s">
        <v>365</v>
      </c>
      <c r="D122" s="11" t="s">
        <v>34</v>
      </c>
      <c r="E122" s="11" t="s">
        <v>131</v>
      </c>
      <c r="F122" s="11" t="s">
        <v>141</v>
      </c>
      <c r="G122" s="34" t="s">
        <v>142</v>
      </c>
      <c r="H122" s="25" t="n">
        <v>45936</v>
      </c>
      <c r="I122" s="40" t="n">
        <v>1</v>
      </c>
      <c r="J122" s="34" t="s">
        <v>132</v>
      </c>
      <c r="K122" s="45"/>
      <c r="L122" s="34"/>
      <c r="M122" s="34"/>
      <c r="N122" s="11" t="s">
        <v>57</v>
      </c>
      <c r="O122" s="11" t="s">
        <v>55</v>
      </c>
      <c r="P122" s="11" t="s">
        <v>133</v>
      </c>
      <c r="Q122" s="11" t="s">
        <v>133</v>
      </c>
      <c r="R122" s="11" t="s">
        <v>133</v>
      </c>
      <c r="S122" s="46" t="s">
        <v>178</v>
      </c>
      <c r="T122" s="44" t="n">
        <f aca="false">IF($B122="","",COUNTA($N122:$R122)-COUNTIF($N122:$R122,"Not Invited"))</f>
        <v>2</v>
      </c>
      <c r="U122" s="44" t="n">
        <f aca="false">IF($B122="","",COUNTIF($N122:$R122,"Attended"))</f>
        <v>1</v>
      </c>
      <c r="V122" s="47" t="str">
        <f aca="false">IF($B122="","",_xlfn.TEXTJOIN(", ",TRUE(),IF($N122="Attended",Setup!$D$15,""),IF($O122="Attended",Setup!$D$16,""),IF($P122="Attended",Setup!$D$17,""),IF($Q122="Attended",Setup!$D$18,""),IF($R122="Attended",Setup!$D$19,"")))</f>
        <v>May-26 Symposium</v>
      </c>
      <c r="W122" s="48" t="n">
        <f aca="true">IF(OR($B122="",NOT(ISNUMBER($H122))),"",TODAY()-$H122)</f>
        <v>305</v>
      </c>
      <c r="X122" s="47" t="str">
        <f aca="false">IF($B122="","",IF($U122&gt;0,"Event attendee",IF($G122="Yes","Met (no event)",IF($T122&gt;0,"Invited only",IF(OR($L122="Yes",$M122="Yes"),"Contacted only","Not yet contacted")))))</f>
        <v>Event attendee</v>
      </c>
      <c r="Y122" s="47" t="n">
        <f aca="false">IF($B122="","",COUNTIF(c_Firm,"&lt;"&amp;$D122)+COUNTIFS(c_Firm,$D122,c_Name,"&lt;"&amp;$B122)+COUNTIFS($D$2:$D122,$D122,$B$2:$B122,$B122))</f>
        <v>121</v>
      </c>
      <c r="Z122" s="47" t="n">
        <f aca="false">IF($B122="","",IF(AND(OR(Contacts!$C$3="(All)",$D122=Contacts!$C$3),OR(Contacts!$E$3="(All)",$G122=Contacts!$E$3),OR(Contacts!$G$3="(All)",ISNUMBER(SEARCH(Contacts!$G$3,$V122))),OR(Contacts!$I$3="(All)",$X122=Contacts!$I$3),OR(Contacts!$K$3="",ISNUMBER(SEARCH(Contacts!$K$3,$B122&amp;" "&amp;$C122&amp;" "&amp;$D122&amp;" "&amp;$S122)))),1,0))</f>
        <v>1</v>
      </c>
      <c r="AA122" s="47" t="n">
        <f aca="false">IF($Z122=1,COUNTIFS(c_Pass,1,c_Sort,"&lt;="&amp;$Y122),"")</f>
        <v>121</v>
      </c>
      <c r="AB122" s="47" t="n">
        <f aca="false">IF(OR($G122&lt;&gt;"Yes",NOT(ISNUMBER($H122))),"",COUNTIFS(c_Met,"Yes",c_Date,"&lt;"&amp;$H122)+COUNTIFS($G$2:$G122,"Yes",$H$2:$H122,$H122))</f>
        <v>28</v>
      </c>
    </row>
    <row r="123" customFormat="false" ht="15" hidden="false" customHeight="false" outlineLevel="0" collapsed="false">
      <c r="A123" s="44" t="n">
        <f aca="false">IF($B123="","",COUNTA($B$2:$B123))</f>
        <v>122</v>
      </c>
      <c r="B123" s="11" t="s">
        <v>366</v>
      </c>
      <c r="C123" s="11" t="s">
        <v>367</v>
      </c>
      <c r="D123" s="11" t="s">
        <v>34</v>
      </c>
      <c r="E123" s="11" t="s">
        <v>131</v>
      </c>
      <c r="F123" s="11" t="s">
        <v>141</v>
      </c>
      <c r="G123" s="34" t="s">
        <v>142</v>
      </c>
      <c r="H123" s="25" t="n">
        <v>46056</v>
      </c>
      <c r="I123" s="40" t="n">
        <v>1</v>
      </c>
      <c r="J123" s="34" t="s">
        <v>132</v>
      </c>
      <c r="K123" s="45" t="n">
        <v>30000000</v>
      </c>
      <c r="L123" s="34"/>
      <c r="M123" s="34"/>
      <c r="N123" s="11" t="s">
        <v>143</v>
      </c>
      <c r="O123" s="11" t="s">
        <v>134</v>
      </c>
      <c r="P123" s="11" t="s">
        <v>133</v>
      </c>
      <c r="Q123" s="11" t="s">
        <v>133</v>
      </c>
      <c r="R123" s="11" t="s">
        <v>133</v>
      </c>
      <c r="S123" s="46"/>
      <c r="T123" s="44" t="n">
        <f aca="false">IF($B123="","",COUNTA($N123:$R123)-COUNTIF($N123:$R123,"Not Invited"))</f>
        <v>2</v>
      </c>
      <c r="U123" s="44" t="n">
        <f aca="false">IF($B123="","",COUNTIF($N123:$R123,"Attended"))</f>
        <v>0</v>
      </c>
      <c r="V123" s="47" t="str">
        <f aca="false">IF($B123="","",_xlfn.TEXTJOIN(", ",TRUE(),IF($N123="Attended",Setup!$D$15,""),IF($O123="Attended",Setup!$D$16,""),IF($P123="Attended",Setup!$D$17,""),IF($Q123="Attended",Setup!$D$18,""),IF($R123="Attended",Setup!$D$19,"")))</f>
        <v/>
      </c>
      <c r="W123" s="48" t="n">
        <f aca="true">IF(OR($B123="",NOT(ISNUMBER($H123))),"",TODAY()-$H123)</f>
        <v>185</v>
      </c>
      <c r="X123" s="47" t="str">
        <f aca="false">IF($B123="","",IF($U123&gt;0,"Event attendee",IF($G123="Yes","Met (no event)",IF($T123&gt;0,"Invited only",IF(OR($L123="Yes",$M123="Yes"),"Contacted only","Not yet contacted")))))</f>
        <v>Met (no event)</v>
      </c>
      <c r="Y123" s="47" t="n">
        <f aca="false">IF($B123="","",COUNTIF(c_Firm,"&lt;"&amp;$D123)+COUNTIFS(c_Firm,$D123,c_Name,"&lt;"&amp;$B123)+COUNTIFS($D$2:$D123,$D123,$B$2:$B123,$B123))</f>
        <v>122</v>
      </c>
      <c r="Z123" s="47" t="n">
        <f aca="false">IF($B123="","",IF(AND(OR(Contacts!$C$3="(All)",$D123=Contacts!$C$3),OR(Contacts!$E$3="(All)",$G123=Contacts!$E$3),OR(Contacts!$G$3="(All)",ISNUMBER(SEARCH(Contacts!$G$3,$V123))),OR(Contacts!$I$3="(All)",$X123=Contacts!$I$3),OR(Contacts!$K$3="",ISNUMBER(SEARCH(Contacts!$K$3,$B123&amp;" "&amp;$C123&amp;" "&amp;$D123&amp;" "&amp;$S123)))),1,0))</f>
        <v>1</v>
      </c>
      <c r="AA123" s="47" t="n">
        <f aca="false">IF($Z123=1,COUNTIFS(c_Pass,1,c_Sort,"&lt;="&amp;$Y123),"")</f>
        <v>122</v>
      </c>
      <c r="AB123" s="47" t="n">
        <f aca="false">IF(OR($G123&lt;&gt;"Yes",NOT(ISNUMBER($H123))),"",COUNTIFS(c_Met,"Yes",c_Date,"&lt;"&amp;$H123)+COUNTIFS($G$2:$G123,"Yes",$H$2:$H123,$H123))</f>
        <v>44</v>
      </c>
    </row>
    <row r="124" customFormat="false" ht="15" hidden="false" customHeight="false" outlineLevel="0" collapsed="false">
      <c r="A124" s="44" t="n">
        <f aca="false">IF($B124="","",COUNTA($B$2:$B124))</f>
        <v>123</v>
      </c>
      <c r="B124" s="11" t="s">
        <v>368</v>
      </c>
      <c r="C124" s="11" t="s">
        <v>369</v>
      </c>
      <c r="D124" s="11" t="s">
        <v>34</v>
      </c>
      <c r="E124" s="11" t="s">
        <v>131</v>
      </c>
      <c r="F124" s="11" t="s">
        <v>141</v>
      </c>
      <c r="G124" s="34" t="s">
        <v>132</v>
      </c>
      <c r="H124" s="25"/>
      <c r="I124" s="40" t="n">
        <v>0</v>
      </c>
      <c r="J124" s="34" t="s">
        <v>132</v>
      </c>
      <c r="K124" s="45" t="n">
        <v>20000000</v>
      </c>
      <c r="L124" s="34"/>
      <c r="M124" s="34"/>
      <c r="N124" s="11" t="s">
        <v>55</v>
      </c>
      <c r="O124" s="11" t="s">
        <v>134</v>
      </c>
      <c r="P124" s="11" t="s">
        <v>133</v>
      </c>
      <c r="Q124" s="11" t="s">
        <v>133</v>
      </c>
      <c r="R124" s="11" t="s">
        <v>133</v>
      </c>
      <c r="S124" s="46"/>
      <c r="T124" s="44" t="n">
        <f aca="false">IF($B124="","",COUNTA($N124:$R124)-COUNTIF($N124:$R124,"Not Invited"))</f>
        <v>2</v>
      </c>
      <c r="U124" s="44" t="n">
        <f aca="false">IF($B124="","",COUNTIF($N124:$R124,"Attended"))</f>
        <v>1</v>
      </c>
      <c r="V124" s="47" t="str">
        <f aca="false">IF($B124="","",_xlfn.TEXTJOIN(", ",TRUE(),IF($N124="Attended",Setup!$D$15,""),IF($O124="Attended",Setup!$D$16,""),IF($P124="Attended",Setup!$D$17,""),IF($Q124="Attended",Setup!$D$18,""),IF($R124="Attended",Setup!$D$19,"")))</f>
        <v>Oct-25 Symposium</v>
      </c>
      <c r="W124" s="48" t="str">
        <f aca="true">IF(OR($B124="",NOT(ISNUMBER($H124))),"",TODAY()-$H124)</f>
        <v/>
      </c>
      <c r="X124" s="47" t="str">
        <f aca="false">IF($B124="","",IF($U124&gt;0,"Event attendee",IF($G124="Yes","Met (no event)",IF($T124&gt;0,"Invited only",IF(OR($L124="Yes",$M124="Yes"),"Contacted only","Not yet contacted")))))</f>
        <v>Event attendee</v>
      </c>
      <c r="Y124" s="47" t="n">
        <f aca="false">IF($B124="","",COUNTIF(c_Firm,"&lt;"&amp;$D124)+COUNTIFS(c_Firm,$D124,c_Name,"&lt;"&amp;$B124)+COUNTIFS($D$2:$D124,$D124,$B$2:$B124,$B124))</f>
        <v>123</v>
      </c>
      <c r="Z124" s="47" t="n">
        <f aca="false">IF($B124="","",IF(AND(OR(Contacts!$C$3="(All)",$D124=Contacts!$C$3),OR(Contacts!$E$3="(All)",$G124=Contacts!$E$3),OR(Contacts!$G$3="(All)",ISNUMBER(SEARCH(Contacts!$G$3,$V124))),OR(Contacts!$I$3="(All)",$X124=Contacts!$I$3),OR(Contacts!$K$3="",ISNUMBER(SEARCH(Contacts!$K$3,$B124&amp;" "&amp;$C124&amp;" "&amp;$D124&amp;" "&amp;$S124)))),1,0))</f>
        <v>1</v>
      </c>
      <c r="AA124" s="47" t="n">
        <f aca="false">IF($Z124=1,COUNTIFS(c_Pass,1,c_Sort,"&lt;="&amp;$Y124),"")</f>
        <v>123</v>
      </c>
      <c r="AB124" s="47" t="str">
        <f aca="false">IF(OR($G124&lt;&gt;"Yes",NOT(ISNUMBER($H124))),"",COUNTIFS(c_Met,"Yes",c_Date,"&lt;"&amp;$H124)+COUNTIFS($G$2:$G124,"Yes",$H$2:$H124,$H124))</f>
        <v/>
      </c>
    </row>
    <row r="125" customFormat="false" ht="15" hidden="false" customHeight="false" outlineLevel="0" collapsed="false">
      <c r="A125" s="44" t="n">
        <f aca="false">IF($B125="","",COUNTA($B$2:$B125))</f>
        <v>124</v>
      </c>
      <c r="B125" s="11" t="s">
        <v>370</v>
      </c>
      <c r="C125" s="11" t="s">
        <v>371</v>
      </c>
      <c r="D125" s="11" t="s">
        <v>34</v>
      </c>
      <c r="E125" s="11" t="s">
        <v>131</v>
      </c>
      <c r="F125" s="11" t="s">
        <v>66</v>
      </c>
      <c r="G125" s="34" t="s">
        <v>132</v>
      </c>
      <c r="H125" s="25"/>
      <c r="I125" s="40" t="n">
        <v>0</v>
      </c>
      <c r="J125" s="34" t="s">
        <v>132</v>
      </c>
      <c r="K125" s="45"/>
      <c r="L125" s="34"/>
      <c r="M125" s="34"/>
      <c r="N125" s="11" t="s">
        <v>133</v>
      </c>
      <c r="O125" s="11" t="s">
        <v>134</v>
      </c>
      <c r="P125" s="11" t="s">
        <v>133</v>
      </c>
      <c r="Q125" s="11" t="s">
        <v>133</v>
      </c>
      <c r="R125" s="11" t="s">
        <v>133</v>
      </c>
      <c r="S125" s="46"/>
      <c r="T125" s="44" t="n">
        <f aca="false">IF($B125="","",COUNTA($N125:$R125)-COUNTIF($N125:$R125,"Not Invited"))</f>
        <v>1</v>
      </c>
      <c r="U125" s="44" t="n">
        <f aca="false">IF($B125="","",COUNTIF($N125:$R125,"Attended"))</f>
        <v>0</v>
      </c>
      <c r="V125" s="47" t="str">
        <f aca="false">IF($B125="","",_xlfn.TEXTJOIN(", ",TRUE(),IF($N125="Attended",Setup!$D$15,""),IF($O125="Attended",Setup!$D$16,""),IF($P125="Attended",Setup!$D$17,""),IF($Q125="Attended",Setup!$D$18,""),IF($R125="Attended",Setup!$D$19,"")))</f>
        <v/>
      </c>
      <c r="W125" s="48" t="str">
        <f aca="true">IF(OR($B125="",NOT(ISNUMBER($H125))),"",TODAY()-$H125)</f>
        <v/>
      </c>
      <c r="X125" s="47" t="str">
        <f aca="false">IF($B125="","",IF($U125&gt;0,"Event attendee",IF($G125="Yes","Met (no event)",IF($T125&gt;0,"Invited only",IF(OR($L125="Yes",$M125="Yes"),"Contacted only","Not yet contacted")))))</f>
        <v>Invited only</v>
      </c>
      <c r="Y125" s="47" t="n">
        <f aca="false">IF($B125="","",COUNTIF(c_Firm,"&lt;"&amp;$D125)+COUNTIFS(c_Firm,$D125,c_Name,"&lt;"&amp;$B125)+COUNTIFS($D$2:$D125,$D125,$B$2:$B125,$B125))</f>
        <v>124</v>
      </c>
      <c r="Z125" s="47" t="n">
        <f aca="false">IF($B125="","",IF(AND(OR(Contacts!$C$3="(All)",$D125=Contacts!$C$3),OR(Contacts!$E$3="(All)",$G125=Contacts!$E$3),OR(Contacts!$G$3="(All)",ISNUMBER(SEARCH(Contacts!$G$3,$V125))),OR(Contacts!$I$3="(All)",$X125=Contacts!$I$3),OR(Contacts!$K$3="",ISNUMBER(SEARCH(Contacts!$K$3,$B125&amp;" "&amp;$C125&amp;" "&amp;$D125&amp;" "&amp;$S125)))),1,0))</f>
        <v>1</v>
      </c>
      <c r="AA125" s="47" t="n">
        <f aca="false">IF($Z125=1,COUNTIFS(c_Pass,1,c_Sort,"&lt;="&amp;$Y125),"")</f>
        <v>124</v>
      </c>
      <c r="AB125" s="47" t="str">
        <f aca="false">IF(OR($G125&lt;&gt;"Yes",NOT(ISNUMBER($H125))),"",COUNTIFS(c_Met,"Yes",c_Date,"&lt;"&amp;$H125)+COUNTIFS($G$2:$G125,"Yes",$H$2:$H125,$H125))</f>
        <v/>
      </c>
    </row>
    <row r="126" customFormat="false" ht="15" hidden="false" customHeight="false" outlineLevel="0" collapsed="false">
      <c r="A126" s="44" t="n">
        <f aca="false">IF($B126="","",COUNTA($B$2:$B126))</f>
        <v>125</v>
      </c>
      <c r="B126" s="11" t="s">
        <v>372</v>
      </c>
      <c r="C126" s="11" t="s">
        <v>373</v>
      </c>
      <c r="D126" s="11" t="s">
        <v>34</v>
      </c>
      <c r="E126" s="11" t="s">
        <v>131</v>
      </c>
      <c r="F126" s="11" t="s">
        <v>66</v>
      </c>
      <c r="G126" s="34" t="s">
        <v>132</v>
      </c>
      <c r="H126" s="25"/>
      <c r="I126" s="40" t="n">
        <v>0</v>
      </c>
      <c r="J126" s="34" t="s">
        <v>132</v>
      </c>
      <c r="K126" s="45"/>
      <c r="L126" s="34"/>
      <c r="M126" s="34"/>
      <c r="N126" s="11" t="s">
        <v>133</v>
      </c>
      <c r="O126" s="11" t="s">
        <v>55</v>
      </c>
      <c r="P126" s="11" t="s">
        <v>133</v>
      </c>
      <c r="Q126" s="11" t="s">
        <v>133</v>
      </c>
      <c r="R126" s="11" t="s">
        <v>133</v>
      </c>
      <c r="S126" s="46"/>
      <c r="T126" s="44" t="n">
        <f aca="false">IF($B126="","",COUNTA($N126:$R126)-COUNTIF($N126:$R126,"Not Invited"))</f>
        <v>1</v>
      </c>
      <c r="U126" s="44" t="n">
        <f aca="false">IF($B126="","",COUNTIF($N126:$R126,"Attended"))</f>
        <v>1</v>
      </c>
      <c r="V126" s="47" t="str">
        <f aca="false">IF($B126="","",_xlfn.TEXTJOIN(", ",TRUE(),IF($N126="Attended",Setup!$D$15,""),IF($O126="Attended",Setup!$D$16,""),IF($P126="Attended",Setup!$D$17,""),IF($Q126="Attended",Setup!$D$18,""),IF($R126="Attended",Setup!$D$19,"")))</f>
        <v>May-26 Symposium</v>
      </c>
      <c r="W126" s="48" t="str">
        <f aca="true">IF(OR($B126="",NOT(ISNUMBER($H126))),"",TODAY()-$H126)</f>
        <v/>
      </c>
      <c r="X126" s="47" t="str">
        <f aca="false">IF($B126="","",IF($U126&gt;0,"Event attendee",IF($G126="Yes","Met (no event)",IF($T126&gt;0,"Invited only",IF(OR($L126="Yes",$M126="Yes"),"Contacted only","Not yet contacted")))))</f>
        <v>Event attendee</v>
      </c>
      <c r="Y126" s="47" t="n">
        <f aca="false">IF($B126="","",COUNTIF(c_Firm,"&lt;"&amp;$D126)+COUNTIFS(c_Firm,$D126,c_Name,"&lt;"&amp;$B126)+COUNTIFS($D$2:$D126,$D126,$B$2:$B126,$B126))</f>
        <v>125</v>
      </c>
      <c r="Z126" s="47" t="n">
        <f aca="false">IF($B126="","",IF(AND(OR(Contacts!$C$3="(All)",$D126=Contacts!$C$3),OR(Contacts!$E$3="(All)",$G126=Contacts!$E$3),OR(Contacts!$G$3="(All)",ISNUMBER(SEARCH(Contacts!$G$3,$V126))),OR(Contacts!$I$3="(All)",$X126=Contacts!$I$3),OR(Contacts!$K$3="",ISNUMBER(SEARCH(Contacts!$K$3,$B126&amp;" "&amp;$C126&amp;" "&amp;$D126&amp;" "&amp;$S126)))),1,0))</f>
        <v>1</v>
      </c>
      <c r="AA126" s="47" t="n">
        <f aca="false">IF($Z126=1,COUNTIFS(c_Pass,1,c_Sort,"&lt;="&amp;$Y126),"")</f>
        <v>125</v>
      </c>
      <c r="AB126" s="47" t="str">
        <f aca="false">IF(OR($G126&lt;&gt;"Yes",NOT(ISNUMBER($H126))),"",COUNTIFS(c_Met,"Yes",c_Date,"&lt;"&amp;$H126)+COUNTIFS($G$2:$G126,"Yes",$H$2:$H126,$H126))</f>
        <v/>
      </c>
    </row>
    <row r="127" customFormat="false" ht="15" hidden="false" customHeight="false" outlineLevel="0" collapsed="false">
      <c r="A127" s="44" t="n">
        <f aca="false">IF($B127="","",COUNTA($B$2:$B127))</f>
        <v>126</v>
      </c>
      <c r="B127" s="11" t="s">
        <v>374</v>
      </c>
      <c r="C127" s="11" t="s">
        <v>375</v>
      </c>
      <c r="D127" s="11" t="s">
        <v>34</v>
      </c>
      <c r="E127" s="11" t="s">
        <v>131</v>
      </c>
      <c r="F127" s="11" t="s">
        <v>141</v>
      </c>
      <c r="G127" s="34" t="s">
        <v>132</v>
      </c>
      <c r="H127" s="25"/>
      <c r="I127" s="40" t="n">
        <v>0</v>
      </c>
      <c r="J127" s="34" t="s">
        <v>132</v>
      </c>
      <c r="K127" s="45" t="n">
        <v>5000000</v>
      </c>
      <c r="L127" s="34"/>
      <c r="M127" s="34"/>
      <c r="N127" s="11" t="s">
        <v>55</v>
      </c>
      <c r="O127" s="11" t="s">
        <v>143</v>
      </c>
      <c r="P127" s="11" t="s">
        <v>133</v>
      </c>
      <c r="Q127" s="11" t="s">
        <v>133</v>
      </c>
      <c r="R127" s="11" t="s">
        <v>133</v>
      </c>
      <c r="S127" s="46"/>
      <c r="T127" s="44" t="n">
        <f aca="false">IF($B127="","",COUNTA($N127:$R127)-COUNTIF($N127:$R127,"Not Invited"))</f>
        <v>2</v>
      </c>
      <c r="U127" s="44" t="n">
        <f aca="false">IF($B127="","",COUNTIF($N127:$R127,"Attended"))</f>
        <v>1</v>
      </c>
      <c r="V127" s="47" t="str">
        <f aca="false">IF($B127="","",_xlfn.TEXTJOIN(", ",TRUE(),IF($N127="Attended",Setup!$D$15,""),IF($O127="Attended",Setup!$D$16,""),IF($P127="Attended",Setup!$D$17,""),IF($Q127="Attended",Setup!$D$18,""),IF($R127="Attended",Setup!$D$19,"")))</f>
        <v>Oct-25 Symposium</v>
      </c>
      <c r="W127" s="48" t="str">
        <f aca="true">IF(OR($B127="",NOT(ISNUMBER($H127))),"",TODAY()-$H127)</f>
        <v/>
      </c>
      <c r="X127" s="47" t="str">
        <f aca="false">IF($B127="","",IF($U127&gt;0,"Event attendee",IF($G127="Yes","Met (no event)",IF($T127&gt;0,"Invited only",IF(OR($L127="Yes",$M127="Yes"),"Contacted only","Not yet contacted")))))</f>
        <v>Event attendee</v>
      </c>
      <c r="Y127" s="47" t="n">
        <f aca="false">IF($B127="","",COUNTIF(c_Firm,"&lt;"&amp;$D127)+COUNTIFS(c_Firm,$D127,c_Name,"&lt;"&amp;$B127)+COUNTIFS($D$2:$D127,$D127,$B$2:$B127,$B127))</f>
        <v>126</v>
      </c>
      <c r="Z127" s="47" t="n">
        <f aca="false">IF($B127="","",IF(AND(OR(Contacts!$C$3="(All)",$D127=Contacts!$C$3),OR(Contacts!$E$3="(All)",$G127=Contacts!$E$3),OR(Contacts!$G$3="(All)",ISNUMBER(SEARCH(Contacts!$G$3,$V127))),OR(Contacts!$I$3="(All)",$X127=Contacts!$I$3),OR(Contacts!$K$3="",ISNUMBER(SEARCH(Contacts!$K$3,$B127&amp;" "&amp;$C127&amp;" "&amp;$D127&amp;" "&amp;$S127)))),1,0))</f>
        <v>1</v>
      </c>
      <c r="AA127" s="47" t="n">
        <f aca="false">IF($Z127=1,COUNTIFS(c_Pass,1,c_Sort,"&lt;="&amp;$Y127),"")</f>
        <v>126</v>
      </c>
      <c r="AB127" s="47" t="str">
        <f aca="false">IF(OR($G127&lt;&gt;"Yes",NOT(ISNUMBER($H127))),"",COUNTIFS(c_Met,"Yes",c_Date,"&lt;"&amp;$H127)+COUNTIFS($G$2:$G127,"Yes",$H$2:$H127,$H127))</f>
        <v/>
      </c>
    </row>
    <row r="128" customFormat="false" ht="15" hidden="false" customHeight="false" outlineLevel="0" collapsed="false">
      <c r="A128" s="44" t="n">
        <f aca="false">IF($B128="","",COUNTA($B$2:$B128))</f>
        <v>127</v>
      </c>
      <c r="B128" s="11" t="s">
        <v>376</v>
      </c>
      <c r="C128" s="11" t="s">
        <v>377</v>
      </c>
      <c r="D128" s="11" t="s">
        <v>34</v>
      </c>
      <c r="E128" s="11" t="s">
        <v>131</v>
      </c>
      <c r="F128" s="11" t="s">
        <v>66</v>
      </c>
      <c r="G128" s="34" t="s">
        <v>132</v>
      </c>
      <c r="H128" s="25"/>
      <c r="I128" s="40" t="n">
        <v>0</v>
      </c>
      <c r="J128" s="34" t="s">
        <v>132</v>
      </c>
      <c r="K128" s="45"/>
      <c r="L128" s="34"/>
      <c r="M128" s="34"/>
      <c r="N128" s="11" t="s">
        <v>133</v>
      </c>
      <c r="O128" s="11" t="s">
        <v>55</v>
      </c>
      <c r="P128" s="11" t="s">
        <v>133</v>
      </c>
      <c r="Q128" s="11" t="s">
        <v>133</v>
      </c>
      <c r="R128" s="11" t="s">
        <v>133</v>
      </c>
      <c r="S128" s="46"/>
      <c r="T128" s="44" t="n">
        <f aca="false">IF($B128="","",COUNTA($N128:$R128)-COUNTIF($N128:$R128,"Not Invited"))</f>
        <v>1</v>
      </c>
      <c r="U128" s="44" t="n">
        <f aca="false">IF($B128="","",COUNTIF($N128:$R128,"Attended"))</f>
        <v>1</v>
      </c>
      <c r="V128" s="47" t="str">
        <f aca="false">IF($B128="","",_xlfn.TEXTJOIN(", ",TRUE(),IF($N128="Attended",Setup!$D$15,""),IF($O128="Attended",Setup!$D$16,""),IF($P128="Attended",Setup!$D$17,""),IF($Q128="Attended",Setup!$D$18,""),IF($R128="Attended",Setup!$D$19,"")))</f>
        <v>May-26 Symposium</v>
      </c>
      <c r="W128" s="48" t="str">
        <f aca="true">IF(OR($B128="",NOT(ISNUMBER($H128))),"",TODAY()-$H128)</f>
        <v/>
      </c>
      <c r="X128" s="47" t="str">
        <f aca="false">IF($B128="","",IF($U128&gt;0,"Event attendee",IF($G128="Yes","Met (no event)",IF($T128&gt;0,"Invited only",IF(OR($L128="Yes",$M128="Yes"),"Contacted only","Not yet contacted")))))</f>
        <v>Event attendee</v>
      </c>
      <c r="Y128" s="47" t="n">
        <f aca="false">IF($B128="","",COUNTIF(c_Firm,"&lt;"&amp;$D128)+COUNTIFS(c_Firm,$D128,c_Name,"&lt;"&amp;$B128)+COUNTIFS($D$2:$D128,$D128,$B$2:$B128,$B128))</f>
        <v>127</v>
      </c>
      <c r="Z128" s="47" t="n">
        <f aca="false">IF($B128="","",IF(AND(OR(Contacts!$C$3="(All)",$D128=Contacts!$C$3),OR(Contacts!$E$3="(All)",$G128=Contacts!$E$3),OR(Contacts!$G$3="(All)",ISNUMBER(SEARCH(Contacts!$G$3,$V128))),OR(Contacts!$I$3="(All)",$X128=Contacts!$I$3),OR(Contacts!$K$3="",ISNUMBER(SEARCH(Contacts!$K$3,$B128&amp;" "&amp;$C128&amp;" "&amp;$D128&amp;" "&amp;$S128)))),1,0))</f>
        <v>1</v>
      </c>
      <c r="AA128" s="47" t="n">
        <f aca="false">IF($Z128=1,COUNTIFS(c_Pass,1,c_Sort,"&lt;="&amp;$Y128),"")</f>
        <v>127</v>
      </c>
      <c r="AB128" s="47" t="str">
        <f aca="false">IF(OR($G128&lt;&gt;"Yes",NOT(ISNUMBER($H128))),"",COUNTIFS(c_Met,"Yes",c_Date,"&lt;"&amp;$H128)+COUNTIFS($G$2:$G128,"Yes",$H$2:$H128,$H128))</f>
        <v/>
      </c>
    </row>
    <row r="129" customFormat="false" ht="15" hidden="false" customHeight="false" outlineLevel="0" collapsed="false">
      <c r="A129" s="44" t="n">
        <f aca="false">IF($B129="","",COUNTA($B$2:$B129))</f>
        <v>128</v>
      </c>
      <c r="B129" s="11" t="s">
        <v>378</v>
      </c>
      <c r="C129" s="11" t="s">
        <v>379</v>
      </c>
      <c r="D129" s="11" t="s">
        <v>34</v>
      </c>
      <c r="E129" s="11" t="s">
        <v>131</v>
      </c>
      <c r="F129" s="11" t="s">
        <v>66</v>
      </c>
      <c r="G129" s="34" t="s">
        <v>132</v>
      </c>
      <c r="H129" s="25"/>
      <c r="I129" s="40" t="n">
        <v>0</v>
      </c>
      <c r="J129" s="34" t="s">
        <v>132</v>
      </c>
      <c r="K129" s="45"/>
      <c r="L129" s="34"/>
      <c r="M129" s="34"/>
      <c r="N129" s="11" t="s">
        <v>133</v>
      </c>
      <c r="O129" s="11" t="s">
        <v>55</v>
      </c>
      <c r="P129" s="11" t="s">
        <v>133</v>
      </c>
      <c r="Q129" s="11" t="s">
        <v>133</v>
      </c>
      <c r="R129" s="11" t="s">
        <v>133</v>
      </c>
      <c r="S129" s="46"/>
      <c r="T129" s="44" t="n">
        <f aca="false">IF($B129="","",COUNTA($N129:$R129)-COUNTIF($N129:$R129,"Not Invited"))</f>
        <v>1</v>
      </c>
      <c r="U129" s="44" t="n">
        <f aca="false">IF($B129="","",COUNTIF($N129:$R129,"Attended"))</f>
        <v>1</v>
      </c>
      <c r="V129" s="47" t="str">
        <f aca="false">IF($B129="","",_xlfn.TEXTJOIN(", ",TRUE(),IF($N129="Attended",Setup!$D$15,""),IF($O129="Attended",Setup!$D$16,""),IF($P129="Attended",Setup!$D$17,""),IF($Q129="Attended",Setup!$D$18,""),IF($R129="Attended",Setup!$D$19,"")))</f>
        <v>May-26 Symposium</v>
      </c>
      <c r="W129" s="48" t="str">
        <f aca="true">IF(OR($B129="",NOT(ISNUMBER($H129))),"",TODAY()-$H129)</f>
        <v/>
      </c>
      <c r="X129" s="47" t="str">
        <f aca="false">IF($B129="","",IF($U129&gt;0,"Event attendee",IF($G129="Yes","Met (no event)",IF($T129&gt;0,"Invited only",IF(OR($L129="Yes",$M129="Yes"),"Contacted only","Not yet contacted")))))</f>
        <v>Event attendee</v>
      </c>
      <c r="Y129" s="47" t="n">
        <f aca="false">IF($B129="","",COUNTIF(c_Firm,"&lt;"&amp;$D129)+COUNTIFS(c_Firm,$D129,c_Name,"&lt;"&amp;$B129)+COUNTIFS($D$2:$D129,$D129,$B$2:$B129,$B129))</f>
        <v>128</v>
      </c>
      <c r="Z129" s="47" t="n">
        <f aca="false">IF($B129="","",IF(AND(OR(Contacts!$C$3="(All)",$D129=Contacts!$C$3),OR(Contacts!$E$3="(All)",$G129=Contacts!$E$3),OR(Contacts!$G$3="(All)",ISNUMBER(SEARCH(Contacts!$G$3,$V129))),OR(Contacts!$I$3="(All)",$X129=Contacts!$I$3),OR(Contacts!$K$3="",ISNUMBER(SEARCH(Contacts!$K$3,$B129&amp;" "&amp;$C129&amp;" "&amp;$D129&amp;" "&amp;$S129)))),1,0))</f>
        <v>1</v>
      </c>
      <c r="AA129" s="47" t="n">
        <f aca="false">IF($Z129=1,COUNTIFS(c_Pass,1,c_Sort,"&lt;="&amp;$Y129),"")</f>
        <v>128</v>
      </c>
      <c r="AB129" s="47" t="str">
        <f aca="false">IF(OR($G129&lt;&gt;"Yes",NOT(ISNUMBER($H129))),"",COUNTIFS(c_Met,"Yes",c_Date,"&lt;"&amp;$H129)+COUNTIFS($G$2:$G129,"Yes",$H$2:$H129,$H129))</f>
        <v/>
      </c>
    </row>
    <row r="130" customFormat="false" ht="15" hidden="false" customHeight="false" outlineLevel="0" collapsed="false">
      <c r="A130" s="44" t="n">
        <f aca="false">IF($B130="","",COUNTA($B$2:$B130))</f>
        <v>129</v>
      </c>
      <c r="B130" s="11" t="s">
        <v>380</v>
      </c>
      <c r="C130" s="11" t="s">
        <v>381</v>
      </c>
      <c r="D130" s="11" t="s">
        <v>34</v>
      </c>
      <c r="E130" s="11" t="s">
        <v>131</v>
      </c>
      <c r="F130" s="11" t="s">
        <v>66</v>
      </c>
      <c r="G130" s="34" t="s">
        <v>132</v>
      </c>
      <c r="H130" s="25"/>
      <c r="I130" s="40" t="n">
        <v>0</v>
      </c>
      <c r="J130" s="34" t="s">
        <v>132</v>
      </c>
      <c r="K130" s="45"/>
      <c r="L130" s="34"/>
      <c r="M130" s="34"/>
      <c r="N130" s="11" t="s">
        <v>133</v>
      </c>
      <c r="O130" s="11" t="s">
        <v>55</v>
      </c>
      <c r="P130" s="11" t="s">
        <v>133</v>
      </c>
      <c r="Q130" s="11" t="s">
        <v>133</v>
      </c>
      <c r="R130" s="11" t="s">
        <v>133</v>
      </c>
      <c r="S130" s="46"/>
      <c r="T130" s="44" t="n">
        <f aca="false">IF($B130="","",COUNTA($N130:$R130)-COUNTIF($N130:$R130,"Not Invited"))</f>
        <v>1</v>
      </c>
      <c r="U130" s="44" t="n">
        <f aca="false">IF($B130="","",COUNTIF($N130:$R130,"Attended"))</f>
        <v>1</v>
      </c>
      <c r="V130" s="47" t="str">
        <f aca="false">IF($B130="","",_xlfn.TEXTJOIN(", ",TRUE(),IF($N130="Attended",Setup!$D$15,""),IF($O130="Attended",Setup!$D$16,""),IF($P130="Attended",Setup!$D$17,""),IF($Q130="Attended",Setup!$D$18,""),IF($R130="Attended",Setup!$D$19,"")))</f>
        <v>May-26 Symposium</v>
      </c>
      <c r="W130" s="48" t="str">
        <f aca="true">IF(OR($B130="",NOT(ISNUMBER($H130))),"",TODAY()-$H130)</f>
        <v/>
      </c>
      <c r="X130" s="47" t="str">
        <f aca="false">IF($B130="","",IF($U130&gt;0,"Event attendee",IF($G130="Yes","Met (no event)",IF($T130&gt;0,"Invited only",IF(OR($L130="Yes",$M130="Yes"),"Contacted only","Not yet contacted")))))</f>
        <v>Event attendee</v>
      </c>
      <c r="Y130" s="47" t="n">
        <f aca="false">IF($B130="","",COUNTIF(c_Firm,"&lt;"&amp;$D130)+COUNTIFS(c_Firm,$D130,c_Name,"&lt;"&amp;$B130)+COUNTIFS($D$2:$D130,$D130,$B$2:$B130,$B130))</f>
        <v>129</v>
      </c>
      <c r="Z130" s="47" t="n">
        <f aca="false">IF($B130="","",IF(AND(OR(Contacts!$C$3="(All)",$D130=Contacts!$C$3),OR(Contacts!$E$3="(All)",$G130=Contacts!$E$3),OR(Contacts!$G$3="(All)",ISNUMBER(SEARCH(Contacts!$G$3,$V130))),OR(Contacts!$I$3="(All)",$X130=Contacts!$I$3),OR(Contacts!$K$3="",ISNUMBER(SEARCH(Contacts!$K$3,$B130&amp;" "&amp;$C130&amp;" "&amp;$D130&amp;" "&amp;$S130)))),1,0))</f>
        <v>1</v>
      </c>
      <c r="AA130" s="47" t="n">
        <f aca="false">IF($Z130=1,COUNTIFS(c_Pass,1,c_Sort,"&lt;="&amp;$Y130),"")</f>
        <v>129</v>
      </c>
      <c r="AB130" s="47" t="str">
        <f aca="false">IF(OR($G130&lt;&gt;"Yes",NOT(ISNUMBER($H130))),"",COUNTIFS(c_Met,"Yes",c_Date,"&lt;"&amp;$H130)+COUNTIFS($G$2:$G130,"Yes",$H$2:$H130,$H130))</f>
        <v/>
      </c>
    </row>
    <row r="131" customFormat="false" ht="15" hidden="false" customHeight="false" outlineLevel="0" collapsed="false">
      <c r="A131" s="44" t="n">
        <f aca="false">IF($B131="","",COUNTA($B$2:$B131))</f>
        <v>130</v>
      </c>
      <c r="B131" s="11" t="s">
        <v>382</v>
      </c>
      <c r="C131" s="11" t="s">
        <v>383</v>
      </c>
      <c r="D131" s="11" t="s">
        <v>34</v>
      </c>
      <c r="E131" s="11" t="s">
        <v>131</v>
      </c>
      <c r="F131" s="11" t="s">
        <v>66</v>
      </c>
      <c r="G131" s="34" t="s">
        <v>132</v>
      </c>
      <c r="H131" s="25"/>
      <c r="I131" s="40" t="n">
        <v>0</v>
      </c>
      <c r="J131" s="34" t="s">
        <v>132</v>
      </c>
      <c r="K131" s="45"/>
      <c r="L131" s="34"/>
      <c r="M131" s="34"/>
      <c r="N131" s="11" t="s">
        <v>133</v>
      </c>
      <c r="O131" s="11" t="s">
        <v>55</v>
      </c>
      <c r="P131" s="11" t="s">
        <v>133</v>
      </c>
      <c r="Q131" s="11" t="s">
        <v>133</v>
      </c>
      <c r="R131" s="11" t="s">
        <v>133</v>
      </c>
      <c r="S131" s="46"/>
      <c r="T131" s="44" t="n">
        <f aca="false">IF($B131="","",COUNTA($N131:$R131)-COUNTIF($N131:$R131,"Not Invited"))</f>
        <v>1</v>
      </c>
      <c r="U131" s="44" t="n">
        <f aca="false">IF($B131="","",COUNTIF($N131:$R131,"Attended"))</f>
        <v>1</v>
      </c>
      <c r="V131" s="47" t="str">
        <f aca="false">IF($B131="","",_xlfn.TEXTJOIN(", ",TRUE(),IF($N131="Attended",Setup!$D$15,""),IF($O131="Attended",Setup!$D$16,""),IF($P131="Attended",Setup!$D$17,""),IF($Q131="Attended",Setup!$D$18,""),IF($R131="Attended",Setup!$D$19,"")))</f>
        <v>May-26 Symposium</v>
      </c>
      <c r="W131" s="48" t="str">
        <f aca="true">IF(OR($B131="",NOT(ISNUMBER($H131))),"",TODAY()-$H131)</f>
        <v/>
      </c>
      <c r="X131" s="47" t="str">
        <f aca="false">IF($B131="","",IF($U131&gt;0,"Event attendee",IF($G131="Yes","Met (no event)",IF($T131&gt;0,"Invited only",IF(OR($L131="Yes",$M131="Yes"),"Contacted only","Not yet contacted")))))</f>
        <v>Event attendee</v>
      </c>
      <c r="Y131" s="47" t="n">
        <f aca="false">IF($B131="","",COUNTIF(c_Firm,"&lt;"&amp;$D131)+COUNTIFS(c_Firm,$D131,c_Name,"&lt;"&amp;$B131)+COUNTIFS($D$2:$D131,$D131,$B$2:$B131,$B131))</f>
        <v>130</v>
      </c>
      <c r="Z131" s="47" t="n">
        <f aca="false">IF($B131="","",IF(AND(OR(Contacts!$C$3="(All)",$D131=Contacts!$C$3),OR(Contacts!$E$3="(All)",$G131=Contacts!$E$3),OR(Contacts!$G$3="(All)",ISNUMBER(SEARCH(Contacts!$G$3,$V131))),OR(Contacts!$I$3="(All)",$X131=Contacts!$I$3),OR(Contacts!$K$3="",ISNUMBER(SEARCH(Contacts!$K$3,$B131&amp;" "&amp;$C131&amp;" "&amp;$D131&amp;" "&amp;$S131)))),1,0))</f>
        <v>1</v>
      </c>
      <c r="AA131" s="47" t="n">
        <f aca="false">IF($Z131=1,COUNTIFS(c_Pass,1,c_Sort,"&lt;="&amp;$Y131),"")</f>
        <v>130</v>
      </c>
      <c r="AB131" s="47" t="str">
        <f aca="false">IF(OR($G131&lt;&gt;"Yes",NOT(ISNUMBER($H131))),"",COUNTIFS(c_Met,"Yes",c_Date,"&lt;"&amp;$H131)+COUNTIFS($G$2:$G131,"Yes",$H$2:$H131,$H131))</f>
        <v/>
      </c>
    </row>
    <row r="132" customFormat="false" ht="15" hidden="false" customHeight="false" outlineLevel="0" collapsed="false">
      <c r="A132" s="44" t="n">
        <f aca="false">IF($B132="","",COUNTA($B$2:$B132))</f>
        <v>131</v>
      </c>
      <c r="B132" s="11" t="s">
        <v>384</v>
      </c>
      <c r="C132" s="11" t="s">
        <v>385</v>
      </c>
      <c r="D132" s="11" t="s">
        <v>34</v>
      </c>
      <c r="E132" s="11" t="s">
        <v>131</v>
      </c>
      <c r="F132" s="11" t="s">
        <v>141</v>
      </c>
      <c r="G132" s="34" t="s">
        <v>132</v>
      </c>
      <c r="H132" s="25"/>
      <c r="I132" s="40" t="n">
        <v>0</v>
      </c>
      <c r="J132" s="34" t="s">
        <v>132</v>
      </c>
      <c r="K132" s="45" t="n">
        <v>7000000</v>
      </c>
      <c r="L132" s="34"/>
      <c r="M132" s="34"/>
      <c r="N132" s="11" t="s">
        <v>57</v>
      </c>
      <c r="O132" s="11" t="s">
        <v>57</v>
      </c>
      <c r="P132" s="11" t="s">
        <v>133</v>
      </c>
      <c r="Q132" s="11" t="s">
        <v>133</v>
      </c>
      <c r="R132" s="11" t="s">
        <v>133</v>
      </c>
      <c r="S132" s="46" t="s">
        <v>146</v>
      </c>
      <c r="T132" s="44" t="n">
        <f aca="false">IF($B132="","",COUNTA($N132:$R132)-COUNTIF($N132:$R132,"Not Invited"))</f>
        <v>2</v>
      </c>
      <c r="U132" s="44" t="n">
        <f aca="false">IF($B132="","",COUNTIF($N132:$R132,"Attended"))</f>
        <v>0</v>
      </c>
      <c r="V132" s="47" t="str">
        <f aca="false">IF($B132="","",_xlfn.TEXTJOIN(", ",TRUE(),IF($N132="Attended",Setup!$D$15,""),IF($O132="Attended",Setup!$D$16,""),IF($P132="Attended",Setup!$D$17,""),IF($Q132="Attended",Setup!$D$18,""),IF($R132="Attended",Setup!$D$19,"")))</f>
        <v/>
      </c>
      <c r="W132" s="48" t="str">
        <f aca="true">IF(OR($B132="",NOT(ISNUMBER($H132))),"",TODAY()-$H132)</f>
        <v/>
      </c>
      <c r="X132" s="47" t="str">
        <f aca="false">IF($B132="","",IF($U132&gt;0,"Event attendee",IF($G132="Yes","Met (no event)",IF($T132&gt;0,"Invited only",IF(OR($L132="Yes",$M132="Yes"),"Contacted only","Not yet contacted")))))</f>
        <v>Invited only</v>
      </c>
      <c r="Y132" s="47" t="n">
        <f aca="false">IF($B132="","",COUNTIF(c_Firm,"&lt;"&amp;$D132)+COUNTIFS(c_Firm,$D132,c_Name,"&lt;"&amp;$B132)+COUNTIFS($D$2:$D132,$D132,$B$2:$B132,$B132))</f>
        <v>131</v>
      </c>
      <c r="Z132" s="47" t="n">
        <f aca="false">IF($B132="","",IF(AND(OR(Contacts!$C$3="(All)",$D132=Contacts!$C$3),OR(Contacts!$E$3="(All)",$G132=Contacts!$E$3),OR(Contacts!$G$3="(All)",ISNUMBER(SEARCH(Contacts!$G$3,$V132))),OR(Contacts!$I$3="(All)",$X132=Contacts!$I$3),OR(Contacts!$K$3="",ISNUMBER(SEARCH(Contacts!$K$3,$B132&amp;" "&amp;$C132&amp;" "&amp;$D132&amp;" "&amp;$S132)))),1,0))</f>
        <v>1</v>
      </c>
      <c r="AA132" s="47" t="n">
        <f aca="false">IF($Z132=1,COUNTIFS(c_Pass,1,c_Sort,"&lt;="&amp;$Y132),"")</f>
        <v>131</v>
      </c>
      <c r="AB132" s="47" t="str">
        <f aca="false">IF(OR($G132&lt;&gt;"Yes",NOT(ISNUMBER($H132))),"",COUNTIFS(c_Met,"Yes",c_Date,"&lt;"&amp;$H132)+COUNTIFS($G$2:$G132,"Yes",$H$2:$H132,$H132))</f>
        <v/>
      </c>
    </row>
    <row r="133" customFormat="false" ht="15" hidden="false" customHeight="false" outlineLevel="0" collapsed="false">
      <c r="A133" s="44" t="n">
        <f aca="false">IF($B133="","",COUNTA($B$2:$B133))</f>
        <v>132</v>
      </c>
      <c r="B133" s="11" t="s">
        <v>386</v>
      </c>
      <c r="C133" s="11" t="s">
        <v>387</v>
      </c>
      <c r="D133" s="11" t="s">
        <v>34</v>
      </c>
      <c r="E133" s="11" t="s">
        <v>131</v>
      </c>
      <c r="F133" s="11" t="s">
        <v>141</v>
      </c>
      <c r="G133" s="34" t="s">
        <v>132</v>
      </c>
      <c r="H133" s="25"/>
      <c r="I133" s="40" t="n">
        <v>0</v>
      </c>
      <c r="J133" s="34" t="s">
        <v>132</v>
      </c>
      <c r="K133" s="45" t="n">
        <v>5000000</v>
      </c>
      <c r="L133" s="34"/>
      <c r="M133" s="34"/>
      <c r="N133" s="11" t="s">
        <v>55</v>
      </c>
      <c r="O133" s="11" t="s">
        <v>143</v>
      </c>
      <c r="P133" s="11" t="s">
        <v>133</v>
      </c>
      <c r="Q133" s="11" t="s">
        <v>133</v>
      </c>
      <c r="R133" s="11" t="s">
        <v>133</v>
      </c>
      <c r="S133" s="46"/>
      <c r="T133" s="44" t="n">
        <f aca="false">IF($B133="","",COUNTA($N133:$R133)-COUNTIF($N133:$R133,"Not Invited"))</f>
        <v>2</v>
      </c>
      <c r="U133" s="44" t="n">
        <f aca="false">IF($B133="","",COUNTIF($N133:$R133,"Attended"))</f>
        <v>1</v>
      </c>
      <c r="V133" s="47" t="str">
        <f aca="false">IF($B133="","",_xlfn.TEXTJOIN(", ",TRUE(),IF($N133="Attended",Setup!$D$15,""),IF($O133="Attended",Setup!$D$16,""),IF($P133="Attended",Setup!$D$17,""),IF($Q133="Attended",Setup!$D$18,""),IF($R133="Attended",Setup!$D$19,"")))</f>
        <v>Oct-25 Symposium</v>
      </c>
      <c r="W133" s="48" t="str">
        <f aca="true">IF(OR($B133="",NOT(ISNUMBER($H133))),"",TODAY()-$H133)</f>
        <v/>
      </c>
      <c r="X133" s="47" t="str">
        <f aca="false">IF($B133="","",IF($U133&gt;0,"Event attendee",IF($G133="Yes","Met (no event)",IF($T133&gt;0,"Invited only",IF(OR($L133="Yes",$M133="Yes"),"Contacted only","Not yet contacted")))))</f>
        <v>Event attendee</v>
      </c>
      <c r="Y133" s="47" t="n">
        <f aca="false">IF($B133="","",COUNTIF(c_Firm,"&lt;"&amp;$D133)+COUNTIFS(c_Firm,$D133,c_Name,"&lt;"&amp;$B133)+COUNTIFS($D$2:$D133,$D133,$B$2:$B133,$B133))</f>
        <v>132</v>
      </c>
      <c r="Z133" s="47" t="n">
        <f aca="false">IF($B133="","",IF(AND(OR(Contacts!$C$3="(All)",$D133=Contacts!$C$3),OR(Contacts!$E$3="(All)",$G133=Contacts!$E$3),OR(Contacts!$G$3="(All)",ISNUMBER(SEARCH(Contacts!$G$3,$V133))),OR(Contacts!$I$3="(All)",$X133=Contacts!$I$3),OR(Contacts!$K$3="",ISNUMBER(SEARCH(Contacts!$K$3,$B133&amp;" "&amp;$C133&amp;" "&amp;$D133&amp;" "&amp;$S133)))),1,0))</f>
        <v>1</v>
      </c>
      <c r="AA133" s="47" t="n">
        <f aca="false">IF($Z133=1,COUNTIFS(c_Pass,1,c_Sort,"&lt;="&amp;$Y133),"")</f>
        <v>132</v>
      </c>
      <c r="AB133" s="47" t="str">
        <f aca="false">IF(OR($G133&lt;&gt;"Yes",NOT(ISNUMBER($H133))),"",COUNTIFS(c_Met,"Yes",c_Date,"&lt;"&amp;$H133)+COUNTIFS($G$2:$G133,"Yes",$H$2:$H133,$H133))</f>
        <v/>
      </c>
    </row>
    <row r="134" customFormat="false" ht="15" hidden="false" customHeight="false" outlineLevel="0" collapsed="false">
      <c r="A134" s="44" t="n">
        <f aca="false">IF($B134="","",COUNTA($B$2:$B134))</f>
        <v>133</v>
      </c>
      <c r="B134" s="11" t="s">
        <v>388</v>
      </c>
      <c r="C134" s="11" t="s">
        <v>389</v>
      </c>
      <c r="D134" s="11" t="s">
        <v>43</v>
      </c>
      <c r="E134" s="11" t="s">
        <v>131</v>
      </c>
      <c r="F134" s="11" t="s">
        <v>141</v>
      </c>
      <c r="G134" s="34" t="s">
        <v>142</v>
      </c>
      <c r="H134" s="25" t="n">
        <v>46084</v>
      </c>
      <c r="I134" s="40" t="n">
        <v>1</v>
      </c>
      <c r="J134" s="34" t="s">
        <v>132</v>
      </c>
      <c r="K134" s="45" t="n">
        <v>6000000</v>
      </c>
      <c r="L134" s="34"/>
      <c r="M134" s="34"/>
      <c r="N134" s="11" t="s">
        <v>143</v>
      </c>
      <c r="O134" s="11" t="s">
        <v>134</v>
      </c>
      <c r="P134" s="11" t="s">
        <v>133</v>
      </c>
      <c r="Q134" s="11" t="s">
        <v>133</v>
      </c>
      <c r="R134" s="11" t="s">
        <v>133</v>
      </c>
      <c r="S134" s="46"/>
      <c r="T134" s="44" t="n">
        <f aca="false">IF($B134="","",COUNTA($N134:$R134)-COUNTIF($N134:$R134,"Not Invited"))</f>
        <v>2</v>
      </c>
      <c r="U134" s="44" t="n">
        <f aca="false">IF($B134="","",COUNTIF($N134:$R134,"Attended"))</f>
        <v>0</v>
      </c>
      <c r="V134" s="47" t="str">
        <f aca="false">IF($B134="","",_xlfn.TEXTJOIN(", ",TRUE(),IF($N134="Attended",Setup!$D$15,""),IF($O134="Attended",Setup!$D$16,""),IF($P134="Attended",Setup!$D$17,""),IF($Q134="Attended",Setup!$D$18,""),IF($R134="Attended",Setup!$D$19,"")))</f>
        <v/>
      </c>
      <c r="W134" s="48" t="n">
        <f aca="true">IF(OR($B134="",NOT(ISNUMBER($H134))),"",TODAY()-$H134)</f>
        <v>157</v>
      </c>
      <c r="X134" s="47" t="str">
        <f aca="false">IF($B134="","",IF($U134&gt;0,"Event attendee",IF($G134="Yes","Met (no event)",IF($T134&gt;0,"Invited only",IF(OR($L134="Yes",$M134="Yes"),"Contacted only","Not yet contacted")))))</f>
        <v>Met (no event)</v>
      </c>
      <c r="Y134" s="47" t="n">
        <f aca="false">IF($B134="","",COUNTIF(c_Firm,"&lt;"&amp;$D134)+COUNTIFS(c_Firm,$D134,c_Name,"&lt;"&amp;$B134)+COUNTIFS($D$2:$D134,$D134,$B$2:$B134,$B134))</f>
        <v>133</v>
      </c>
      <c r="Z134" s="47" t="n">
        <f aca="false">IF($B134="","",IF(AND(OR(Contacts!$C$3="(All)",$D134=Contacts!$C$3),OR(Contacts!$E$3="(All)",$G134=Contacts!$E$3),OR(Contacts!$G$3="(All)",ISNUMBER(SEARCH(Contacts!$G$3,$V134))),OR(Contacts!$I$3="(All)",$X134=Contacts!$I$3),OR(Contacts!$K$3="",ISNUMBER(SEARCH(Contacts!$K$3,$B134&amp;" "&amp;$C134&amp;" "&amp;$D134&amp;" "&amp;$S134)))),1,0))</f>
        <v>1</v>
      </c>
      <c r="AA134" s="47" t="n">
        <f aca="false">IF($Z134=1,COUNTIFS(c_Pass,1,c_Sort,"&lt;="&amp;$Y134),"")</f>
        <v>133</v>
      </c>
      <c r="AB134" s="47" t="n">
        <f aca="false">IF(OR($G134&lt;&gt;"Yes",NOT(ISNUMBER($H134))),"",COUNTIFS(c_Met,"Yes",c_Date,"&lt;"&amp;$H134)+COUNTIFS($G$2:$G134,"Yes",$H$2:$H134,$H134))</f>
        <v>47</v>
      </c>
    </row>
    <row r="135" customFormat="false" ht="15" hidden="false" customHeight="false" outlineLevel="0" collapsed="false">
      <c r="A135" s="44" t="n">
        <f aca="false">IF($B135="","",COUNTA($B$2:$B135))</f>
        <v>134</v>
      </c>
      <c r="B135" s="11" t="s">
        <v>390</v>
      </c>
      <c r="C135" s="11" t="s">
        <v>391</v>
      </c>
      <c r="D135" s="11" t="s">
        <v>28</v>
      </c>
      <c r="E135" s="11" t="s">
        <v>193</v>
      </c>
      <c r="F135" s="11" t="s">
        <v>68</v>
      </c>
      <c r="G135" s="34" t="s">
        <v>132</v>
      </c>
      <c r="H135" s="25"/>
      <c r="I135" s="40" t="n">
        <v>0</v>
      </c>
      <c r="J135" s="34" t="s">
        <v>132</v>
      </c>
      <c r="K135" s="45"/>
      <c r="L135" s="34"/>
      <c r="M135" s="34"/>
      <c r="N135" s="11" t="s">
        <v>133</v>
      </c>
      <c r="O135" s="11" t="s">
        <v>133</v>
      </c>
      <c r="P135" s="11" t="s">
        <v>133</v>
      </c>
      <c r="Q135" s="11" t="s">
        <v>133</v>
      </c>
      <c r="R135" s="11" t="s">
        <v>133</v>
      </c>
      <c r="S135" s="46" t="s">
        <v>392</v>
      </c>
      <c r="T135" s="44" t="n">
        <f aca="false">IF($B135="","",COUNTA($N135:$R135)-COUNTIF($N135:$R135,"Not Invited"))</f>
        <v>0</v>
      </c>
      <c r="U135" s="44" t="n">
        <f aca="false">IF($B135="","",COUNTIF($N135:$R135,"Attended"))</f>
        <v>0</v>
      </c>
      <c r="V135" s="47" t="str">
        <f aca="false">IF($B135="","",_xlfn.TEXTJOIN(", ",TRUE(),IF($N135="Attended",Setup!$D$15,""),IF($O135="Attended",Setup!$D$16,""),IF($P135="Attended",Setup!$D$17,""),IF($Q135="Attended",Setup!$D$18,""),IF($R135="Attended",Setup!$D$19,"")))</f>
        <v/>
      </c>
      <c r="W135" s="48" t="str">
        <f aca="true">IF(OR($B135="",NOT(ISNUMBER($H135))),"",TODAY()-$H135)</f>
        <v/>
      </c>
      <c r="X135" s="47" t="str">
        <f aca="false">IF($B135="","",IF($U135&gt;0,"Event attendee",IF($G135="Yes","Met (no event)",IF($T135&gt;0,"Invited only",IF(OR($L135="Yes",$M135="Yes"),"Contacted only","Not yet contacted")))))</f>
        <v>Not yet contacted</v>
      </c>
      <c r="Y135" s="47" t="n">
        <f aca="false">IF($B135="","",COUNTIF(c_Firm,"&lt;"&amp;$D135)+COUNTIFS(c_Firm,$D135,c_Name,"&lt;"&amp;$B135)+COUNTIFS($D$2:$D135,$D135,$B$2:$B135,$B135))</f>
        <v>134</v>
      </c>
      <c r="Z135" s="47" t="n">
        <f aca="false">IF($B135="","",IF(AND(OR(Contacts!$C$3="(All)",$D135=Contacts!$C$3),OR(Contacts!$E$3="(All)",$G135=Contacts!$E$3),OR(Contacts!$G$3="(All)",ISNUMBER(SEARCH(Contacts!$G$3,$V135))),OR(Contacts!$I$3="(All)",$X135=Contacts!$I$3),OR(Contacts!$K$3="",ISNUMBER(SEARCH(Contacts!$K$3,$B135&amp;" "&amp;$C135&amp;" "&amp;$D135&amp;" "&amp;$S135)))),1,0))</f>
        <v>1</v>
      </c>
      <c r="AA135" s="47" t="n">
        <f aca="false">IF($Z135=1,COUNTIFS(c_Pass,1,c_Sort,"&lt;="&amp;$Y135),"")</f>
        <v>134</v>
      </c>
      <c r="AB135" s="47" t="str">
        <f aca="false">IF(OR($G135&lt;&gt;"Yes",NOT(ISNUMBER($H135))),"",COUNTIFS(c_Met,"Yes",c_Date,"&lt;"&amp;$H135)+COUNTIFS($G$2:$G135,"Yes",$H$2:$H135,$H135))</f>
        <v/>
      </c>
    </row>
    <row r="136" customFormat="false" ht="15" hidden="false" customHeight="false" outlineLevel="0" collapsed="false">
      <c r="A136" s="44" t="n">
        <f aca="false">IF($B136="","",COUNTA($B$2:$B136))</f>
        <v>135</v>
      </c>
      <c r="B136" s="11" t="s">
        <v>393</v>
      </c>
      <c r="C136" s="11" t="s">
        <v>394</v>
      </c>
      <c r="D136" s="11" t="s">
        <v>28</v>
      </c>
      <c r="E136" s="11" t="s">
        <v>193</v>
      </c>
      <c r="F136" s="11" t="s">
        <v>68</v>
      </c>
      <c r="G136" s="34" t="s">
        <v>132</v>
      </c>
      <c r="H136" s="25"/>
      <c r="I136" s="40" t="n">
        <v>0</v>
      </c>
      <c r="J136" s="34" t="s">
        <v>132</v>
      </c>
      <c r="K136" s="45"/>
      <c r="L136" s="34"/>
      <c r="M136" s="34"/>
      <c r="N136" s="11" t="s">
        <v>133</v>
      </c>
      <c r="O136" s="11" t="s">
        <v>133</v>
      </c>
      <c r="P136" s="11" t="s">
        <v>133</v>
      </c>
      <c r="Q136" s="11" t="s">
        <v>133</v>
      </c>
      <c r="R136" s="11" t="s">
        <v>133</v>
      </c>
      <c r="S136" s="46" t="s">
        <v>395</v>
      </c>
      <c r="T136" s="44" t="n">
        <f aca="false">IF($B136="","",COUNTA($N136:$R136)-COUNTIF($N136:$R136,"Not Invited"))</f>
        <v>0</v>
      </c>
      <c r="U136" s="44" t="n">
        <f aca="false">IF($B136="","",COUNTIF($N136:$R136,"Attended"))</f>
        <v>0</v>
      </c>
      <c r="V136" s="47" t="str">
        <f aca="false">IF($B136="","",_xlfn.TEXTJOIN(", ",TRUE(),IF($N136="Attended",Setup!$D$15,""),IF($O136="Attended",Setup!$D$16,""),IF($P136="Attended",Setup!$D$17,""),IF($Q136="Attended",Setup!$D$18,""),IF($R136="Attended",Setup!$D$19,"")))</f>
        <v/>
      </c>
      <c r="W136" s="48" t="str">
        <f aca="true">IF(OR($B136="",NOT(ISNUMBER($H136))),"",TODAY()-$H136)</f>
        <v/>
      </c>
      <c r="X136" s="47" t="str">
        <f aca="false">IF($B136="","",IF($U136&gt;0,"Event attendee",IF($G136="Yes","Met (no event)",IF($T136&gt;0,"Invited only",IF(OR($L136="Yes",$M136="Yes"),"Contacted only","Not yet contacted")))))</f>
        <v>Not yet contacted</v>
      </c>
      <c r="Y136" s="47" t="n">
        <f aca="false">IF($B136="","",COUNTIF(c_Firm,"&lt;"&amp;$D136)+COUNTIFS(c_Firm,$D136,c_Name,"&lt;"&amp;$B136)+COUNTIFS($D$2:$D136,$D136,$B$2:$B136,$B136))</f>
        <v>135</v>
      </c>
      <c r="Z136" s="47" t="n">
        <f aca="false">IF($B136="","",IF(AND(OR(Contacts!$C$3="(All)",$D136=Contacts!$C$3),OR(Contacts!$E$3="(All)",$G136=Contacts!$E$3),OR(Contacts!$G$3="(All)",ISNUMBER(SEARCH(Contacts!$G$3,$V136))),OR(Contacts!$I$3="(All)",$X136=Contacts!$I$3),OR(Contacts!$K$3="",ISNUMBER(SEARCH(Contacts!$K$3,$B136&amp;" "&amp;$C136&amp;" "&amp;$D136&amp;" "&amp;$S136)))),1,0))</f>
        <v>1</v>
      </c>
      <c r="AA136" s="47" t="n">
        <f aca="false">IF($Z136=1,COUNTIFS(c_Pass,1,c_Sort,"&lt;="&amp;$Y136),"")</f>
        <v>135</v>
      </c>
      <c r="AB136" s="47" t="str">
        <f aca="false">IF(OR($G136&lt;&gt;"Yes",NOT(ISNUMBER($H136))),"",COUNTIFS(c_Met,"Yes",c_Date,"&lt;"&amp;$H136)+COUNTIFS($G$2:$G136,"Yes",$H$2:$H136,$H136))</f>
        <v/>
      </c>
    </row>
    <row r="137" customFormat="false" ht="15" hidden="false" customHeight="false" outlineLevel="0" collapsed="false">
      <c r="A137" s="44" t="n">
        <f aca="false">IF($B137="","",COUNTA($B$2:$B137))</f>
        <v>136</v>
      </c>
      <c r="B137" s="11" t="s">
        <v>396</v>
      </c>
      <c r="C137" s="11" t="s">
        <v>397</v>
      </c>
      <c r="D137" s="11" t="s">
        <v>28</v>
      </c>
      <c r="E137" s="11" t="s">
        <v>193</v>
      </c>
      <c r="F137" s="11" t="s">
        <v>68</v>
      </c>
      <c r="G137" s="34" t="s">
        <v>132</v>
      </c>
      <c r="H137" s="25"/>
      <c r="I137" s="40" t="n">
        <v>0</v>
      </c>
      <c r="J137" s="34" t="s">
        <v>132</v>
      </c>
      <c r="K137" s="45"/>
      <c r="L137" s="34"/>
      <c r="M137" s="34"/>
      <c r="N137" s="11" t="s">
        <v>133</v>
      </c>
      <c r="O137" s="11" t="s">
        <v>133</v>
      </c>
      <c r="P137" s="11" t="s">
        <v>133</v>
      </c>
      <c r="Q137" s="11" t="s">
        <v>133</v>
      </c>
      <c r="R137" s="11" t="s">
        <v>133</v>
      </c>
      <c r="S137" s="46" t="s">
        <v>398</v>
      </c>
      <c r="T137" s="44" t="n">
        <f aca="false">IF($B137="","",COUNTA($N137:$R137)-COUNTIF($N137:$R137,"Not Invited"))</f>
        <v>0</v>
      </c>
      <c r="U137" s="44" t="n">
        <f aca="false">IF($B137="","",COUNTIF($N137:$R137,"Attended"))</f>
        <v>0</v>
      </c>
      <c r="V137" s="47" t="str">
        <f aca="false">IF($B137="","",_xlfn.TEXTJOIN(", ",TRUE(),IF($N137="Attended",Setup!$D$15,""),IF($O137="Attended",Setup!$D$16,""),IF($P137="Attended",Setup!$D$17,""),IF($Q137="Attended",Setup!$D$18,""),IF($R137="Attended",Setup!$D$19,"")))</f>
        <v/>
      </c>
      <c r="W137" s="48" t="str">
        <f aca="true">IF(OR($B137="",NOT(ISNUMBER($H137))),"",TODAY()-$H137)</f>
        <v/>
      </c>
      <c r="X137" s="47" t="str">
        <f aca="false">IF($B137="","",IF($U137&gt;0,"Event attendee",IF($G137="Yes","Met (no event)",IF($T137&gt;0,"Invited only",IF(OR($L137="Yes",$M137="Yes"),"Contacted only","Not yet contacted")))))</f>
        <v>Not yet contacted</v>
      </c>
      <c r="Y137" s="47" t="n">
        <f aca="false">IF($B137="","",COUNTIF(c_Firm,"&lt;"&amp;$D137)+COUNTIFS(c_Firm,$D137,c_Name,"&lt;"&amp;$B137)+COUNTIFS($D$2:$D137,$D137,$B$2:$B137,$B137))</f>
        <v>136</v>
      </c>
      <c r="Z137" s="47" t="n">
        <f aca="false">IF($B137="","",IF(AND(OR(Contacts!$C$3="(All)",$D137=Contacts!$C$3),OR(Contacts!$E$3="(All)",$G137=Contacts!$E$3),OR(Contacts!$G$3="(All)",ISNUMBER(SEARCH(Contacts!$G$3,$V137))),OR(Contacts!$I$3="(All)",$X137=Contacts!$I$3),OR(Contacts!$K$3="",ISNUMBER(SEARCH(Contacts!$K$3,$B137&amp;" "&amp;$C137&amp;" "&amp;$D137&amp;" "&amp;$S137)))),1,0))</f>
        <v>1</v>
      </c>
      <c r="AA137" s="47" t="n">
        <f aca="false">IF($Z137=1,COUNTIFS(c_Pass,1,c_Sort,"&lt;="&amp;$Y137),"")</f>
        <v>136</v>
      </c>
      <c r="AB137" s="47" t="str">
        <f aca="false">IF(OR($G137&lt;&gt;"Yes",NOT(ISNUMBER($H137))),"",COUNTIFS(c_Met,"Yes",c_Date,"&lt;"&amp;$H137)+COUNTIFS($G$2:$G137,"Yes",$H$2:$H137,$H137))</f>
        <v/>
      </c>
    </row>
    <row r="138" customFormat="false" ht="15" hidden="false" customHeight="false" outlineLevel="0" collapsed="false">
      <c r="A138" s="44" t="n">
        <f aca="false">IF($B138="","",COUNTA($B$2:$B138))</f>
        <v>137</v>
      </c>
      <c r="B138" s="11" t="s">
        <v>399</v>
      </c>
      <c r="C138" s="11" t="s">
        <v>400</v>
      </c>
      <c r="D138" s="11" t="s">
        <v>28</v>
      </c>
      <c r="E138" s="11" t="s">
        <v>193</v>
      </c>
      <c r="F138" s="11" t="s">
        <v>68</v>
      </c>
      <c r="G138" s="34" t="s">
        <v>132</v>
      </c>
      <c r="H138" s="25"/>
      <c r="I138" s="40" t="n">
        <v>0</v>
      </c>
      <c r="J138" s="34" t="s">
        <v>132</v>
      </c>
      <c r="K138" s="45"/>
      <c r="L138" s="34"/>
      <c r="M138" s="34"/>
      <c r="N138" s="11" t="s">
        <v>133</v>
      </c>
      <c r="O138" s="11" t="s">
        <v>133</v>
      </c>
      <c r="P138" s="11" t="s">
        <v>133</v>
      </c>
      <c r="Q138" s="11" t="s">
        <v>133</v>
      </c>
      <c r="R138" s="11" t="s">
        <v>133</v>
      </c>
      <c r="S138" s="46" t="s">
        <v>401</v>
      </c>
      <c r="T138" s="44" t="n">
        <f aca="false">IF($B138="","",COUNTA($N138:$R138)-COUNTIF($N138:$R138,"Not Invited"))</f>
        <v>0</v>
      </c>
      <c r="U138" s="44" t="n">
        <f aca="false">IF($B138="","",COUNTIF($N138:$R138,"Attended"))</f>
        <v>0</v>
      </c>
      <c r="V138" s="47" t="str">
        <f aca="false">IF($B138="","",_xlfn.TEXTJOIN(", ",TRUE(),IF($N138="Attended",Setup!$D$15,""),IF($O138="Attended",Setup!$D$16,""),IF($P138="Attended",Setup!$D$17,""),IF($Q138="Attended",Setup!$D$18,""),IF($R138="Attended",Setup!$D$19,"")))</f>
        <v/>
      </c>
      <c r="W138" s="48" t="str">
        <f aca="true">IF(OR($B138="",NOT(ISNUMBER($H138))),"",TODAY()-$H138)</f>
        <v/>
      </c>
      <c r="X138" s="47" t="str">
        <f aca="false">IF($B138="","",IF($U138&gt;0,"Event attendee",IF($G138="Yes","Met (no event)",IF($T138&gt;0,"Invited only",IF(OR($L138="Yes",$M138="Yes"),"Contacted only","Not yet contacted")))))</f>
        <v>Not yet contacted</v>
      </c>
      <c r="Y138" s="47" t="n">
        <f aca="false">IF($B138="","",COUNTIF(c_Firm,"&lt;"&amp;$D138)+COUNTIFS(c_Firm,$D138,c_Name,"&lt;"&amp;$B138)+COUNTIFS($D$2:$D138,$D138,$B$2:$B138,$B138))</f>
        <v>137</v>
      </c>
      <c r="Z138" s="47" t="n">
        <f aca="false">IF($B138="","",IF(AND(OR(Contacts!$C$3="(All)",$D138=Contacts!$C$3),OR(Contacts!$E$3="(All)",$G138=Contacts!$E$3),OR(Contacts!$G$3="(All)",ISNUMBER(SEARCH(Contacts!$G$3,$V138))),OR(Contacts!$I$3="(All)",$X138=Contacts!$I$3),OR(Contacts!$K$3="",ISNUMBER(SEARCH(Contacts!$K$3,$B138&amp;" "&amp;$C138&amp;" "&amp;$D138&amp;" "&amp;$S138)))),1,0))</f>
        <v>1</v>
      </c>
      <c r="AA138" s="47" t="n">
        <f aca="false">IF($Z138=1,COUNTIFS(c_Pass,1,c_Sort,"&lt;="&amp;$Y138),"")</f>
        <v>137</v>
      </c>
      <c r="AB138" s="47" t="str">
        <f aca="false">IF(OR($G138&lt;&gt;"Yes",NOT(ISNUMBER($H138))),"",COUNTIFS(c_Met,"Yes",c_Date,"&lt;"&amp;$H138)+COUNTIFS($G$2:$G138,"Yes",$H$2:$H138,$H138))</f>
        <v/>
      </c>
    </row>
    <row r="139" customFormat="false" ht="15" hidden="false" customHeight="false" outlineLevel="0" collapsed="false">
      <c r="A139" s="44" t="n">
        <f aca="false">IF($B139="","",COUNTA($B$2:$B139))</f>
        <v>138</v>
      </c>
      <c r="B139" s="11" t="s">
        <v>402</v>
      </c>
      <c r="C139" s="11" t="s">
        <v>403</v>
      </c>
      <c r="D139" s="11" t="s">
        <v>28</v>
      </c>
      <c r="E139" s="11" t="s">
        <v>193</v>
      </c>
      <c r="F139" s="11" t="s">
        <v>68</v>
      </c>
      <c r="G139" s="34" t="s">
        <v>132</v>
      </c>
      <c r="H139" s="25"/>
      <c r="I139" s="40" t="n">
        <v>0</v>
      </c>
      <c r="J139" s="34" t="s">
        <v>132</v>
      </c>
      <c r="K139" s="45"/>
      <c r="L139" s="34"/>
      <c r="M139" s="34"/>
      <c r="N139" s="11" t="s">
        <v>133</v>
      </c>
      <c r="O139" s="11" t="s">
        <v>133</v>
      </c>
      <c r="P139" s="11" t="s">
        <v>133</v>
      </c>
      <c r="Q139" s="11" t="s">
        <v>133</v>
      </c>
      <c r="R139" s="11" t="s">
        <v>133</v>
      </c>
      <c r="S139" s="46" t="s">
        <v>404</v>
      </c>
      <c r="T139" s="44" t="n">
        <f aca="false">IF($B139="","",COUNTA($N139:$R139)-COUNTIF($N139:$R139,"Not Invited"))</f>
        <v>0</v>
      </c>
      <c r="U139" s="44" t="n">
        <f aca="false">IF($B139="","",COUNTIF($N139:$R139,"Attended"))</f>
        <v>0</v>
      </c>
      <c r="V139" s="47" t="str">
        <f aca="false">IF($B139="","",_xlfn.TEXTJOIN(", ",TRUE(),IF($N139="Attended",Setup!$D$15,""),IF($O139="Attended",Setup!$D$16,""),IF($P139="Attended",Setup!$D$17,""),IF($Q139="Attended",Setup!$D$18,""),IF($R139="Attended",Setup!$D$19,"")))</f>
        <v/>
      </c>
      <c r="W139" s="48" t="str">
        <f aca="true">IF(OR($B139="",NOT(ISNUMBER($H139))),"",TODAY()-$H139)</f>
        <v/>
      </c>
      <c r="X139" s="47" t="str">
        <f aca="false">IF($B139="","",IF($U139&gt;0,"Event attendee",IF($G139="Yes","Met (no event)",IF($T139&gt;0,"Invited only",IF(OR($L139="Yes",$M139="Yes"),"Contacted only","Not yet contacted")))))</f>
        <v>Not yet contacted</v>
      </c>
      <c r="Y139" s="47" t="n">
        <f aca="false">IF($B139="","",COUNTIF(c_Firm,"&lt;"&amp;$D139)+COUNTIFS(c_Firm,$D139,c_Name,"&lt;"&amp;$B139)+COUNTIFS($D$2:$D139,$D139,$B$2:$B139,$B139))</f>
        <v>138</v>
      </c>
      <c r="Z139" s="47" t="n">
        <f aca="false">IF($B139="","",IF(AND(OR(Contacts!$C$3="(All)",$D139=Contacts!$C$3),OR(Contacts!$E$3="(All)",$G139=Contacts!$E$3),OR(Contacts!$G$3="(All)",ISNUMBER(SEARCH(Contacts!$G$3,$V139))),OR(Contacts!$I$3="(All)",$X139=Contacts!$I$3),OR(Contacts!$K$3="",ISNUMBER(SEARCH(Contacts!$K$3,$B139&amp;" "&amp;$C139&amp;" "&amp;$D139&amp;" "&amp;$S139)))),1,0))</f>
        <v>1</v>
      </c>
      <c r="AA139" s="47" t="n">
        <f aca="false">IF($Z139=1,COUNTIFS(c_Pass,1,c_Sort,"&lt;="&amp;$Y139),"")</f>
        <v>138</v>
      </c>
      <c r="AB139" s="47" t="str">
        <f aca="false">IF(OR($G139&lt;&gt;"Yes",NOT(ISNUMBER($H139))),"",COUNTIFS(c_Met,"Yes",c_Date,"&lt;"&amp;$H139)+COUNTIFS($G$2:$G139,"Yes",$H$2:$H139,$H139))</f>
        <v/>
      </c>
    </row>
    <row r="140" customFormat="false" ht="15" hidden="false" customHeight="false" outlineLevel="0" collapsed="false">
      <c r="A140" s="44" t="n">
        <f aca="false">IF($B140="","",COUNTA($B$2:$B140))</f>
        <v>139</v>
      </c>
      <c r="B140" s="11" t="s">
        <v>405</v>
      </c>
      <c r="C140" s="11"/>
      <c r="D140" s="11" t="s">
        <v>28</v>
      </c>
      <c r="E140" s="11" t="s">
        <v>193</v>
      </c>
      <c r="F140" s="11" t="s">
        <v>68</v>
      </c>
      <c r="G140" s="34" t="s">
        <v>132</v>
      </c>
      <c r="H140" s="25"/>
      <c r="I140" s="40" t="n">
        <v>0</v>
      </c>
      <c r="J140" s="34" t="s">
        <v>132</v>
      </c>
      <c r="K140" s="45"/>
      <c r="L140" s="34"/>
      <c r="M140" s="34"/>
      <c r="N140" s="11" t="s">
        <v>133</v>
      </c>
      <c r="O140" s="11" t="s">
        <v>133</v>
      </c>
      <c r="P140" s="11" t="s">
        <v>133</v>
      </c>
      <c r="Q140" s="11" t="s">
        <v>133</v>
      </c>
      <c r="R140" s="11" t="s">
        <v>133</v>
      </c>
      <c r="S140" s="46" t="s">
        <v>406</v>
      </c>
      <c r="T140" s="44" t="n">
        <f aca="false">IF($B140="","",COUNTA($N140:$R140)-COUNTIF($N140:$R140,"Not Invited"))</f>
        <v>0</v>
      </c>
      <c r="U140" s="44" t="n">
        <f aca="false">IF($B140="","",COUNTIF($N140:$R140,"Attended"))</f>
        <v>0</v>
      </c>
      <c r="V140" s="47" t="str">
        <f aca="false">IF($B140="","",_xlfn.TEXTJOIN(", ",TRUE(),IF($N140="Attended",Setup!$D$15,""),IF($O140="Attended",Setup!$D$16,""),IF($P140="Attended",Setup!$D$17,""),IF($Q140="Attended",Setup!$D$18,""),IF($R140="Attended",Setup!$D$19,"")))</f>
        <v/>
      </c>
      <c r="W140" s="48" t="str">
        <f aca="true">IF(OR($B140="",NOT(ISNUMBER($H140))),"",TODAY()-$H140)</f>
        <v/>
      </c>
      <c r="X140" s="47" t="str">
        <f aca="false">IF($B140="","",IF($U140&gt;0,"Event attendee",IF($G140="Yes","Met (no event)",IF($T140&gt;0,"Invited only",IF(OR($L140="Yes",$M140="Yes"),"Contacted only","Not yet contacted")))))</f>
        <v>Not yet contacted</v>
      </c>
      <c r="Y140" s="47" t="n">
        <f aca="false">IF($B140="","",COUNTIF(c_Firm,"&lt;"&amp;$D140)+COUNTIFS(c_Firm,$D140,c_Name,"&lt;"&amp;$B140)+COUNTIFS($D$2:$D140,$D140,$B$2:$B140,$B140))</f>
        <v>139</v>
      </c>
      <c r="Z140" s="47" t="n">
        <f aca="false">IF($B140="","",IF(AND(OR(Contacts!$C$3="(All)",$D140=Contacts!$C$3),OR(Contacts!$E$3="(All)",$G140=Contacts!$E$3),OR(Contacts!$G$3="(All)",ISNUMBER(SEARCH(Contacts!$G$3,$V140))),OR(Contacts!$I$3="(All)",$X140=Contacts!$I$3),OR(Contacts!$K$3="",ISNUMBER(SEARCH(Contacts!$K$3,$B140&amp;" "&amp;$C140&amp;" "&amp;$D140&amp;" "&amp;$S140)))),1,0))</f>
        <v>1</v>
      </c>
      <c r="AA140" s="47" t="n">
        <f aca="false">IF($Z140=1,COUNTIFS(c_Pass,1,c_Sort,"&lt;="&amp;$Y140),"")</f>
        <v>139</v>
      </c>
      <c r="AB140" s="47" t="str">
        <f aca="false">IF(OR($G140&lt;&gt;"Yes",NOT(ISNUMBER($H140))),"",COUNTIFS(c_Met,"Yes",c_Date,"&lt;"&amp;$H140)+COUNTIFS($G$2:$G140,"Yes",$H$2:$H140,$H140))</f>
        <v/>
      </c>
    </row>
    <row r="141" customFormat="false" ht="15" hidden="false" customHeight="false" outlineLevel="0" collapsed="false">
      <c r="A141" s="44" t="n">
        <f aca="false">IF($B141="","",COUNTA($B$2:$B141))</f>
        <v>140</v>
      </c>
      <c r="B141" s="11" t="s">
        <v>407</v>
      </c>
      <c r="C141" s="11" t="s">
        <v>408</v>
      </c>
      <c r="D141" s="11" t="s">
        <v>28</v>
      </c>
      <c r="E141" s="11" t="s">
        <v>193</v>
      </c>
      <c r="F141" s="11" t="s">
        <v>68</v>
      </c>
      <c r="G141" s="34" t="s">
        <v>132</v>
      </c>
      <c r="H141" s="25"/>
      <c r="I141" s="40" t="n">
        <v>0</v>
      </c>
      <c r="J141" s="34" t="s">
        <v>132</v>
      </c>
      <c r="K141" s="45"/>
      <c r="L141" s="34"/>
      <c r="M141" s="34"/>
      <c r="N141" s="11" t="s">
        <v>133</v>
      </c>
      <c r="O141" s="11" t="s">
        <v>133</v>
      </c>
      <c r="P141" s="11" t="s">
        <v>133</v>
      </c>
      <c r="Q141" s="11" t="s">
        <v>133</v>
      </c>
      <c r="R141" s="11" t="s">
        <v>133</v>
      </c>
      <c r="S141" s="46" t="s">
        <v>409</v>
      </c>
      <c r="T141" s="44" t="n">
        <f aca="false">IF($B141="","",COUNTA($N141:$R141)-COUNTIF($N141:$R141,"Not Invited"))</f>
        <v>0</v>
      </c>
      <c r="U141" s="44" t="n">
        <f aca="false">IF($B141="","",COUNTIF($N141:$R141,"Attended"))</f>
        <v>0</v>
      </c>
      <c r="V141" s="47" t="str">
        <f aca="false">IF($B141="","",_xlfn.TEXTJOIN(", ",TRUE(),IF($N141="Attended",Setup!$D$15,""),IF($O141="Attended",Setup!$D$16,""),IF($P141="Attended",Setup!$D$17,""),IF($Q141="Attended",Setup!$D$18,""),IF($R141="Attended",Setup!$D$19,"")))</f>
        <v/>
      </c>
      <c r="W141" s="48" t="str">
        <f aca="true">IF(OR($B141="",NOT(ISNUMBER($H141))),"",TODAY()-$H141)</f>
        <v/>
      </c>
      <c r="X141" s="47" t="str">
        <f aca="false">IF($B141="","",IF($U141&gt;0,"Event attendee",IF($G141="Yes","Met (no event)",IF($T141&gt;0,"Invited only",IF(OR($L141="Yes",$M141="Yes"),"Contacted only","Not yet contacted")))))</f>
        <v>Not yet contacted</v>
      </c>
      <c r="Y141" s="47" t="n">
        <f aca="false">IF($B141="","",COUNTIF(c_Firm,"&lt;"&amp;$D141)+COUNTIFS(c_Firm,$D141,c_Name,"&lt;"&amp;$B141)+COUNTIFS($D$2:$D141,$D141,$B$2:$B141,$B141))</f>
        <v>140</v>
      </c>
      <c r="Z141" s="47" t="n">
        <f aca="false">IF($B141="","",IF(AND(OR(Contacts!$C$3="(All)",$D141=Contacts!$C$3),OR(Contacts!$E$3="(All)",$G141=Contacts!$E$3),OR(Contacts!$G$3="(All)",ISNUMBER(SEARCH(Contacts!$G$3,$V141))),OR(Contacts!$I$3="(All)",$X141=Contacts!$I$3),OR(Contacts!$K$3="",ISNUMBER(SEARCH(Contacts!$K$3,$B141&amp;" "&amp;$C141&amp;" "&amp;$D141&amp;" "&amp;$S141)))),1,0))</f>
        <v>1</v>
      </c>
      <c r="AA141" s="47" t="n">
        <f aca="false">IF($Z141=1,COUNTIFS(c_Pass,1,c_Sort,"&lt;="&amp;$Y141),"")</f>
        <v>140</v>
      </c>
      <c r="AB141" s="47" t="str">
        <f aca="false">IF(OR($G141&lt;&gt;"Yes",NOT(ISNUMBER($H141))),"",COUNTIFS(c_Met,"Yes",c_Date,"&lt;"&amp;$H141)+COUNTIFS($G$2:$G141,"Yes",$H$2:$H141,$H141))</f>
        <v/>
      </c>
    </row>
    <row r="142" customFormat="false" ht="15" hidden="false" customHeight="false" outlineLevel="0" collapsed="false">
      <c r="A142" s="44" t="n">
        <f aca="false">IF($B142="","",COUNTA($B$2:$B142))</f>
        <v>141</v>
      </c>
      <c r="B142" s="11" t="s">
        <v>410</v>
      </c>
      <c r="C142" s="11" t="s">
        <v>411</v>
      </c>
      <c r="D142" s="11" t="s">
        <v>28</v>
      </c>
      <c r="E142" s="11" t="s">
        <v>193</v>
      </c>
      <c r="F142" s="11" t="s">
        <v>68</v>
      </c>
      <c r="G142" s="34" t="s">
        <v>132</v>
      </c>
      <c r="H142" s="25"/>
      <c r="I142" s="40" t="n">
        <v>0</v>
      </c>
      <c r="J142" s="34" t="s">
        <v>132</v>
      </c>
      <c r="K142" s="45"/>
      <c r="L142" s="34"/>
      <c r="M142" s="34"/>
      <c r="N142" s="11" t="s">
        <v>133</v>
      </c>
      <c r="O142" s="11" t="s">
        <v>133</v>
      </c>
      <c r="P142" s="11" t="s">
        <v>133</v>
      </c>
      <c r="Q142" s="11" t="s">
        <v>133</v>
      </c>
      <c r="R142" s="11" t="s">
        <v>133</v>
      </c>
      <c r="S142" s="46" t="s">
        <v>412</v>
      </c>
      <c r="T142" s="44" t="n">
        <f aca="false">IF($B142="","",COUNTA($N142:$R142)-COUNTIF($N142:$R142,"Not Invited"))</f>
        <v>0</v>
      </c>
      <c r="U142" s="44" t="n">
        <f aca="false">IF($B142="","",COUNTIF($N142:$R142,"Attended"))</f>
        <v>0</v>
      </c>
      <c r="V142" s="47" t="str">
        <f aca="false">IF($B142="","",_xlfn.TEXTJOIN(", ",TRUE(),IF($N142="Attended",Setup!$D$15,""),IF($O142="Attended",Setup!$D$16,""),IF($P142="Attended",Setup!$D$17,""),IF($Q142="Attended",Setup!$D$18,""),IF($R142="Attended",Setup!$D$19,"")))</f>
        <v/>
      </c>
      <c r="W142" s="48" t="str">
        <f aca="true">IF(OR($B142="",NOT(ISNUMBER($H142))),"",TODAY()-$H142)</f>
        <v/>
      </c>
      <c r="X142" s="47" t="str">
        <f aca="false">IF($B142="","",IF($U142&gt;0,"Event attendee",IF($G142="Yes","Met (no event)",IF($T142&gt;0,"Invited only",IF(OR($L142="Yes",$M142="Yes"),"Contacted only","Not yet contacted")))))</f>
        <v>Not yet contacted</v>
      </c>
      <c r="Y142" s="47" t="n">
        <f aca="false">IF($B142="","",COUNTIF(c_Firm,"&lt;"&amp;$D142)+COUNTIFS(c_Firm,$D142,c_Name,"&lt;"&amp;$B142)+COUNTIFS($D$2:$D142,$D142,$B$2:$B142,$B142))</f>
        <v>141</v>
      </c>
      <c r="Z142" s="47" t="n">
        <f aca="false">IF($B142="","",IF(AND(OR(Contacts!$C$3="(All)",$D142=Contacts!$C$3),OR(Contacts!$E$3="(All)",$G142=Contacts!$E$3),OR(Contacts!$G$3="(All)",ISNUMBER(SEARCH(Contacts!$G$3,$V142))),OR(Contacts!$I$3="(All)",$X142=Contacts!$I$3),OR(Contacts!$K$3="",ISNUMBER(SEARCH(Contacts!$K$3,$B142&amp;" "&amp;$C142&amp;" "&amp;$D142&amp;" "&amp;$S142)))),1,0))</f>
        <v>1</v>
      </c>
      <c r="AA142" s="47" t="n">
        <f aca="false">IF($Z142=1,COUNTIFS(c_Pass,1,c_Sort,"&lt;="&amp;$Y142),"")</f>
        <v>141</v>
      </c>
      <c r="AB142" s="47" t="str">
        <f aca="false">IF(OR($G142&lt;&gt;"Yes",NOT(ISNUMBER($H142))),"",COUNTIFS(c_Met,"Yes",c_Date,"&lt;"&amp;$H142)+COUNTIFS($G$2:$G142,"Yes",$H$2:$H142,$H142))</f>
        <v/>
      </c>
    </row>
    <row r="143" customFormat="false" ht="15" hidden="false" customHeight="false" outlineLevel="0" collapsed="false">
      <c r="A143" s="44" t="n">
        <f aca="false">IF($B143="","",COUNTA($B$2:$B143))</f>
        <v>142</v>
      </c>
      <c r="B143" s="11" t="s">
        <v>413</v>
      </c>
      <c r="C143" s="11" t="s">
        <v>414</v>
      </c>
      <c r="D143" s="11" t="s">
        <v>28</v>
      </c>
      <c r="E143" s="11" t="s">
        <v>193</v>
      </c>
      <c r="F143" s="11" t="s">
        <v>68</v>
      </c>
      <c r="G143" s="34" t="s">
        <v>132</v>
      </c>
      <c r="H143" s="25"/>
      <c r="I143" s="40" t="n">
        <v>0</v>
      </c>
      <c r="J143" s="34" t="s">
        <v>132</v>
      </c>
      <c r="K143" s="45"/>
      <c r="L143" s="34"/>
      <c r="M143" s="34"/>
      <c r="N143" s="11" t="s">
        <v>133</v>
      </c>
      <c r="O143" s="11" t="s">
        <v>133</v>
      </c>
      <c r="P143" s="11" t="s">
        <v>133</v>
      </c>
      <c r="Q143" s="11" t="s">
        <v>133</v>
      </c>
      <c r="R143" s="11" t="s">
        <v>133</v>
      </c>
      <c r="S143" s="46" t="s">
        <v>415</v>
      </c>
      <c r="T143" s="44" t="n">
        <f aca="false">IF($B143="","",COUNTA($N143:$R143)-COUNTIF($N143:$R143,"Not Invited"))</f>
        <v>0</v>
      </c>
      <c r="U143" s="44" t="n">
        <f aca="false">IF($B143="","",COUNTIF($N143:$R143,"Attended"))</f>
        <v>0</v>
      </c>
      <c r="V143" s="47" t="str">
        <f aca="false">IF($B143="","",_xlfn.TEXTJOIN(", ",TRUE(),IF($N143="Attended",Setup!$D$15,""),IF($O143="Attended",Setup!$D$16,""),IF($P143="Attended",Setup!$D$17,""),IF($Q143="Attended",Setup!$D$18,""),IF($R143="Attended",Setup!$D$19,"")))</f>
        <v/>
      </c>
      <c r="W143" s="48" t="str">
        <f aca="true">IF(OR($B143="",NOT(ISNUMBER($H143))),"",TODAY()-$H143)</f>
        <v/>
      </c>
      <c r="X143" s="47" t="str">
        <f aca="false">IF($B143="","",IF($U143&gt;0,"Event attendee",IF($G143="Yes","Met (no event)",IF($T143&gt;0,"Invited only",IF(OR($L143="Yes",$M143="Yes"),"Contacted only","Not yet contacted")))))</f>
        <v>Not yet contacted</v>
      </c>
      <c r="Y143" s="47" t="n">
        <f aca="false">IF($B143="","",COUNTIF(c_Firm,"&lt;"&amp;$D143)+COUNTIFS(c_Firm,$D143,c_Name,"&lt;"&amp;$B143)+COUNTIFS($D$2:$D143,$D143,$B$2:$B143,$B143))</f>
        <v>142</v>
      </c>
      <c r="Z143" s="47" t="n">
        <f aca="false">IF($B143="","",IF(AND(OR(Contacts!$C$3="(All)",$D143=Contacts!$C$3),OR(Contacts!$E$3="(All)",$G143=Contacts!$E$3),OR(Contacts!$G$3="(All)",ISNUMBER(SEARCH(Contacts!$G$3,$V143))),OR(Contacts!$I$3="(All)",$X143=Contacts!$I$3),OR(Contacts!$K$3="",ISNUMBER(SEARCH(Contacts!$K$3,$B143&amp;" "&amp;$C143&amp;" "&amp;$D143&amp;" "&amp;$S143)))),1,0))</f>
        <v>1</v>
      </c>
      <c r="AA143" s="47" t="n">
        <f aca="false">IF($Z143=1,COUNTIFS(c_Pass,1,c_Sort,"&lt;="&amp;$Y143),"")</f>
        <v>142</v>
      </c>
      <c r="AB143" s="47" t="str">
        <f aca="false">IF(OR($G143&lt;&gt;"Yes",NOT(ISNUMBER($H143))),"",COUNTIFS(c_Met,"Yes",c_Date,"&lt;"&amp;$H143)+COUNTIFS($G$2:$G143,"Yes",$H$2:$H143,$H143))</f>
        <v/>
      </c>
    </row>
    <row r="144" customFormat="false" ht="15" hidden="false" customHeight="false" outlineLevel="0" collapsed="false">
      <c r="A144" s="44" t="n">
        <f aca="false">IF($B144="","",COUNTA($B$2:$B144))</f>
        <v>143</v>
      </c>
      <c r="B144" s="11" t="s">
        <v>416</v>
      </c>
      <c r="C144" s="11" t="s">
        <v>417</v>
      </c>
      <c r="D144" s="11" t="s">
        <v>28</v>
      </c>
      <c r="E144" s="11" t="s">
        <v>193</v>
      </c>
      <c r="F144" s="11" t="s">
        <v>68</v>
      </c>
      <c r="G144" s="34" t="s">
        <v>132</v>
      </c>
      <c r="H144" s="25"/>
      <c r="I144" s="40" t="n">
        <v>0</v>
      </c>
      <c r="J144" s="34" t="s">
        <v>132</v>
      </c>
      <c r="K144" s="45"/>
      <c r="L144" s="34"/>
      <c r="M144" s="34"/>
      <c r="N144" s="11" t="s">
        <v>133</v>
      </c>
      <c r="O144" s="11" t="s">
        <v>133</v>
      </c>
      <c r="P144" s="11" t="s">
        <v>133</v>
      </c>
      <c r="Q144" s="11" t="s">
        <v>133</v>
      </c>
      <c r="R144" s="11" t="s">
        <v>133</v>
      </c>
      <c r="S144" s="46" t="s">
        <v>418</v>
      </c>
      <c r="T144" s="44" t="n">
        <f aca="false">IF($B144="","",COUNTA($N144:$R144)-COUNTIF($N144:$R144,"Not Invited"))</f>
        <v>0</v>
      </c>
      <c r="U144" s="44" t="n">
        <f aca="false">IF($B144="","",COUNTIF($N144:$R144,"Attended"))</f>
        <v>0</v>
      </c>
      <c r="V144" s="47" t="str">
        <f aca="false">IF($B144="","",_xlfn.TEXTJOIN(", ",TRUE(),IF($N144="Attended",Setup!$D$15,""),IF($O144="Attended",Setup!$D$16,""),IF($P144="Attended",Setup!$D$17,""),IF($Q144="Attended",Setup!$D$18,""),IF($R144="Attended",Setup!$D$19,"")))</f>
        <v/>
      </c>
      <c r="W144" s="48" t="str">
        <f aca="true">IF(OR($B144="",NOT(ISNUMBER($H144))),"",TODAY()-$H144)</f>
        <v/>
      </c>
      <c r="X144" s="47" t="str">
        <f aca="false">IF($B144="","",IF($U144&gt;0,"Event attendee",IF($G144="Yes","Met (no event)",IF($T144&gt;0,"Invited only",IF(OR($L144="Yes",$M144="Yes"),"Contacted only","Not yet contacted")))))</f>
        <v>Not yet contacted</v>
      </c>
      <c r="Y144" s="47" t="n">
        <f aca="false">IF($B144="","",COUNTIF(c_Firm,"&lt;"&amp;$D144)+COUNTIFS(c_Firm,$D144,c_Name,"&lt;"&amp;$B144)+COUNTIFS($D$2:$D144,$D144,$B$2:$B144,$B144))</f>
        <v>143</v>
      </c>
      <c r="Z144" s="47" t="n">
        <f aca="false">IF($B144="","",IF(AND(OR(Contacts!$C$3="(All)",$D144=Contacts!$C$3),OR(Contacts!$E$3="(All)",$G144=Contacts!$E$3),OR(Contacts!$G$3="(All)",ISNUMBER(SEARCH(Contacts!$G$3,$V144))),OR(Contacts!$I$3="(All)",$X144=Contacts!$I$3),OR(Contacts!$K$3="",ISNUMBER(SEARCH(Contacts!$K$3,$B144&amp;" "&amp;$C144&amp;" "&amp;$D144&amp;" "&amp;$S144)))),1,0))</f>
        <v>1</v>
      </c>
      <c r="AA144" s="47" t="n">
        <f aca="false">IF($Z144=1,COUNTIFS(c_Pass,1,c_Sort,"&lt;="&amp;$Y144),"")</f>
        <v>143</v>
      </c>
      <c r="AB144" s="47" t="str">
        <f aca="false">IF(OR($G144&lt;&gt;"Yes",NOT(ISNUMBER($H144))),"",COUNTIFS(c_Met,"Yes",c_Date,"&lt;"&amp;$H144)+COUNTIFS($G$2:$G144,"Yes",$H$2:$H144,$H144))</f>
        <v/>
      </c>
    </row>
    <row r="145" customFormat="false" ht="15" hidden="false" customHeight="false" outlineLevel="0" collapsed="false">
      <c r="A145" s="44" t="n">
        <f aca="false">IF($B145="","",COUNTA($B$2:$B145))</f>
        <v>144</v>
      </c>
      <c r="B145" s="11" t="s">
        <v>419</v>
      </c>
      <c r="C145" s="11" t="s">
        <v>420</v>
      </c>
      <c r="D145" s="11" t="s">
        <v>28</v>
      </c>
      <c r="E145" s="11" t="s">
        <v>193</v>
      </c>
      <c r="F145" s="11" t="s">
        <v>68</v>
      </c>
      <c r="G145" s="34" t="s">
        <v>132</v>
      </c>
      <c r="H145" s="25"/>
      <c r="I145" s="40" t="n">
        <v>0</v>
      </c>
      <c r="J145" s="34" t="s">
        <v>132</v>
      </c>
      <c r="K145" s="45"/>
      <c r="L145" s="34"/>
      <c r="M145" s="34"/>
      <c r="N145" s="11" t="s">
        <v>133</v>
      </c>
      <c r="O145" s="11" t="s">
        <v>133</v>
      </c>
      <c r="P145" s="11" t="s">
        <v>133</v>
      </c>
      <c r="Q145" s="11" t="s">
        <v>133</v>
      </c>
      <c r="R145" s="11" t="s">
        <v>133</v>
      </c>
      <c r="S145" s="46" t="s">
        <v>421</v>
      </c>
      <c r="T145" s="44" t="n">
        <f aca="false">IF($B145="","",COUNTA($N145:$R145)-COUNTIF($N145:$R145,"Not Invited"))</f>
        <v>0</v>
      </c>
      <c r="U145" s="44" t="n">
        <f aca="false">IF($B145="","",COUNTIF($N145:$R145,"Attended"))</f>
        <v>0</v>
      </c>
      <c r="V145" s="47" t="str">
        <f aca="false">IF($B145="","",_xlfn.TEXTJOIN(", ",TRUE(),IF($N145="Attended",Setup!$D$15,""),IF($O145="Attended",Setup!$D$16,""),IF($P145="Attended",Setup!$D$17,""),IF($Q145="Attended",Setup!$D$18,""),IF($R145="Attended",Setup!$D$19,"")))</f>
        <v/>
      </c>
      <c r="W145" s="48" t="str">
        <f aca="true">IF(OR($B145="",NOT(ISNUMBER($H145))),"",TODAY()-$H145)</f>
        <v/>
      </c>
      <c r="X145" s="47" t="str">
        <f aca="false">IF($B145="","",IF($U145&gt;0,"Event attendee",IF($G145="Yes","Met (no event)",IF($T145&gt;0,"Invited only",IF(OR($L145="Yes",$M145="Yes"),"Contacted only","Not yet contacted")))))</f>
        <v>Not yet contacted</v>
      </c>
      <c r="Y145" s="47" t="n">
        <f aca="false">IF($B145="","",COUNTIF(c_Firm,"&lt;"&amp;$D145)+COUNTIFS(c_Firm,$D145,c_Name,"&lt;"&amp;$B145)+COUNTIFS($D$2:$D145,$D145,$B$2:$B145,$B145))</f>
        <v>144</v>
      </c>
      <c r="Z145" s="47" t="n">
        <f aca="false">IF($B145="","",IF(AND(OR(Contacts!$C$3="(All)",$D145=Contacts!$C$3),OR(Contacts!$E$3="(All)",$G145=Contacts!$E$3),OR(Contacts!$G$3="(All)",ISNUMBER(SEARCH(Contacts!$G$3,$V145))),OR(Contacts!$I$3="(All)",$X145=Contacts!$I$3),OR(Contacts!$K$3="",ISNUMBER(SEARCH(Contacts!$K$3,$B145&amp;" "&amp;$C145&amp;" "&amp;$D145&amp;" "&amp;$S145)))),1,0))</f>
        <v>1</v>
      </c>
      <c r="AA145" s="47" t="n">
        <f aca="false">IF($Z145=1,COUNTIFS(c_Pass,1,c_Sort,"&lt;="&amp;$Y145),"")</f>
        <v>144</v>
      </c>
      <c r="AB145" s="47" t="str">
        <f aca="false">IF(OR($G145&lt;&gt;"Yes",NOT(ISNUMBER($H145))),"",COUNTIFS(c_Met,"Yes",c_Date,"&lt;"&amp;$H145)+COUNTIFS($G$2:$G145,"Yes",$H$2:$H145,$H145))</f>
        <v/>
      </c>
    </row>
    <row r="146" customFormat="false" ht="15" hidden="false" customHeight="false" outlineLevel="0" collapsed="false">
      <c r="A146" s="44" t="n">
        <f aca="false">IF($B146="","",COUNTA($B$2:$B146))</f>
        <v>145</v>
      </c>
      <c r="B146" s="11" t="s">
        <v>422</v>
      </c>
      <c r="C146" s="11" t="s">
        <v>423</v>
      </c>
      <c r="D146" s="11" t="s">
        <v>28</v>
      </c>
      <c r="E146" s="11" t="s">
        <v>193</v>
      </c>
      <c r="F146" s="11" t="s">
        <v>68</v>
      </c>
      <c r="G146" s="34" t="s">
        <v>132</v>
      </c>
      <c r="H146" s="25"/>
      <c r="I146" s="40" t="n">
        <v>0</v>
      </c>
      <c r="J146" s="34" t="s">
        <v>132</v>
      </c>
      <c r="K146" s="45"/>
      <c r="L146" s="34"/>
      <c r="M146" s="34"/>
      <c r="N146" s="11" t="s">
        <v>133</v>
      </c>
      <c r="O146" s="11" t="s">
        <v>133</v>
      </c>
      <c r="P146" s="11" t="s">
        <v>133</v>
      </c>
      <c r="Q146" s="11" t="s">
        <v>133</v>
      </c>
      <c r="R146" s="11" t="s">
        <v>133</v>
      </c>
      <c r="S146" s="46" t="s">
        <v>424</v>
      </c>
      <c r="T146" s="44" t="n">
        <f aca="false">IF($B146="","",COUNTA($N146:$R146)-COUNTIF($N146:$R146,"Not Invited"))</f>
        <v>0</v>
      </c>
      <c r="U146" s="44" t="n">
        <f aca="false">IF($B146="","",COUNTIF($N146:$R146,"Attended"))</f>
        <v>0</v>
      </c>
      <c r="V146" s="47" t="str">
        <f aca="false">IF($B146="","",_xlfn.TEXTJOIN(", ",TRUE(),IF($N146="Attended",Setup!$D$15,""),IF($O146="Attended",Setup!$D$16,""),IF($P146="Attended",Setup!$D$17,""),IF($Q146="Attended",Setup!$D$18,""),IF($R146="Attended",Setup!$D$19,"")))</f>
        <v/>
      </c>
      <c r="W146" s="48" t="str">
        <f aca="true">IF(OR($B146="",NOT(ISNUMBER($H146))),"",TODAY()-$H146)</f>
        <v/>
      </c>
      <c r="X146" s="47" t="str">
        <f aca="false">IF($B146="","",IF($U146&gt;0,"Event attendee",IF($G146="Yes","Met (no event)",IF($T146&gt;0,"Invited only",IF(OR($L146="Yes",$M146="Yes"),"Contacted only","Not yet contacted")))))</f>
        <v>Not yet contacted</v>
      </c>
      <c r="Y146" s="47" t="n">
        <f aca="false">IF($B146="","",COUNTIF(c_Firm,"&lt;"&amp;$D146)+COUNTIFS(c_Firm,$D146,c_Name,"&lt;"&amp;$B146)+COUNTIFS($D$2:$D146,$D146,$B$2:$B146,$B146))</f>
        <v>145</v>
      </c>
      <c r="Z146" s="47" t="n">
        <f aca="false">IF($B146="","",IF(AND(OR(Contacts!$C$3="(All)",$D146=Contacts!$C$3),OR(Contacts!$E$3="(All)",$G146=Contacts!$E$3),OR(Contacts!$G$3="(All)",ISNUMBER(SEARCH(Contacts!$G$3,$V146))),OR(Contacts!$I$3="(All)",$X146=Contacts!$I$3),OR(Contacts!$K$3="",ISNUMBER(SEARCH(Contacts!$K$3,$B146&amp;" "&amp;$C146&amp;" "&amp;$D146&amp;" "&amp;$S146)))),1,0))</f>
        <v>1</v>
      </c>
      <c r="AA146" s="47" t="n">
        <f aca="false">IF($Z146=1,COUNTIFS(c_Pass,1,c_Sort,"&lt;="&amp;$Y146),"")</f>
        <v>145</v>
      </c>
      <c r="AB146" s="47" t="str">
        <f aca="false">IF(OR($G146&lt;&gt;"Yes",NOT(ISNUMBER($H146))),"",COUNTIFS(c_Met,"Yes",c_Date,"&lt;"&amp;$H146)+COUNTIFS($G$2:$G146,"Yes",$H$2:$H146,$H146))</f>
        <v/>
      </c>
    </row>
    <row r="147" customFormat="false" ht="15" hidden="false" customHeight="false" outlineLevel="0" collapsed="false">
      <c r="A147" s="44" t="n">
        <f aca="false">IF($B147="","",COUNTA($B$2:$B147))</f>
        <v>146</v>
      </c>
      <c r="B147" s="11" t="s">
        <v>425</v>
      </c>
      <c r="C147" s="11" t="s">
        <v>426</v>
      </c>
      <c r="D147" s="11" t="s">
        <v>28</v>
      </c>
      <c r="E147" s="11" t="s">
        <v>193</v>
      </c>
      <c r="F147" s="11" t="s">
        <v>68</v>
      </c>
      <c r="G147" s="34" t="s">
        <v>132</v>
      </c>
      <c r="H147" s="25"/>
      <c r="I147" s="40" t="n">
        <v>0</v>
      </c>
      <c r="J147" s="34" t="s">
        <v>132</v>
      </c>
      <c r="K147" s="45"/>
      <c r="L147" s="34"/>
      <c r="M147" s="34"/>
      <c r="N147" s="11" t="s">
        <v>133</v>
      </c>
      <c r="O147" s="11" t="s">
        <v>133</v>
      </c>
      <c r="P147" s="11" t="s">
        <v>133</v>
      </c>
      <c r="Q147" s="11" t="s">
        <v>133</v>
      </c>
      <c r="R147" s="11" t="s">
        <v>133</v>
      </c>
      <c r="S147" s="46" t="s">
        <v>427</v>
      </c>
      <c r="T147" s="44" t="n">
        <f aca="false">IF($B147="","",COUNTA($N147:$R147)-COUNTIF($N147:$R147,"Not Invited"))</f>
        <v>0</v>
      </c>
      <c r="U147" s="44" t="n">
        <f aca="false">IF($B147="","",COUNTIF($N147:$R147,"Attended"))</f>
        <v>0</v>
      </c>
      <c r="V147" s="47" t="str">
        <f aca="false">IF($B147="","",_xlfn.TEXTJOIN(", ",TRUE(),IF($N147="Attended",Setup!$D$15,""),IF($O147="Attended",Setup!$D$16,""),IF($P147="Attended",Setup!$D$17,""),IF($Q147="Attended",Setup!$D$18,""),IF($R147="Attended",Setup!$D$19,"")))</f>
        <v/>
      </c>
      <c r="W147" s="48" t="str">
        <f aca="true">IF(OR($B147="",NOT(ISNUMBER($H147))),"",TODAY()-$H147)</f>
        <v/>
      </c>
      <c r="X147" s="47" t="str">
        <f aca="false">IF($B147="","",IF($U147&gt;0,"Event attendee",IF($G147="Yes","Met (no event)",IF($T147&gt;0,"Invited only",IF(OR($L147="Yes",$M147="Yes"),"Contacted only","Not yet contacted")))))</f>
        <v>Not yet contacted</v>
      </c>
      <c r="Y147" s="47" t="n">
        <f aca="false">IF($B147="","",COUNTIF(c_Firm,"&lt;"&amp;$D147)+COUNTIFS(c_Firm,$D147,c_Name,"&lt;"&amp;$B147)+COUNTIFS($D$2:$D147,$D147,$B$2:$B147,$B147))</f>
        <v>146</v>
      </c>
      <c r="Z147" s="47" t="n">
        <f aca="false">IF($B147="","",IF(AND(OR(Contacts!$C$3="(All)",$D147=Contacts!$C$3),OR(Contacts!$E$3="(All)",$G147=Contacts!$E$3),OR(Contacts!$G$3="(All)",ISNUMBER(SEARCH(Contacts!$G$3,$V147))),OR(Contacts!$I$3="(All)",$X147=Contacts!$I$3),OR(Contacts!$K$3="",ISNUMBER(SEARCH(Contacts!$K$3,$B147&amp;" "&amp;$C147&amp;" "&amp;$D147&amp;" "&amp;$S147)))),1,0))</f>
        <v>1</v>
      </c>
      <c r="AA147" s="47" t="n">
        <f aca="false">IF($Z147=1,COUNTIFS(c_Pass,1,c_Sort,"&lt;="&amp;$Y147),"")</f>
        <v>146</v>
      </c>
      <c r="AB147" s="47" t="str">
        <f aca="false">IF(OR($G147&lt;&gt;"Yes",NOT(ISNUMBER($H147))),"",COUNTIFS(c_Met,"Yes",c_Date,"&lt;"&amp;$H147)+COUNTIFS($G$2:$G147,"Yes",$H$2:$H147,$H147))</f>
        <v/>
      </c>
    </row>
    <row r="148" customFormat="false" ht="15" hidden="false" customHeight="false" outlineLevel="0" collapsed="false">
      <c r="A148" s="44" t="n">
        <f aca="false">IF($B148="","",COUNTA($B$2:$B148))</f>
        <v>147</v>
      </c>
      <c r="B148" s="11" t="s">
        <v>428</v>
      </c>
      <c r="C148" s="11" t="s">
        <v>429</v>
      </c>
      <c r="D148" s="11" t="s">
        <v>28</v>
      </c>
      <c r="E148" s="11" t="s">
        <v>193</v>
      </c>
      <c r="F148" s="11" t="s">
        <v>68</v>
      </c>
      <c r="G148" s="34" t="s">
        <v>132</v>
      </c>
      <c r="H148" s="25"/>
      <c r="I148" s="40" t="n">
        <v>0</v>
      </c>
      <c r="J148" s="34" t="s">
        <v>132</v>
      </c>
      <c r="K148" s="45"/>
      <c r="L148" s="34"/>
      <c r="M148" s="34"/>
      <c r="N148" s="11" t="s">
        <v>133</v>
      </c>
      <c r="O148" s="11" t="s">
        <v>133</v>
      </c>
      <c r="P148" s="11" t="s">
        <v>133</v>
      </c>
      <c r="Q148" s="11" t="s">
        <v>133</v>
      </c>
      <c r="R148" s="11" t="s">
        <v>133</v>
      </c>
      <c r="S148" s="46" t="s">
        <v>430</v>
      </c>
      <c r="T148" s="44" t="n">
        <f aca="false">IF($B148="","",COUNTA($N148:$R148)-COUNTIF($N148:$R148,"Not Invited"))</f>
        <v>0</v>
      </c>
      <c r="U148" s="44" t="n">
        <f aca="false">IF($B148="","",COUNTIF($N148:$R148,"Attended"))</f>
        <v>0</v>
      </c>
      <c r="V148" s="47" t="str">
        <f aca="false">IF($B148="","",_xlfn.TEXTJOIN(", ",TRUE(),IF($N148="Attended",Setup!$D$15,""),IF($O148="Attended",Setup!$D$16,""),IF($P148="Attended",Setup!$D$17,""),IF($Q148="Attended",Setup!$D$18,""),IF($R148="Attended",Setup!$D$19,"")))</f>
        <v/>
      </c>
      <c r="W148" s="48" t="str">
        <f aca="true">IF(OR($B148="",NOT(ISNUMBER($H148))),"",TODAY()-$H148)</f>
        <v/>
      </c>
      <c r="X148" s="47" t="str">
        <f aca="false">IF($B148="","",IF($U148&gt;0,"Event attendee",IF($G148="Yes","Met (no event)",IF($T148&gt;0,"Invited only",IF(OR($L148="Yes",$M148="Yes"),"Contacted only","Not yet contacted")))))</f>
        <v>Not yet contacted</v>
      </c>
      <c r="Y148" s="47" t="n">
        <f aca="false">IF($B148="","",COUNTIF(c_Firm,"&lt;"&amp;$D148)+COUNTIFS(c_Firm,$D148,c_Name,"&lt;"&amp;$B148)+COUNTIFS($D$2:$D148,$D148,$B$2:$B148,$B148))</f>
        <v>147</v>
      </c>
      <c r="Z148" s="47" t="n">
        <f aca="false">IF($B148="","",IF(AND(OR(Contacts!$C$3="(All)",$D148=Contacts!$C$3),OR(Contacts!$E$3="(All)",$G148=Contacts!$E$3),OR(Contacts!$G$3="(All)",ISNUMBER(SEARCH(Contacts!$G$3,$V148))),OR(Contacts!$I$3="(All)",$X148=Contacts!$I$3),OR(Contacts!$K$3="",ISNUMBER(SEARCH(Contacts!$K$3,$B148&amp;" "&amp;$C148&amp;" "&amp;$D148&amp;" "&amp;$S148)))),1,0))</f>
        <v>1</v>
      </c>
      <c r="AA148" s="47" t="n">
        <f aca="false">IF($Z148=1,COUNTIFS(c_Pass,1,c_Sort,"&lt;="&amp;$Y148),"")</f>
        <v>147</v>
      </c>
      <c r="AB148" s="47" t="str">
        <f aca="false">IF(OR($G148&lt;&gt;"Yes",NOT(ISNUMBER($H148))),"",COUNTIFS(c_Met,"Yes",c_Date,"&lt;"&amp;$H148)+COUNTIFS($G$2:$G148,"Yes",$H$2:$H148,$H148))</f>
        <v/>
      </c>
    </row>
    <row r="149" customFormat="false" ht="15" hidden="false" customHeight="false" outlineLevel="0" collapsed="false">
      <c r="A149" s="44" t="n">
        <f aca="false">IF($B149="","",COUNTA($B$2:$B149))</f>
        <v>148</v>
      </c>
      <c r="B149" s="11" t="s">
        <v>431</v>
      </c>
      <c r="C149" s="11" t="s">
        <v>432</v>
      </c>
      <c r="D149" s="11" t="s">
        <v>28</v>
      </c>
      <c r="E149" s="11" t="s">
        <v>193</v>
      </c>
      <c r="F149" s="11" t="s">
        <v>68</v>
      </c>
      <c r="G149" s="34" t="s">
        <v>132</v>
      </c>
      <c r="H149" s="25"/>
      <c r="I149" s="40" t="n">
        <v>0</v>
      </c>
      <c r="J149" s="34" t="s">
        <v>132</v>
      </c>
      <c r="K149" s="45"/>
      <c r="L149" s="34"/>
      <c r="M149" s="34"/>
      <c r="N149" s="11" t="s">
        <v>133</v>
      </c>
      <c r="O149" s="11" t="s">
        <v>133</v>
      </c>
      <c r="P149" s="11" t="s">
        <v>133</v>
      </c>
      <c r="Q149" s="11" t="s">
        <v>133</v>
      </c>
      <c r="R149" s="11" t="s">
        <v>133</v>
      </c>
      <c r="S149" s="46" t="s">
        <v>433</v>
      </c>
      <c r="T149" s="44" t="n">
        <f aca="false">IF($B149="","",COUNTA($N149:$R149)-COUNTIF($N149:$R149,"Not Invited"))</f>
        <v>0</v>
      </c>
      <c r="U149" s="44" t="n">
        <f aca="false">IF($B149="","",COUNTIF($N149:$R149,"Attended"))</f>
        <v>0</v>
      </c>
      <c r="V149" s="47" t="str">
        <f aca="false">IF($B149="","",_xlfn.TEXTJOIN(", ",TRUE(),IF($N149="Attended",Setup!$D$15,""),IF($O149="Attended",Setup!$D$16,""),IF($P149="Attended",Setup!$D$17,""),IF($Q149="Attended",Setup!$D$18,""),IF($R149="Attended",Setup!$D$19,"")))</f>
        <v/>
      </c>
      <c r="W149" s="48" t="str">
        <f aca="true">IF(OR($B149="",NOT(ISNUMBER($H149))),"",TODAY()-$H149)</f>
        <v/>
      </c>
      <c r="X149" s="47" t="str">
        <f aca="false">IF($B149="","",IF($U149&gt;0,"Event attendee",IF($G149="Yes","Met (no event)",IF($T149&gt;0,"Invited only",IF(OR($L149="Yes",$M149="Yes"),"Contacted only","Not yet contacted")))))</f>
        <v>Not yet contacted</v>
      </c>
      <c r="Y149" s="47" t="n">
        <f aca="false">IF($B149="","",COUNTIF(c_Firm,"&lt;"&amp;$D149)+COUNTIFS(c_Firm,$D149,c_Name,"&lt;"&amp;$B149)+COUNTIFS($D$2:$D149,$D149,$B$2:$B149,$B149))</f>
        <v>148</v>
      </c>
      <c r="Z149" s="47" t="n">
        <f aca="false">IF($B149="","",IF(AND(OR(Contacts!$C$3="(All)",$D149=Contacts!$C$3),OR(Contacts!$E$3="(All)",$G149=Contacts!$E$3),OR(Contacts!$G$3="(All)",ISNUMBER(SEARCH(Contacts!$G$3,$V149))),OR(Contacts!$I$3="(All)",$X149=Contacts!$I$3),OR(Contacts!$K$3="",ISNUMBER(SEARCH(Contacts!$K$3,$B149&amp;" "&amp;$C149&amp;" "&amp;$D149&amp;" "&amp;$S149)))),1,0))</f>
        <v>1</v>
      </c>
      <c r="AA149" s="47" t="n">
        <f aca="false">IF($Z149=1,COUNTIFS(c_Pass,1,c_Sort,"&lt;="&amp;$Y149),"")</f>
        <v>148</v>
      </c>
      <c r="AB149" s="47" t="str">
        <f aca="false">IF(OR($G149&lt;&gt;"Yes",NOT(ISNUMBER($H149))),"",COUNTIFS(c_Met,"Yes",c_Date,"&lt;"&amp;$H149)+COUNTIFS($G$2:$G149,"Yes",$H$2:$H149,$H149))</f>
        <v/>
      </c>
    </row>
    <row r="150" customFormat="false" ht="15" hidden="false" customHeight="false" outlineLevel="0" collapsed="false">
      <c r="A150" s="44" t="n">
        <f aca="false">IF($B150="","",COUNTA($B$2:$B150))</f>
        <v>149</v>
      </c>
      <c r="B150" s="11" t="s">
        <v>434</v>
      </c>
      <c r="C150" s="11" t="s">
        <v>435</v>
      </c>
      <c r="D150" s="11" t="s">
        <v>28</v>
      </c>
      <c r="E150" s="11" t="s">
        <v>193</v>
      </c>
      <c r="F150" s="11" t="s">
        <v>68</v>
      </c>
      <c r="G150" s="34" t="s">
        <v>132</v>
      </c>
      <c r="H150" s="25"/>
      <c r="I150" s="40" t="n">
        <v>0</v>
      </c>
      <c r="J150" s="34" t="s">
        <v>132</v>
      </c>
      <c r="K150" s="45"/>
      <c r="L150" s="34"/>
      <c r="M150" s="34"/>
      <c r="N150" s="11" t="s">
        <v>133</v>
      </c>
      <c r="O150" s="11" t="s">
        <v>133</v>
      </c>
      <c r="P150" s="11" t="s">
        <v>133</v>
      </c>
      <c r="Q150" s="11" t="s">
        <v>133</v>
      </c>
      <c r="R150" s="11" t="s">
        <v>133</v>
      </c>
      <c r="S150" s="46" t="s">
        <v>436</v>
      </c>
      <c r="T150" s="44" t="n">
        <f aca="false">IF($B150="","",COUNTA($N150:$R150)-COUNTIF($N150:$R150,"Not Invited"))</f>
        <v>0</v>
      </c>
      <c r="U150" s="44" t="n">
        <f aca="false">IF($B150="","",COUNTIF($N150:$R150,"Attended"))</f>
        <v>0</v>
      </c>
      <c r="V150" s="47" t="str">
        <f aca="false">IF($B150="","",_xlfn.TEXTJOIN(", ",TRUE(),IF($N150="Attended",Setup!$D$15,""),IF($O150="Attended",Setup!$D$16,""),IF($P150="Attended",Setup!$D$17,""),IF($Q150="Attended",Setup!$D$18,""),IF($R150="Attended",Setup!$D$19,"")))</f>
        <v/>
      </c>
      <c r="W150" s="48" t="str">
        <f aca="true">IF(OR($B150="",NOT(ISNUMBER($H150))),"",TODAY()-$H150)</f>
        <v/>
      </c>
      <c r="X150" s="47" t="str">
        <f aca="false">IF($B150="","",IF($U150&gt;0,"Event attendee",IF($G150="Yes","Met (no event)",IF($T150&gt;0,"Invited only",IF(OR($L150="Yes",$M150="Yes"),"Contacted only","Not yet contacted")))))</f>
        <v>Not yet contacted</v>
      </c>
      <c r="Y150" s="47" t="n">
        <f aca="false">IF($B150="","",COUNTIF(c_Firm,"&lt;"&amp;$D150)+COUNTIFS(c_Firm,$D150,c_Name,"&lt;"&amp;$B150)+COUNTIFS($D$2:$D150,$D150,$B$2:$B150,$B150))</f>
        <v>149</v>
      </c>
      <c r="Z150" s="47" t="n">
        <f aca="false">IF($B150="","",IF(AND(OR(Contacts!$C$3="(All)",$D150=Contacts!$C$3),OR(Contacts!$E$3="(All)",$G150=Contacts!$E$3),OR(Contacts!$G$3="(All)",ISNUMBER(SEARCH(Contacts!$G$3,$V150))),OR(Contacts!$I$3="(All)",$X150=Contacts!$I$3),OR(Contacts!$K$3="",ISNUMBER(SEARCH(Contacts!$K$3,$B150&amp;" "&amp;$C150&amp;" "&amp;$D150&amp;" "&amp;$S150)))),1,0))</f>
        <v>1</v>
      </c>
      <c r="AA150" s="47" t="n">
        <f aca="false">IF($Z150=1,COUNTIFS(c_Pass,1,c_Sort,"&lt;="&amp;$Y150),"")</f>
        <v>149</v>
      </c>
      <c r="AB150" s="47" t="str">
        <f aca="false">IF(OR($G150&lt;&gt;"Yes",NOT(ISNUMBER($H150))),"",COUNTIFS(c_Met,"Yes",c_Date,"&lt;"&amp;$H150)+COUNTIFS($G$2:$G150,"Yes",$H$2:$H150,$H150))</f>
        <v/>
      </c>
    </row>
    <row r="151" customFormat="false" ht="15" hidden="false" customHeight="false" outlineLevel="0" collapsed="false">
      <c r="A151" s="44" t="n">
        <f aca="false">IF($B151="","",COUNTA($B$2:$B151))</f>
        <v>150</v>
      </c>
      <c r="B151" s="11" t="s">
        <v>437</v>
      </c>
      <c r="C151" s="11" t="s">
        <v>438</v>
      </c>
      <c r="D151" s="11" t="s">
        <v>28</v>
      </c>
      <c r="E151" s="11" t="s">
        <v>193</v>
      </c>
      <c r="F151" s="11" t="s">
        <v>68</v>
      </c>
      <c r="G151" s="34" t="s">
        <v>132</v>
      </c>
      <c r="H151" s="25"/>
      <c r="I151" s="40" t="n">
        <v>0</v>
      </c>
      <c r="J151" s="34" t="s">
        <v>132</v>
      </c>
      <c r="K151" s="45"/>
      <c r="L151" s="34"/>
      <c r="M151" s="34"/>
      <c r="N151" s="11" t="s">
        <v>133</v>
      </c>
      <c r="O151" s="11" t="s">
        <v>133</v>
      </c>
      <c r="P151" s="11" t="s">
        <v>133</v>
      </c>
      <c r="Q151" s="11" t="s">
        <v>133</v>
      </c>
      <c r="R151" s="11" t="s">
        <v>133</v>
      </c>
      <c r="S151" s="46" t="s">
        <v>439</v>
      </c>
      <c r="T151" s="44" t="n">
        <f aca="false">IF($B151="","",COUNTA($N151:$R151)-COUNTIF($N151:$R151,"Not Invited"))</f>
        <v>0</v>
      </c>
      <c r="U151" s="44" t="n">
        <f aca="false">IF($B151="","",COUNTIF($N151:$R151,"Attended"))</f>
        <v>0</v>
      </c>
      <c r="V151" s="47" t="str">
        <f aca="false">IF($B151="","",_xlfn.TEXTJOIN(", ",TRUE(),IF($N151="Attended",Setup!$D$15,""),IF($O151="Attended",Setup!$D$16,""),IF($P151="Attended",Setup!$D$17,""),IF($Q151="Attended",Setup!$D$18,""),IF($R151="Attended",Setup!$D$19,"")))</f>
        <v/>
      </c>
      <c r="W151" s="48" t="str">
        <f aca="true">IF(OR($B151="",NOT(ISNUMBER($H151))),"",TODAY()-$H151)</f>
        <v/>
      </c>
      <c r="X151" s="47" t="str">
        <f aca="false">IF($B151="","",IF($U151&gt;0,"Event attendee",IF($G151="Yes","Met (no event)",IF($T151&gt;0,"Invited only",IF(OR($L151="Yes",$M151="Yes"),"Contacted only","Not yet contacted")))))</f>
        <v>Not yet contacted</v>
      </c>
      <c r="Y151" s="47" t="n">
        <f aca="false">IF($B151="","",COUNTIF(c_Firm,"&lt;"&amp;$D151)+COUNTIFS(c_Firm,$D151,c_Name,"&lt;"&amp;$B151)+COUNTIFS($D$2:$D151,$D151,$B$2:$B151,$B151))</f>
        <v>150</v>
      </c>
      <c r="Z151" s="47" t="n">
        <f aca="false">IF($B151="","",IF(AND(OR(Contacts!$C$3="(All)",$D151=Contacts!$C$3),OR(Contacts!$E$3="(All)",$G151=Contacts!$E$3),OR(Contacts!$G$3="(All)",ISNUMBER(SEARCH(Contacts!$G$3,$V151))),OR(Contacts!$I$3="(All)",$X151=Contacts!$I$3),OR(Contacts!$K$3="",ISNUMBER(SEARCH(Contacts!$K$3,$B151&amp;" "&amp;$C151&amp;" "&amp;$D151&amp;" "&amp;$S151)))),1,0))</f>
        <v>1</v>
      </c>
      <c r="AA151" s="47" t="n">
        <f aca="false">IF($Z151=1,COUNTIFS(c_Pass,1,c_Sort,"&lt;="&amp;$Y151),"")</f>
        <v>150</v>
      </c>
      <c r="AB151" s="47" t="str">
        <f aca="false">IF(OR($G151&lt;&gt;"Yes",NOT(ISNUMBER($H151))),"",COUNTIFS(c_Met,"Yes",c_Date,"&lt;"&amp;$H151)+COUNTIFS($G$2:$G151,"Yes",$H$2:$H151,$H151))</f>
        <v/>
      </c>
    </row>
    <row r="152" customFormat="false" ht="15" hidden="false" customHeight="false" outlineLevel="0" collapsed="false">
      <c r="A152" s="44" t="n">
        <f aca="false">IF($B152="","",COUNTA($B$2:$B152))</f>
        <v>151</v>
      </c>
      <c r="B152" s="11" t="s">
        <v>440</v>
      </c>
      <c r="C152" s="11" t="s">
        <v>441</v>
      </c>
      <c r="D152" s="11" t="s">
        <v>28</v>
      </c>
      <c r="E152" s="11" t="s">
        <v>193</v>
      </c>
      <c r="F152" s="11" t="s">
        <v>68</v>
      </c>
      <c r="G152" s="34" t="s">
        <v>132</v>
      </c>
      <c r="H152" s="25"/>
      <c r="I152" s="40" t="n">
        <v>0</v>
      </c>
      <c r="J152" s="34" t="s">
        <v>132</v>
      </c>
      <c r="K152" s="45"/>
      <c r="L152" s="34"/>
      <c r="M152" s="34"/>
      <c r="N152" s="11" t="s">
        <v>133</v>
      </c>
      <c r="O152" s="11" t="s">
        <v>133</v>
      </c>
      <c r="P152" s="11" t="s">
        <v>133</v>
      </c>
      <c r="Q152" s="11" t="s">
        <v>133</v>
      </c>
      <c r="R152" s="11" t="s">
        <v>133</v>
      </c>
      <c r="S152" s="46" t="s">
        <v>442</v>
      </c>
      <c r="T152" s="44" t="n">
        <f aca="false">IF($B152="","",COUNTA($N152:$R152)-COUNTIF($N152:$R152,"Not Invited"))</f>
        <v>0</v>
      </c>
      <c r="U152" s="44" t="n">
        <f aca="false">IF($B152="","",COUNTIF($N152:$R152,"Attended"))</f>
        <v>0</v>
      </c>
      <c r="V152" s="47" t="str">
        <f aca="false">IF($B152="","",_xlfn.TEXTJOIN(", ",TRUE(),IF($N152="Attended",Setup!$D$15,""),IF($O152="Attended",Setup!$D$16,""),IF($P152="Attended",Setup!$D$17,""),IF($Q152="Attended",Setup!$D$18,""),IF($R152="Attended",Setup!$D$19,"")))</f>
        <v/>
      </c>
      <c r="W152" s="48" t="str">
        <f aca="true">IF(OR($B152="",NOT(ISNUMBER($H152))),"",TODAY()-$H152)</f>
        <v/>
      </c>
      <c r="X152" s="47" t="str">
        <f aca="false">IF($B152="","",IF($U152&gt;0,"Event attendee",IF($G152="Yes","Met (no event)",IF($T152&gt;0,"Invited only",IF(OR($L152="Yes",$M152="Yes"),"Contacted only","Not yet contacted")))))</f>
        <v>Not yet contacted</v>
      </c>
      <c r="Y152" s="47" t="n">
        <f aca="false">IF($B152="","",COUNTIF(c_Firm,"&lt;"&amp;$D152)+COUNTIFS(c_Firm,$D152,c_Name,"&lt;"&amp;$B152)+COUNTIFS($D$2:$D152,$D152,$B$2:$B152,$B152))</f>
        <v>151</v>
      </c>
      <c r="Z152" s="47" t="n">
        <f aca="false">IF($B152="","",IF(AND(OR(Contacts!$C$3="(All)",$D152=Contacts!$C$3),OR(Contacts!$E$3="(All)",$G152=Contacts!$E$3),OR(Contacts!$G$3="(All)",ISNUMBER(SEARCH(Contacts!$G$3,$V152))),OR(Contacts!$I$3="(All)",$X152=Contacts!$I$3),OR(Contacts!$K$3="",ISNUMBER(SEARCH(Contacts!$K$3,$B152&amp;" "&amp;$C152&amp;" "&amp;$D152&amp;" "&amp;$S152)))),1,0))</f>
        <v>1</v>
      </c>
      <c r="AA152" s="47" t="n">
        <f aca="false">IF($Z152=1,COUNTIFS(c_Pass,1,c_Sort,"&lt;="&amp;$Y152),"")</f>
        <v>151</v>
      </c>
      <c r="AB152" s="47" t="str">
        <f aca="false">IF(OR($G152&lt;&gt;"Yes",NOT(ISNUMBER($H152))),"",COUNTIFS(c_Met,"Yes",c_Date,"&lt;"&amp;$H152)+COUNTIFS($G$2:$G152,"Yes",$H$2:$H152,$H152))</f>
        <v/>
      </c>
    </row>
    <row r="153" customFormat="false" ht="15" hidden="false" customHeight="false" outlineLevel="0" collapsed="false">
      <c r="A153" s="44" t="n">
        <f aca="false">IF($B153="","",COUNTA($B$2:$B153))</f>
        <v>152</v>
      </c>
      <c r="B153" s="11" t="s">
        <v>443</v>
      </c>
      <c r="C153" s="11" t="s">
        <v>444</v>
      </c>
      <c r="D153" s="11" t="s">
        <v>28</v>
      </c>
      <c r="E153" s="11" t="s">
        <v>193</v>
      </c>
      <c r="F153" s="11" t="s">
        <v>68</v>
      </c>
      <c r="G153" s="34" t="s">
        <v>132</v>
      </c>
      <c r="H153" s="25"/>
      <c r="I153" s="40" t="n">
        <v>0</v>
      </c>
      <c r="J153" s="34" t="s">
        <v>132</v>
      </c>
      <c r="K153" s="45"/>
      <c r="L153" s="34"/>
      <c r="M153" s="34"/>
      <c r="N153" s="11" t="s">
        <v>133</v>
      </c>
      <c r="O153" s="11" t="s">
        <v>133</v>
      </c>
      <c r="P153" s="11" t="s">
        <v>133</v>
      </c>
      <c r="Q153" s="11" t="s">
        <v>133</v>
      </c>
      <c r="R153" s="11" t="s">
        <v>133</v>
      </c>
      <c r="S153" s="46" t="s">
        <v>445</v>
      </c>
      <c r="T153" s="44" t="n">
        <f aca="false">IF($B153="","",COUNTA($N153:$R153)-COUNTIF($N153:$R153,"Not Invited"))</f>
        <v>0</v>
      </c>
      <c r="U153" s="44" t="n">
        <f aca="false">IF($B153="","",COUNTIF($N153:$R153,"Attended"))</f>
        <v>0</v>
      </c>
      <c r="V153" s="47" t="str">
        <f aca="false">IF($B153="","",_xlfn.TEXTJOIN(", ",TRUE(),IF($N153="Attended",Setup!$D$15,""),IF($O153="Attended",Setup!$D$16,""),IF($P153="Attended",Setup!$D$17,""),IF($Q153="Attended",Setup!$D$18,""),IF($R153="Attended",Setup!$D$19,"")))</f>
        <v/>
      </c>
      <c r="W153" s="48" t="str">
        <f aca="true">IF(OR($B153="",NOT(ISNUMBER($H153))),"",TODAY()-$H153)</f>
        <v/>
      </c>
      <c r="X153" s="47" t="str">
        <f aca="false">IF($B153="","",IF($U153&gt;0,"Event attendee",IF($G153="Yes","Met (no event)",IF($T153&gt;0,"Invited only",IF(OR($L153="Yes",$M153="Yes"),"Contacted only","Not yet contacted")))))</f>
        <v>Not yet contacted</v>
      </c>
      <c r="Y153" s="47" t="n">
        <f aca="false">IF($B153="","",COUNTIF(c_Firm,"&lt;"&amp;$D153)+COUNTIFS(c_Firm,$D153,c_Name,"&lt;"&amp;$B153)+COUNTIFS($D$2:$D153,$D153,$B$2:$B153,$B153))</f>
        <v>152</v>
      </c>
      <c r="Z153" s="47" t="n">
        <f aca="false">IF($B153="","",IF(AND(OR(Contacts!$C$3="(All)",$D153=Contacts!$C$3),OR(Contacts!$E$3="(All)",$G153=Contacts!$E$3),OR(Contacts!$G$3="(All)",ISNUMBER(SEARCH(Contacts!$G$3,$V153))),OR(Contacts!$I$3="(All)",$X153=Contacts!$I$3),OR(Contacts!$K$3="",ISNUMBER(SEARCH(Contacts!$K$3,$B153&amp;" "&amp;$C153&amp;" "&amp;$D153&amp;" "&amp;$S153)))),1,0))</f>
        <v>1</v>
      </c>
      <c r="AA153" s="47" t="n">
        <f aca="false">IF($Z153=1,COUNTIFS(c_Pass,1,c_Sort,"&lt;="&amp;$Y153),"")</f>
        <v>152</v>
      </c>
      <c r="AB153" s="47" t="str">
        <f aca="false">IF(OR($G153&lt;&gt;"Yes",NOT(ISNUMBER($H153))),"",COUNTIFS(c_Met,"Yes",c_Date,"&lt;"&amp;$H153)+COUNTIFS($G$2:$G153,"Yes",$H$2:$H153,$H153))</f>
        <v/>
      </c>
    </row>
    <row r="154" customFormat="false" ht="15" hidden="false" customHeight="false" outlineLevel="0" collapsed="false">
      <c r="A154" s="44" t="n">
        <f aca="false">IF($B154="","",COUNTA($B$2:$B154))</f>
        <v>153</v>
      </c>
      <c r="B154" s="11" t="s">
        <v>446</v>
      </c>
      <c r="C154" s="11" t="s">
        <v>447</v>
      </c>
      <c r="D154" s="11" t="s">
        <v>28</v>
      </c>
      <c r="E154" s="11" t="s">
        <v>193</v>
      </c>
      <c r="F154" s="11" t="s">
        <v>68</v>
      </c>
      <c r="G154" s="34" t="s">
        <v>132</v>
      </c>
      <c r="H154" s="25"/>
      <c r="I154" s="40" t="n">
        <v>0</v>
      </c>
      <c r="J154" s="34" t="s">
        <v>132</v>
      </c>
      <c r="K154" s="45"/>
      <c r="L154" s="34"/>
      <c r="M154" s="34"/>
      <c r="N154" s="11" t="s">
        <v>133</v>
      </c>
      <c r="O154" s="11" t="s">
        <v>133</v>
      </c>
      <c r="P154" s="11" t="s">
        <v>133</v>
      </c>
      <c r="Q154" s="11" t="s">
        <v>133</v>
      </c>
      <c r="R154" s="11" t="s">
        <v>133</v>
      </c>
      <c r="S154" s="46" t="s">
        <v>448</v>
      </c>
      <c r="T154" s="44" t="n">
        <f aca="false">IF($B154="","",COUNTA($N154:$R154)-COUNTIF($N154:$R154,"Not Invited"))</f>
        <v>0</v>
      </c>
      <c r="U154" s="44" t="n">
        <f aca="false">IF($B154="","",COUNTIF($N154:$R154,"Attended"))</f>
        <v>0</v>
      </c>
      <c r="V154" s="47" t="str">
        <f aca="false">IF($B154="","",_xlfn.TEXTJOIN(", ",TRUE(),IF($N154="Attended",Setup!$D$15,""),IF($O154="Attended",Setup!$D$16,""),IF($P154="Attended",Setup!$D$17,""),IF($Q154="Attended",Setup!$D$18,""),IF($R154="Attended",Setup!$D$19,"")))</f>
        <v/>
      </c>
      <c r="W154" s="48" t="str">
        <f aca="true">IF(OR($B154="",NOT(ISNUMBER($H154))),"",TODAY()-$H154)</f>
        <v/>
      </c>
      <c r="X154" s="47" t="str">
        <f aca="false">IF($B154="","",IF($U154&gt;0,"Event attendee",IF($G154="Yes","Met (no event)",IF($T154&gt;0,"Invited only",IF(OR($L154="Yes",$M154="Yes"),"Contacted only","Not yet contacted")))))</f>
        <v>Not yet contacted</v>
      </c>
      <c r="Y154" s="47" t="n">
        <f aca="false">IF($B154="","",COUNTIF(c_Firm,"&lt;"&amp;$D154)+COUNTIFS(c_Firm,$D154,c_Name,"&lt;"&amp;$B154)+COUNTIFS($D$2:$D154,$D154,$B$2:$B154,$B154))</f>
        <v>153</v>
      </c>
      <c r="Z154" s="47" t="n">
        <f aca="false">IF($B154="","",IF(AND(OR(Contacts!$C$3="(All)",$D154=Contacts!$C$3),OR(Contacts!$E$3="(All)",$G154=Contacts!$E$3),OR(Contacts!$G$3="(All)",ISNUMBER(SEARCH(Contacts!$G$3,$V154))),OR(Contacts!$I$3="(All)",$X154=Contacts!$I$3),OR(Contacts!$K$3="",ISNUMBER(SEARCH(Contacts!$K$3,$B154&amp;" "&amp;$C154&amp;" "&amp;$D154&amp;" "&amp;$S154)))),1,0))</f>
        <v>1</v>
      </c>
      <c r="AA154" s="47" t="n">
        <f aca="false">IF($Z154=1,COUNTIFS(c_Pass,1,c_Sort,"&lt;="&amp;$Y154),"")</f>
        <v>153</v>
      </c>
      <c r="AB154" s="47" t="str">
        <f aca="false">IF(OR($G154&lt;&gt;"Yes",NOT(ISNUMBER($H154))),"",COUNTIFS(c_Met,"Yes",c_Date,"&lt;"&amp;$H154)+COUNTIFS($G$2:$G154,"Yes",$H$2:$H154,$H154))</f>
        <v/>
      </c>
    </row>
    <row r="155" customFormat="false" ht="15" hidden="false" customHeight="false" outlineLevel="0" collapsed="false">
      <c r="A155" s="44" t="n">
        <f aca="false">IF($B155="","",COUNTA($B$2:$B155))</f>
        <v>154</v>
      </c>
      <c r="B155" s="11" t="s">
        <v>449</v>
      </c>
      <c r="C155" s="11" t="s">
        <v>450</v>
      </c>
      <c r="D155" s="11" t="s">
        <v>28</v>
      </c>
      <c r="E155" s="11" t="s">
        <v>131</v>
      </c>
      <c r="F155" s="11" t="s">
        <v>66</v>
      </c>
      <c r="G155" s="34" t="s">
        <v>132</v>
      </c>
      <c r="H155" s="25"/>
      <c r="I155" s="40" t="n">
        <v>0</v>
      </c>
      <c r="J155" s="34" t="s">
        <v>132</v>
      </c>
      <c r="K155" s="45"/>
      <c r="L155" s="34"/>
      <c r="M155" s="34"/>
      <c r="N155" s="11" t="s">
        <v>133</v>
      </c>
      <c r="O155" s="11" t="s">
        <v>133</v>
      </c>
      <c r="P155" s="11" t="s">
        <v>133</v>
      </c>
      <c r="Q155" s="11" t="s">
        <v>133</v>
      </c>
      <c r="R155" s="11" t="s">
        <v>133</v>
      </c>
      <c r="S155" s="46"/>
      <c r="T155" s="44" t="n">
        <f aca="false">IF($B155="","",COUNTA($N155:$R155)-COUNTIF($N155:$R155,"Not Invited"))</f>
        <v>0</v>
      </c>
      <c r="U155" s="44" t="n">
        <f aca="false">IF($B155="","",COUNTIF($N155:$R155,"Attended"))</f>
        <v>0</v>
      </c>
      <c r="V155" s="47" t="str">
        <f aca="false">IF($B155="","",_xlfn.TEXTJOIN(", ",TRUE(),IF($N155="Attended",Setup!$D$15,""),IF($O155="Attended",Setup!$D$16,""),IF($P155="Attended",Setup!$D$17,""),IF($Q155="Attended",Setup!$D$18,""),IF($R155="Attended",Setup!$D$19,"")))</f>
        <v/>
      </c>
      <c r="W155" s="48" t="str">
        <f aca="true">IF(OR($B155="",NOT(ISNUMBER($H155))),"",TODAY()-$H155)</f>
        <v/>
      </c>
      <c r="X155" s="47" t="str">
        <f aca="false">IF($B155="","",IF($U155&gt;0,"Event attendee",IF($G155="Yes","Met (no event)",IF($T155&gt;0,"Invited only",IF(OR($L155="Yes",$M155="Yes"),"Contacted only","Not yet contacted")))))</f>
        <v>Not yet contacted</v>
      </c>
      <c r="Y155" s="47" t="n">
        <f aca="false">IF($B155="","",COUNTIF(c_Firm,"&lt;"&amp;$D155)+COUNTIFS(c_Firm,$D155,c_Name,"&lt;"&amp;$B155)+COUNTIFS($D$2:$D155,$D155,$B$2:$B155,$B155))</f>
        <v>154</v>
      </c>
      <c r="Z155" s="47" t="n">
        <f aca="false">IF($B155="","",IF(AND(OR(Contacts!$C$3="(All)",$D155=Contacts!$C$3),OR(Contacts!$E$3="(All)",$G155=Contacts!$E$3),OR(Contacts!$G$3="(All)",ISNUMBER(SEARCH(Contacts!$G$3,$V155))),OR(Contacts!$I$3="(All)",$X155=Contacts!$I$3),OR(Contacts!$K$3="",ISNUMBER(SEARCH(Contacts!$K$3,$B155&amp;" "&amp;$C155&amp;" "&amp;$D155&amp;" "&amp;$S155)))),1,0))</f>
        <v>1</v>
      </c>
      <c r="AA155" s="47" t="n">
        <f aca="false">IF($Z155=1,COUNTIFS(c_Pass,1,c_Sort,"&lt;="&amp;$Y155),"")</f>
        <v>154</v>
      </c>
      <c r="AB155" s="47" t="str">
        <f aca="false">IF(OR($G155&lt;&gt;"Yes",NOT(ISNUMBER($H155))),"",COUNTIFS(c_Met,"Yes",c_Date,"&lt;"&amp;$H155)+COUNTIFS($G$2:$G155,"Yes",$H$2:$H155,$H155))</f>
        <v/>
      </c>
    </row>
    <row r="156" customFormat="false" ht="15" hidden="false" customHeight="false" outlineLevel="0" collapsed="false">
      <c r="A156" s="44" t="n">
        <f aca="false">IF($B156="","",COUNTA($B$2:$B156))</f>
        <v>155</v>
      </c>
      <c r="B156" s="11" t="s">
        <v>451</v>
      </c>
      <c r="C156" s="11" t="s">
        <v>452</v>
      </c>
      <c r="D156" s="11" t="s">
        <v>28</v>
      </c>
      <c r="E156" s="11" t="s">
        <v>193</v>
      </c>
      <c r="F156" s="11" t="s">
        <v>68</v>
      </c>
      <c r="G156" s="34" t="s">
        <v>132</v>
      </c>
      <c r="H156" s="25"/>
      <c r="I156" s="40" t="n">
        <v>0</v>
      </c>
      <c r="J156" s="34" t="s">
        <v>132</v>
      </c>
      <c r="K156" s="45"/>
      <c r="L156" s="34"/>
      <c r="M156" s="34"/>
      <c r="N156" s="11" t="s">
        <v>133</v>
      </c>
      <c r="O156" s="11" t="s">
        <v>133</v>
      </c>
      <c r="P156" s="11" t="s">
        <v>133</v>
      </c>
      <c r="Q156" s="11" t="s">
        <v>133</v>
      </c>
      <c r="R156" s="11" t="s">
        <v>133</v>
      </c>
      <c r="S156" s="46" t="s">
        <v>453</v>
      </c>
      <c r="T156" s="44" t="n">
        <f aca="false">IF($B156="","",COUNTA($N156:$R156)-COUNTIF($N156:$R156,"Not Invited"))</f>
        <v>0</v>
      </c>
      <c r="U156" s="44" t="n">
        <f aca="false">IF($B156="","",COUNTIF($N156:$R156,"Attended"))</f>
        <v>0</v>
      </c>
      <c r="V156" s="47" t="str">
        <f aca="false">IF($B156="","",_xlfn.TEXTJOIN(", ",TRUE(),IF($N156="Attended",Setup!$D$15,""),IF($O156="Attended",Setup!$D$16,""),IF($P156="Attended",Setup!$D$17,""),IF($Q156="Attended",Setup!$D$18,""),IF($R156="Attended",Setup!$D$19,"")))</f>
        <v/>
      </c>
      <c r="W156" s="48" t="str">
        <f aca="true">IF(OR($B156="",NOT(ISNUMBER($H156))),"",TODAY()-$H156)</f>
        <v/>
      </c>
      <c r="X156" s="47" t="str">
        <f aca="false">IF($B156="","",IF($U156&gt;0,"Event attendee",IF($G156="Yes","Met (no event)",IF($T156&gt;0,"Invited only",IF(OR($L156="Yes",$M156="Yes"),"Contacted only","Not yet contacted")))))</f>
        <v>Not yet contacted</v>
      </c>
      <c r="Y156" s="47" t="n">
        <f aca="false">IF($B156="","",COUNTIF(c_Firm,"&lt;"&amp;$D156)+COUNTIFS(c_Firm,$D156,c_Name,"&lt;"&amp;$B156)+COUNTIFS($D$2:$D156,$D156,$B$2:$B156,$B156))</f>
        <v>155</v>
      </c>
      <c r="Z156" s="47" t="n">
        <f aca="false">IF($B156="","",IF(AND(OR(Contacts!$C$3="(All)",$D156=Contacts!$C$3),OR(Contacts!$E$3="(All)",$G156=Contacts!$E$3),OR(Contacts!$G$3="(All)",ISNUMBER(SEARCH(Contacts!$G$3,$V156))),OR(Contacts!$I$3="(All)",$X156=Contacts!$I$3),OR(Contacts!$K$3="",ISNUMBER(SEARCH(Contacts!$K$3,$B156&amp;" "&amp;$C156&amp;" "&amp;$D156&amp;" "&amp;$S156)))),1,0))</f>
        <v>1</v>
      </c>
      <c r="AA156" s="47" t="n">
        <f aca="false">IF($Z156=1,COUNTIFS(c_Pass,1,c_Sort,"&lt;="&amp;$Y156),"")</f>
        <v>155</v>
      </c>
      <c r="AB156" s="47" t="str">
        <f aca="false">IF(OR($G156&lt;&gt;"Yes",NOT(ISNUMBER($H156))),"",COUNTIFS(c_Met,"Yes",c_Date,"&lt;"&amp;$H156)+COUNTIFS($G$2:$G156,"Yes",$H$2:$H156,$H156))</f>
        <v/>
      </c>
    </row>
    <row r="157" customFormat="false" ht="15" hidden="false" customHeight="false" outlineLevel="0" collapsed="false">
      <c r="A157" s="44" t="n">
        <f aca="false">IF($B157="","",COUNTA($B$2:$B157))</f>
        <v>156</v>
      </c>
      <c r="B157" s="11" t="s">
        <v>454</v>
      </c>
      <c r="C157" s="11" t="s">
        <v>455</v>
      </c>
      <c r="D157" s="11" t="s">
        <v>28</v>
      </c>
      <c r="E157" s="11" t="s">
        <v>193</v>
      </c>
      <c r="F157" s="11" t="s">
        <v>68</v>
      </c>
      <c r="G157" s="34" t="s">
        <v>132</v>
      </c>
      <c r="H157" s="25"/>
      <c r="I157" s="40" t="n">
        <v>0</v>
      </c>
      <c r="J157" s="34" t="s">
        <v>132</v>
      </c>
      <c r="K157" s="45"/>
      <c r="L157" s="34"/>
      <c r="M157" s="34"/>
      <c r="N157" s="11" t="s">
        <v>133</v>
      </c>
      <c r="O157" s="11" t="s">
        <v>133</v>
      </c>
      <c r="P157" s="11" t="s">
        <v>133</v>
      </c>
      <c r="Q157" s="11" t="s">
        <v>133</v>
      </c>
      <c r="R157" s="11" t="s">
        <v>133</v>
      </c>
      <c r="S157" s="46" t="s">
        <v>456</v>
      </c>
      <c r="T157" s="44" t="n">
        <f aca="false">IF($B157="","",COUNTA($N157:$R157)-COUNTIF($N157:$R157,"Not Invited"))</f>
        <v>0</v>
      </c>
      <c r="U157" s="44" t="n">
        <f aca="false">IF($B157="","",COUNTIF($N157:$R157,"Attended"))</f>
        <v>0</v>
      </c>
      <c r="V157" s="47" t="str">
        <f aca="false">IF($B157="","",_xlfn.TEXTJOIN(", ",TRUE(),IF($N157="Attended",Setup!$D$15,""),IF($O157="Attended",Setup!$D$16,""),IF($P157="Attended",Setup!$D$17,""),IF($Q157="Attended",Setup!$D$18,""),IF($R157="Attended",Setup!$D$19,"")))</f>
        <v/>
      </c>
      <c r="W157" s="48" t="str">
        <f aca="true">IF(OR($B157="",NOT(ISNUMBER($H157))),"",TODAY()-$H157)</f>
        <v/>
      </c>
      <c r="X157" s="47" t="str">
        <f aca="false">IF($B157="","",IF($U157&gt;0,"Event attendee",IF($G157="Yes","Met (no event)",IF($T157&gt;0,"Invited only",IF(OR($L157="Yes",$M157="Yes"),"Contacted only","Not yet contacted")))))</f>
        <v>Not yet contacted</v>
      </c>
      <c r="Y157" s="47" t="n">
        <f aca="false">IF($B157="","",COUNTIF(c_Firm,"&lt;"&amp;$D157)+COUNTIFS(c_Firm,$D157,c_Name,"&lt;"&amp;$B157)+COUNTIFS($D$2:$D157,$D157,$B$2:$B157,$B157))</f>
        <v>156</v>
      </c>
      <c r="Z157" s="47" t="n">
        <f aca="false">IF($B157="","",IF(AND(OR(Contacts!$C$3="(All)",$D157=Contacts!$C$3),OR(Contacts!$E$3="(All)",$G157=Contacts!$E$3),OR(Contacts!$G$3="(All)",ISNUMBER(SEARCH(Contacts!$G$3,$V157))),OR(Contacts!$I$3="(All)",$X157=Contacts!$I$3),OR(Contacts!$K$3="",ISNUMBER(SEARCH(Contacts!$K$3,$B157&amp;" "&amp;$C157&amp;" "&amp;$D157&amp;" "&amp;$S157)))),1,0))</f>
        <v>1</v>
      </c>
      <c r="AA157" s="47" t="n">
        <f aca="false">IF($Z157=1,COUNTIFS(c_Pass,1,c_Sort,"&lt;="&amp;$Y157),"")</f>
        <v>156</v>
      </c>
      <c r="AB157" s="47" t="str">
        <f aca="false">IF(OR($G157&lt;&gt;"Yes",NOT(ISNUMBER($H157))),"",COUNTIFS(c_Met,"Yes",c_Date,"&lt;"&amp;$H157)+COUNTIFS($G$2:$G157,"Yes",$H$2:$H157,$H157))</f>
        <v/>
      </c>
    </row>
    <row r="158" customFormat="false" ht="15" hidden="false" customHeight="false" outlineLevel="0" collapsed="false">
      <c r="A158" s="44" t="n">
        <f aca="false">IF($B158="","",COUNTA($B$2:$B158))</f>
        <v>157</v>
      </c>
      <c r="B158" s="11" t="s">
        <v>457</v>
      </c>
      <c r="C158" s="11" t="s">
        <v>458</v>
      </c>
      <c r="D158" s="11" t="s">
        <v>28</v>
      </c>
      <c r="E158" s="11" t="s">
        <v>193</v>
      </c>
      <c r="F158" s="11" t="s">
        <v>68</v>
      </c>
      <c r="G158" s="34" t="s">
        <v>132</v>
      </c>
      <c r="H158" s="25"/>
      <c r="I158" s="40" t="n">
        <v>0</v>
      </c>
      <c r="J158" s="34" t="s">
        <v>132</v>
      </c>
      <c r="K158" s="45"/>
      <c r="L158" s="34"/>
      <c r="M158" s="34"/>
      <c r="N158" s="11" t="s">
        <v>133</v>
      </c>
      <c r="O158" s="11" t="s">
        <v>133</v>
      </c>
      <c r="P158" s="11" t="s">
        <v>133</v>
      </c>
      <c r="Q158" s="11" t="s">
        <v>133</v>
      </c>
      <c r="R158" s="11" t="s">
        <v>133</v>
      </c>
      <c r="S158" s="46" t="s">
        <v>459</v>
      </c>
      <c r="T158" s="44" t="n">
        <f aca="false">IF($B158="","",COUNTA($N158:$R158)-COUNTIF($N158:$R158,"Not Invited"))</f>
        <v>0</v>
      </c>
      <c r="U158" s="44" t="n">
        <f aca="false">IF($B158="","",COUNTIF($N158:$R158,"Attended"))</f>
        <v>0</v>
      </c>
      <c r="V158" s="47" t="str">
        <f aca="false">IF($B158="","",_xlfn.TEXTJOIN(", ",TRUE(),IF($N158="Attended",Setup!$D$15,""),IF($O158="Attended",Setup!$D$16,""),IF($P158="Attended",Setup!$D$17,""),IF($Q158="Attended",Setup!$D$18,""),IF($R158="Attended",Setup!$D$19,"")))</f>
        <v/>
      </c>
      <c r="W158" s="48" t="str">
        <f aca="true">IF(OR($B158="",NOT(ISNUMBER($H158))),"",TODAY()-$H158)</f>
        <v/>
      </c>
      <c r="X158" s="47" t="str">
        <f aca="false">IF($B158="","",IF($U158&gt;0,"Event attendee",IF($G158="Yes","Met (no event)",IF($T158&gt;0,"Invited only",IF(OR($L158="Yes",$M158="Yes"),"Contacted only","Not yet contacted")))))</f>
        <v>Not yet contacted</v>
      </c>
      <c r="Y158" s="47" t="n">
        <f aca="false">IF($B158="","",COUNTIF(c_Firm,"&lt;"&amp;$D158)+COUNTIFS(c_Firm,$D158,c_Name,"&lt;"&amp;$B158)+COUNTIFS($D$2:$D158,$D158,$B$2:$B158,$B158))</f>
        <v>157</v>
      </c>
      <c r="Z158" s="47" t="n">
        <f aca="false">IF($B158="","",IF(AND(OR(Contacts!$C$3="(All)",$D158=Contacts!$C$3),OR(Contacts!$E$3="(All)",$G158=Contacts!$E$3),OR(Contacts!$G$3="(All)",ISNUMBER(SEARCH(Contacts!$G$3,$V158))),OR(Contacts!$I$3="(All)",$X158=Contacts!$I$3),OR(Contacts!$K$3="",ISNUMBER(SEARCH(Contacts!$K$3,$B158&amp;" "&amp;$C158&amp;" "&amp;$D158&amp;" "&amp;$S158)))),1,0))</f>
        <v>1</v>
      </c>
      <c r="AA158" s="47" t="n">
        <f aca="false">IF($Z158=1,COUNTIFS(c_Pass,1,c_Sort,"&lt;="&amp;$Y158),"")</f>
        <v>157</v>
      </c>
      <c r="AB158" s="47" t="str">
        <f aca="false">IF(OR($G158&lt;&gt;"Yes",NOT(ISNUMBER($H158))),"",COUNTIFS(c_Met,"Yes",c_Date,"&lt;"&amp;$H158)+COUNTIFS($G$2:$G158,"Yes",$H$2:$H158,$H158))</f>
        <v/>
      </c>
    </row>
    <row r="159" customFormat="false" ht="15" hidden="false" customHeight="false" outlineLevel="0" collapsed="false">
      <c r="A159" s="44" t="n">
        <f aca="false">IF($B159="","",COUNTA($B$2:$B159))</f>
        <v>158</v>
      </c>
      <c r="B159" s="11" t="s">
        <v>460</v>
      </c>
      <c r="C159" s="11" t="s">
        <v>461</v>
      </c>
      <c r="D159" s="11" t="s">
        <v>28</v>
      </c>
      <c r="E159" s="11" t="s">
        <v>193</v>
      </c>
      <c r="F159" s="11" t="s">
        <v>68</v>
      </c>
      <c r="G159" s="34" t="s">
        <v>132</v>
      </c>
      <c r="H159" s="25"/>
      <c r="I159" s="40" t="n">
        <v>0</v>
      </c>
      <c r="J159" s="34" t="s">
        <v>132</v>
      </c>
      <c r="K159" s="45"/>
      <c r="L159" s="34"/>
      <c r="M159" s="34"/>
      <c r="N159" s="11" t="s">
        <v>133</v>
      </c>
      <c r="O159" s="11" t="s">
        <v>133</v>
      </c>
      <c r="P159" s="11" t="s">
        <v>133</v>
      </c>
      <c r="Q159" s="11" t="s">
        <v>133</v>
      </c>
      <c r="R159" s="11" t="s">
        <v>133</v>
      </c>
      <c r="S159" s="46" t="s">
        <v>462</v>
      </c>
      <c r="T159" s="44" t="n">
        <f aca="false">IF($B159="","",COUNTA($N159:$R159)-COUNTIF($N159:$R159,"Not Invited"))</f>
        <v>0</v>
      </c>
      <c r="U159" s="44" t="n">
        <f aca="false">IF($B159="","",COUNTIF($N159:$R159,"Attended"))</f>
        <v>0</v>
      </c>
      <c r="V159" s="47" t="str">
        <f aca="false">IF($B159="","",_xlfn.TEXTJOIN(", ",TRUE(),IF($N159="Attended",Setup!$D$15,""),IF($O159="Attended",Setup!$D$16,""),IF($P159="Attended",Setup!$D$17,""),IF($Q159="Attended",Setup!$D$18,""),IF($R159="Attended",Setup!$D$19,"")))</f>
        <v/>
      </c>
      <c r="W159" s="48" t="str">
        <f aca="true">IF(OR($B159="",NOT(ISNUMBER($H159))),"",TODAY()-$H159)</f>
        <v/>
      </c>
      <c r="X159" s="47" t="str">
        <f aca="false">IF($B159="","",IF($U159&gt;0,"Event attendee",IF($G159="Yes","Met (no event)",IF($T159&gt;0,"Invited only",IF(OR($L159="Yes",$M159="Yes"),"Contacted only","Not yet contacted")))))</f>
        <v>Not yet contacted</v>
      </c>
      <c r="Y159" s="47" t="n">
        <f aca="false">IF($B159="","",COUNTIF(c_Firm,"&lt;"&amp;$D159)+COUNTIFS(c_Firm,$D159,c_Name,"&lt;"&amp;$B159)+COUNTIFS($D$2:$D159,$D159,$B$2:$B159,$B159))</f>
        <v>158</v>
      </c>
      <c r="Z159" s="47" t="n">
        <f aca="false">IF($B159="","",IF(AND(OR(Contacts!$C$3="(All)",$D159=Contacts!$C$3),OR(Contacts!$E$3="(All)",$G159=Contacts!$E$3),OR(Contacts!$G$3="(All)",ISNUMBER(SEARCH(Contacts!$G$3,$V159))),OR(Contacts!$I$3="(All)",$X159=Contacts!$I$3),OR(Contacts!$K$3="",ISNUMBER(SEARCH(Contacts!$K$3,$B159&amp;" "&amp;$C159&amp;" "&amp;$D159&amp;" "&amp;$S159)))),1,0))</f>
        <v>1</v>
      </c>
      <c r="AA159" s="47" t="n">
        <f aca="false">IF($Z159=1,COUNTIFS(c_Pass,1,c_Sort,"&lt;="&amp;$Y159),"")</f>
        <v>158</v>
      </c>
      <c r="AB159" s="47" t="str">
        <f aca="false">IF(OR($G159&lt;&gt;"Yes",NOT(ISNUMBER($H159))),"",COUNTIFS(c_Met,"Yes",c_Date,"&lt;"&amp;$H159)+COUNTIFS($G$2:$G159,"Yes",$H$2:$H159,$H159))</f>
        <v/>
      </c>
    </row>
    <row r="160" customFormat="false" ht="15" hidden="false" customHeight="false" outlineLevel="0" collapsed="false">
      <c r="A160" s="44" t="n">
        <f aca="false">IF($B160="","",COUNTA($B$2:$B160))</f>
        <v>159</v>
      </c>
      <c r="B160" s="11" t="s">
        <v>463</v>
      </c>
      <c r="C160" s="11" t="s">
        <v>464</v>
      </c>
      <c r="D160" s="11" t="s">
        <v>28</v>
      </c>
      <c r="E160" s="11" t="s">
        <v>193</v>
      </c>
      <c r="F160" s="11" t="s">
        <v>68</v>
      </c>
      <c r="G160" s="34" t="s">
        <v>132</v>
      </c>
      <c r="H160" s="25"/>
      <c r="I160" s="40" t="n">
        <v>0</v>
      </c>
      <c r="J160" s="34" t="s">
        <v>132</v>
      </c>
      <c r="K160" s="45"/>
      <c r="L160" s="34"/>
      <c r="M160" s="34"/>
      <c r="N160" s="11" t="s">
        <v>133</v>
      </c>
      <c r="O160" s="11" t="s">
        <v>133</v>
      </c>
      <c r="P160" s="11" t="s">
        <v>133</v>
      </c>
      <c r="Q160" s="11" t="s">
        <v>133</v>
      </c>
      <c r="R160" s="11" t="s">
        <v>133</v>
      </c>
      <c r="S160" s="46" t="s">
        <v>465</v>
      </c>
      <c r="T160" s="44" t="n">
        <f aca="false">IF($B160="","",COUNTA($N160:$R160)-COUNTIF($N160:$R160,"Not Invited"))</f>
        <v>0</v>
      </c>
      <c r="U160" s="44" t="n">
        <f aca="false">IF($B160="","",COUNTIF($N160:$R160,"Attended"))</f>
        <v>0</v>
      </c>
      <c r="V160" s="47" t="str">
        <f aca="false">IF($B160="","",_xlfn.TEXTJOIN(", ",TRUE(),IF($N160="Attended",Setup!$D$15,""),IF($O160="Attended",Setup!$D$16,""),IF($P160="Attended",Setup!$D$17,""),IF($Q160="Attended",Setup!$D$18,""),IF($R160="Attended",Setup!$D$19,"")))</f>
        <v/>
      </c>
      <c r="W160" s="48" t="str">
        <f aca="true">IF(OR($B160="",NOT(ISNUMBER($H160))),"",TODAY()-$H160)</f>
        <v/>
      </c>
      <c r="X160" s="47" t="str">
        <f aca="false">IF($B160="","",IF($U160&gt;0,"Event attendee",IF($G160="Yes","Met (no event)",IF($T160&gt;0,"Invited only",IF(OR($L160="Yes",$M160="Yes"),"Contacted only","Not yet contacted")))))</f>
        <v>Not yet contacted</v>
      </c>
      <c r="Y160" s="47" t="n">
        <f aca="false">IF($B160="","",COUNTIF(c_Firm,"&lt;"&amp;$D160)+COUNTIFS(c_Firm,$D160,c_Name,"&lt;"&amp;$B160)+COUNTIFS($D$2:$D160,$D160,$B$2:$B160,$B160))</f>
        <v>159</v>
      </c>
      <c r="Z160" s="47" t="n">
        <f aca="false">IF($B160="","",IF(AND(OR(Contacts!$C$3="(All)",$D160=Contacts!$C$3),OR(Contacts!$E$3="(All)",$G160=Contacts!$E$3),OR(Contacts!$G$3="(All)",ISNUMBER(SEARCH(Contacts!$G$3,$V160))),OR(Contacts!$I$3="(All)",$X160=Contacts!$I$3),OR(Contacts!$K$3="",ISNUMBER(SEARCH(Contacts!$K$3,$B160&amp;" "&amp;$C160&amp;" "&amp;$D160&amp;" "&amp;$S160)))),1,0))</f>
        <v>1</v>
      </c>
      <c r="AA160" s="47" t="n">
        <f aca="false">IF($Z160=1,COUNTIFS(c_Pass,1,c_Sort,"&lt;="&amp;$Y160),"")</f>
        <v>159</v>
      </c>
      <c r="AB160" s="47" t="str">
        <f aca="false">IF(OR($G160&lt;&gt;"Yes",NOT(ISNUMBER($H160))),"",COUNTIFS(c_Met,"Yes",c_Date,"&lt;"&amp;$H160)+COUNTIFS($G$2:$G160,"Yes",$H$2:$H160,$H160))</f>
        <v/>
      </c>
    </row>
    <row r="161" customFormat="false" ht="15" hidden="false" customHeight="false" outlineLevel="0" collapsed="false">
      <c r="A161" s="44" t="n">
        <f aca="false">IF($B161="","",COUNTA($B$2:$B161))</f>
        <v>160</v>
      </c>
      <c r="B161" s="11" t="s">
        <v>466</v>
      </c>
      <c r="C161" s="11" t="s">
        <v>467</v>
      </c>
      <c r="D161" s="11" t="s">
        <v>28</v>
      </c>
      <c r="E161" s="11" t="s">
        <v>193</v>
      </c>
      <c r="F161" s="11" t="s">
        <v>68</v>
      </c>
      <c r="G161" s="34" t="s">
        <v>132</v>
      </c>
      <c r="H161" s="25"/>
      <c r="I161" s="40" t="n">
        <v>0</v>
      </c>
      <c r="J161" s="34" t="s">
        <v>132</v>
      </c>
      <c r="K161" s="45"/>
      <c r="L161" s="34"/>
      <c r="M161" s="34"/>
      <c r="N161" s="11" t="s">
        <v>133</v>
      </c>
      <c r="O161" s="11" t="s">
        <v>133</v>
      </c>
      <c r="P161" s="11" t="s">
        <v>133</v>
      </c>
      <c r="Q161" s="11" t="s">
        <v>133</v>
      </c>
      <c r="R161" s="11" t="s">
        <v>133</v>
      </c>
      <c r="S161" s="46" t="s">
        <v>398</v>
      </c>
      <c r="T161" s="44" t="n">
        <f aca="false">IF($B161="","",COUNTA($N161:$R161)-COUNTIF($N161:$R161,"Not Invited"))</f>
        <v>0</v>
      </c>
      <c r="U161" s="44" t="n">
        <f aca="false">IF($B161="","",COUNTIF($N161:$R161,"Attended"))</f>
        <v>0</v>
      </c>
      <c r="V161" s="47" t="str">
        <f aca="false">IF($B161="","",_xlfn.TEXTJOIN(", ",TRUE(),IF($N161="Attended",Setup!$D$15,""),IF($O161="Attended",Setup!$D$16,""),IF($P161="Attended",Setup!$D$17,""),IF($Q161="Attended",Setup!$D$18,""),IF($R161="Attended",Setup!$D$19,"")))</f>
        <v/>
      </c>
      <c r="W161" s="48" t="str">
        <f aca="true">IF(OR($B161="",NOT(ISNUMBER($H161))),"",TODAY()-$H161)</f>
        <v/>
      </c>
      <c r="X161" s="47" t="str">
        <f aca="false">IF($B161="","",IF($U161&gt;0,"Event attendee",IF($G161="Yes","Met (no event)",IF($T161&gt;0,"Invited only",IF(OR($L161="Yes",$M161="Yes"),"Contacted only","Not yet contacted")))))</f>
        <v>Not yet contacted</v>
      </c>
      <c r="Y161" s="47" t="n">
        <f aca="false">IF($B161="","",COUNTIF(c_Firm,"&lt;"&amp;$D161)+COUNTIFS(c_Firm,$D161,c_Name,"&lt;"&amp;$B161)+COUNTIFS($D$2:$D161,$D161,$B$2:$B161,$B161))</f>
        <v>160</v>
      </c>
      <c r="Z161" s="47" t="n">
        <f aca="false">IF($B161="","",IF(AND(OR(Contacts!$C$3="(All)",$D161=Contacts!$C$3),OR(Contacts!$E$3="(All)",$G161=Contacts!$E$3),OR(Contacts!$G$3="(All)",ISNUMBER(SEARCH(Contacts!$G$3,$V161))),OR(Contacts!$I$3="(All)",$X161=Contacts!$I$3),OR(Contacts!$K$3="",ISNUMBER(SEARCH(Contacts!$K$3,$B161&amp;" "&amp;$C161&amp;" "&amp;$D161&amp;" "&amp;$S161)))),1,0))</f>
        <v>1</v>
      </c>
      <c r="AA161" s="47" t="n">
        <f aca="false">IF($Z161=1,COUNTIFS(c_Pass,1,c_Sort,"&lt;="&amp;$Y161),"")</f>
        <v>160</v>
      </c>
      <c r="AB161" s="47" t="str">
        <f aca="false">IF(OR($G161&lt;&gt;"Yes",NOT(ISNUMBER($H161))),"",COUNTIFS(c_Met,"Yes",c_Date,"&lt;"&amp;$H161)+COUNTIFS($G$2:$G161,"Yes",$H$2:$H161,$H161))</f>
        <v/>
      </c>
    </row>
    <row r="162" customFormat="false" ht="15" hidden="false" customHeight="false" outlineLevel="0" collapsed="false">
      <c r="A162" s="44" t="n">
        <f aca="false">IF($B162="","",COUNTA($B$2:$B162))</f>
        <v>161</v>
      </c>
      <c r="B162" s="11" t="s">
        <v>468</v>
      </c>
      <c r="C162" s="11"/>
      <c r="D162" s="11" t="s">
        <v>28</v>
      </c>
      <c r="E162" s="11" t="s">
        <v>193</v>
      </c>
      <c r="F162" s="11" t="s">
        <v>68</v>
      </c>
      <c r="G162" s="34" t="s">
        <v>132</v>
      </c>
      <c r="H162" s="25"/>
      <c r="I162" s="40" t="n">
        <v>0</v>
      </c>
      <c r="J162" s="34" t="s">
        <v>132</v>
      </c>
      <c r="K162" s="45"/>
      <c r="L162" s="34"/>
      <c r="M162" s="34"/>
      <c r="N162" s="11" t="s">
        <v>133</v>
      </c>
      <c r="O162" s="11" t="s">
        <v>133</v>
      </c>
      <c r="P162" s="11" t="s">
        <v>133</v>
      </c>
      <c r="Q162" s="11" t="s">
        <v>133</v>
      </c>
      <c r="R162" s="11" t="s">
        <v>133</v>
      </c>
      <c r="S162" s="46" t="s">
        <v>469</v>
      </c>
      <c r="T162" s="44" t="n">
        <f aca="false">IF($B162="","",COUNTA($N162:$R162)-COUNTIF($N162:$R162,"Not Invited"))</f>
        <v>0</v>
      </c>
      <c r="U162" s="44" t="n">
        <f aca="false">IF($B162="","",COUNTIF($N162:$R162,"Attended"))</f>
        <v>0</v>
      </c>
      <c r="V162" s="47" t="str">
        <f aca="false">IF($B162="","",_xlfn.TEXTJOIN(", ",TRUE(),IF($N162="Attended",Setup!$D$15,""),IF($O162="Attended",Setup!$D$16,""),IF($P162="Attended",Setup!$D$17,""),IF($Q162="Attended",Setup!$D$18,""),IF($R162="Attended",Setup!$D$19,"")))</f>
        <v/>
      </c>
      <c r="W162" s="48" t="str">
        <f aca="true">IF(OR($B162="",NOT(ISNUMBER($H162))),"",TODAY()-$H162)</f>
        <v/>
      </c>
      <c r="X162" s="47" t="str">
        <f aca="false">IF($B162="","",IF($U162&gt;0,"Event attendee",IF($G162="Yes","Met (no event)",IF($T162&gt;0,"Invited only",IF(OR($L162="Yes",$M162="Yes"),"Contacted only","Not yet contacted")))))</f>
        <v>Not yet contacted</v>
      </c>
      <c r="Y162" s="47" t="n">
        <f aca="false">IF($B162="","",COUNTIF(c_Firm,"&lt;"&amp;$D162)+COUNTIFS(c_Firm,$D162,c_Name,"&lt;"&amp;$B162)+COUNTIFS($D$2:$D162,$D162,$B$2:$B162,$B162))</f>
        <v>161</v>
      </c>
      <c r="Z162" s="47" t="n">
        <f aca="false">IF($B162="","",IF(AND(OR(Contacts!$C$3="(All)",$D162=Contacts!$C$3),OR(Contacts!$E$3="(All)",$G162=Contacts!$E$3),OR(Contacts!$G$3="(All)",ISNUMBER(SEARCH(Contacts!$G$3,$V162))),OR(Contacts!$I$3="(All)",$X162=Contacts!$I$3),OR(Contacts!$K$3="",ISNUMBER(SEARCH(Contacts!$K$3,$B162&amp;" "&amp;$C162&amp;" "&amp;$D162&amp;" "&amp;$S162)))),1,0))</f>
        <v>1</v>
      </c>
      <c r="AA162" s="47" t="n">
        <f aca="false">IF($Z162=1,COUNTIFS(c_Pass,1,c_Sort,"&lt;="&amp;$Y162),"")</f>
        <v>161</v>
      </c>
      <c r="AB162" s="47" t="str">
        <f aca="false">IF(OR($G162&lt;&gt;"Yes",NOT(ISNUMBER($H162))),"",COUNTIFS(c_Met,"Yes",c_Date,"&lt;"&amp;$H162)+COUNTIFS($G$2:$G162,"Yes",$H$2:$H162,$H162))</f>
        <v/>
      </c>
    </row>
    <row r="163" customFormat="false" ht="15" hidden="false" customHeight="false" outlineLevel="0" collapsed="false">
      <c r="A163" s="44" t="n">
        <f aca="false">IF($B163="","",COUNTA($B$2:$B163))</f>
        <v>162</v>
      </c>
      <c r="B163" s="11" t="s">
        <v>470</v>
      </c>
      <c r="C163" s="11" t="s">
        <v>471</v>
      </c>
      <c r="D163" s="11" t="s">
        <v>28</v>
      </c>
      <c r="E163" s="11" t="s">
        <v>193</v>
      </c>
      <c r="F163" s="11" t="s">
        <v>68</v>
      </c>
      <c r="G163" s="34" t="s">
        <v>132</v>
      </c>
      <c r="H163" s="25"/>
      <c r="I163" s="40" t="n">
        <v>0</v>
      </c>
      <c r="J163" s="34" t="s">
        <v>132</v>
      </c>
      <c r="K163" s="45"/>
      <c r="L163" s="34"/>
      <c r="M163" s="34"/>
      <c r="N163" s="11" t="s">
        <v>133</v>
      </c>
      <c r="O163" s="11" t="s">
        <v>133</v>
      </c>
      <c r="P163" s="11" t="s">
        <v>133</v>
      </c>
      <c r="Q163" s="11" t="s">
        <v>133</v>
      </c>
      <c r="R163" s="11" t="s">
        <v>133</v>
      </c>
      <c r="S163" s="46" t="s">
        <v>472</v>
      </c>
      <c r="T163" s="44" t="n">
        <f aca="false">IF($B163="","",COUNTA($N163:$R163)-COUNTIF($N163:$R163,"Not Invited"))</f>
        <v>0</v>
      </c>
      <c r="U163" s="44" t="n">
        <f aca="false">IF($B163="","",COUNTIF($N163:$R163,"Attended"))</f>
        <v>0</v>
      </c>
      <c r="V163" s="47" t="str">
        <f aca="false">IF($B163="","",_xlfn.TEXTJOIN(", ",TRUE(),IF($N163="Attended",Setup!$D$15,""),IF($O163="Attended",Setup!$D$16,""),IF($P163="Attended",Setup!$D$17,""),IF($Q163="Attended",Setup!$D$18,""),IF($R163="Attended",Setup!$D$19,"")))</f>
        <v/>
      </c>
      <c r="W163" s="48" t="str">
        <f aca="true">IF(OR($B163="",NOT(ISNUMBER($H163))),"",TODAY()-$H163)</f>
        <v/>
      </c>
      <c r="X163" s="47" t="str">
        <f aca="false">IF($B163="","",IF($U163&gt;0,"Event attendee",IF($G163="Yes","Met (no event)",IF($T163&gt;0,"Invited only",IF(OR($L163="Yes",$M163="Yes"),"Contacted only","Not yet contacted")))))</f>
        <v>Not yet contacted</v>
      </c>
      <c r="Y163" s="47" t="n">
        <f aca="false">IF($B163="","",COUNTIF(c_Firm,"&lt;"&amp;$D163)+COUNTIFS(c_Firm,$D163,c_Name,"&lt;"&amp;$B163)+COUNTIFS($D$2:$D163,$D163,$B$2:$B163,$B163))</f>
        <v>162</v>
      </c>
      <c r="Z163" s="47" t="n">
        <f aca="false">IF($B163="","",IF(AND(OR(Contacts!$C$3="(All)",$D163=Contacts!$C$3),OR(Contacts!$E$3="(All)",$G163=Contacts!$E$3),OR(Contacts!$G$3="(All)",ISNUMBER(SEARCH(Contacts!$G$3,$V163))),OR(Contacts!$I$3="(All)",$X163=Contacts!$I$3),OR(Contacts!$K$3="",ISNUMBER(SEARCH(Contacts!$K$3,$B163&amp;" "&amp;$C163&amp;" "&amp;$D163&amp;" "&amp;$S163)))),1,0))</f>
        <v>1</v>
      </c>
      <c r="AA163" s="47" t="n">
        <f aca="false">IF($Z163=1,COUNTIFS(c_Pass,1,c_Sort,"&lt;="&amp;$Y163),"")</f>
        <v>162</v>
      </c>
      <c r="AB163" s="47" t="str">
        <f aca="false">IF(OR($G163&lt;&gt;"Yes",NOT(ISNUMBER($H163))),"",COUNTIFS(c_Met,"Yes",c_Date,"&lt;"&amp;$H163)+COUNTIFS($G$2:$G163,"Yes",$H$2:$H163,$H163))</f>
        <v/>
      </c>
    </row>
    <row r="164" customFormat="false" ht="15" hidden="false" customHeight="false" outlineLevel="0" collapsed="false">
      <c r="A164" s="44" t="n">
        <f aca="false">IF($B164="","",COUNTA($B$2:$B164))</f>
        <v>163</v>
      </c>
      <c r="B164" s="11" t="s">
        <v>473</v>
      </c>
      <c r="C164" s="11" t="s">
        <v>474</v>
      </c>
      <c r="D164" s="11" t="s">
        <v>28</v>
      </c>
      <c r="E164" s="11" t="s">
        <v>193</v>
      </c>
      <c r="F164" s="11" t="s">
        <v>68</v>
      </c>
      <c r="G164" s="34" t="s">
        <v>132</v>
      </c>
      <c r="H164" s="25"/>
      <c r="I164" s="40" t="n">
        <v>0</v>
      </c>
      <c r="J164" s="34" t="s">
        <v>132</v>
      </c>
      <c r="K164" s="45"/>
      <c r="L164" s="34"/>
      <c r="M164" s="34"/>
      <c r="N164" s="11" t="s">
        <v>133</v>
      </c>
      <c r="O164" s="11" t="s">
        <v>133</v>
      </c>
      <c r="P164" s="11" t="s">
        <v>133</v>
      </c>
      <c r="Q164" s="11" t="s">
        <v>133</v>
      </c>
      <c r="R164" s="11" t="s">
        <v>133</v>
      </c>
      <c r="S164" s="46" t="s">
        <v>475</v>
      </c>
      <c r="T164" s="44" t="n">
        <f aca="false">IF($B164="","",COUNTA($N164:$R164)-COUNTIF($N164:$R164,"Not Invited"))</f>
        <v>0</v>
      </c>
      <c r="U164" s="44" t="n">
        <f aca="false">IF($B164="","",COUNTIF($N164:$R164,"Attended"))</f>
        <v>0</v>
      </c>
      <c r="V164" s="47" t="str">
        <f aca="false">IF($B164="","",_xlfn.TEXTJOIN(", ",TRUE(),IF($N164="Attended",Setup!$D$15,""),IF($O164="Attended",Setup!$D$16,""),IF($P164="Attended",Setup!$D$17,""),IF($Q164="Attended",Setup!$D$18,""),IF($R164="Attended",Setup!$D$19,"")))</f>
        <v/>
      </c>
      <c r="W164" s="48" t="str">
        <f aca="true">IF(OR($B164="",NOT(ISNUMBER($H164))),"",TODAY()-$H164)</f>
        <v/>
      </c>
      <c r="X164" s="47" t="str">
        <f aca="false">IF($B164="","",IF($U164&gt;0,"Event attendee",IF($G164="Yes","Met (no event)",IF($T164&gt;0,"Invited only",IF(OR($L164="Yes",$M164="Yes"),"Contacted only","Not yet contacted")))))</f>
        <v>Not yet contacted</v>
      </c>
      <c r="Y164" s="47" t="n">
        <f aca="false">IF($B164="","",COUNTIF(c_Firm,"&lt;"&amp;$D164)+COUNTIFS(c_Firm,$D164,c_Name,"&lt;"&amp;$B164)+COUNTIFS($D$2:$D164,$D164,$B$2:$B164,$B164))</f>
        <v>163</v>
      </c>
      <c r="Z164" s="47" t="n">
        <f aca="false">IF($B164="","",IF(AND(OR(Contacts!$C$3="(All)",$D164=Contacts!$C$3),OR(Contacts!$E$3="(All)",$G164=Contacts!$E$3),OR(Contacts!$G$3="(All)",ISNUMBER(SEARCH(Contacts!$G$3,$V164))),OR(Contacts!$I$3="(All)",$X164=Contacts!$I$3),OR(Contacts!$K$3="",ISNUMBER(SEARCH(Contacts!$K$3,$B164&amp;" "&amp;$C164&amp;" "&amp;$D164&amp;" "&amp;$S164)))),1,0))</f>
        <v>1</v>
      </c>
      <c r="AA164" s="47" t="n">
        <f aca="false">IF($Z164=1,COUNTIFS(c_Pass,1,c_Sort,"&lt;="&amp;$Y164),"")</f>
        <v>163</v>
      </c>
      <c r="AB164" s="47" t="str">
        <f aca="false">IF(OR($G164&lt;&gt;"Yes",NOT(ISNUMBER($H164))),"",COUNTIFS(c_Met,"Yes",c_Date,"&lt;"&amp;$H164)+COUNTIFS($G$2:$G164,"Yes",$H$2:$H164,$H164))</f>
        <v/>
      </c>
    </row>
    <row r="165" customFormat="false" ht="15" hidden="false" customHeight="false" outlineLevel="0" collapsed="false">
      <c r="A165" s="44" t="n">
        <f aca="false">IF($B165="","",COUNTA($B$2:$B165))</f>
        <v>164</v>
      </c>
      <c r="B165" s="11" t="s">
        <v>476</v>
      </c>
      <c r="C165" s="11" t="s">
        <v>477</v>
      </c>
      <c r="D165" s="11" t="s">
        <v>28</v>
      </c>
      <c r="E165" s="11" t="s">
        <v>193</v>
      </c>
      <c r="F165" s="11" t="s">
        <v>68</v>
      </c>
      <c r="G165" s="34" t="s">
        <v>132</v>
      </c>
      <c r="H165" s="25"/>
      <c r="I165" s="40" t="n">
        <v>0</v>
      </c>
      <c r="J165" s="34" t="s">
        <v>132</v>
      </c>
      <c r="K165" s="45"/>
      <c r="L165" s="34"/>
      <c r="M165" s="34"/>
      <c r="N165" s="11" t="s">
        <v>133</v>
      </c>
      <c r="O165" s="11" t="s">
        <v>133</v>
      </c>
      <c r="P165" s="11" t="s">
        <v>133</v>
      </c>
      <c r="Q165" s="11" t="s">
        <v>133</v>
      </c>
      <c r="R165" s="11" t="s">
        <v>133</v>
      </c>
      <c r="S165" s="46" t="s">
        <v>478</v>
      </c>
      <c r="T165" s="44" t="n">
        <f aca="false">IF($B165="","",COUNTA($N165:$R165)-COUNTIF($N165:$R165,"Not Invited"))</f>
        <v>0</v>
      </c>
      <c r="U165" s="44" t="n">
        <f aca="false">IF($B165="","",COUNTIF($N165:$R165,"Attended"))</f>
        <v>0</v>
      </c>
      <c r="V165" s="47" t="str">
        <f aca="false">IF($B165="","",_xlfn.TEXTJOIN(", ",TRUE(),IF($N165="Attended",Setup!$D$15,""),IF($O165="Attended",Setup!$D$16,""),IF($P165="Attended",Setup!$D$17,""),IF($Q165="Attended",Setup!$D$18,""),IF($R165="Attended",Setup!$D$19,"")))</f>
        <v/>
      </c>
      <c r="W165" s="48" t="str">
        <f aca="true">IF(OR($B165="",NOT(ISNUMBER($H165))),"",TODAY()-$H165)</f>
        <v/>
      </c>
      <c r="X165" s="47" t="str">
        <f aca="false">IF($B165="","",IF($U165&gt;0,"Event attendee",IF($G165="Yes","Met (no event)",IF($T165&gt;0,"Invited only",IF(OR($L165="Yes",$M165="Yes"),"Contacted only","Not yet contacted")))))</f>
        <v>Not yet contacted</v>
      </c>
      <c r="Y165" s="47" t="n">
        <f aca="false">IF($B165="","",COUNTIF(c_Firm,"&lt;"&amp;$D165)+COUNTIFS(c_Firm,$D165,c_Name,"&lt;"&amp;$B165)+COUNTIFS($D$2:$D165,$D165,$B$2:$B165,$B165))</f>
        <v>164</v>
      </c>
      <c r="Z165" s="47" t="n">
        <f aca="false">IF($B165="","",IF(AND(OR(Contacts!$C$3="(All)",$D165=Contacts!$C$3),OR(Contacts!$E$3="(All)",$G165=Contacts!$E$3),OR(Contacts!$G$3="(All)",ISNUMBER(SEARCH(Contacts!$G$3,$V165))),OR(Contacts!$I$3="(All)",$X165=Contacts!$I$3),OR(Contacts!$K$3="",ISNUMBER(SEARCH(Contacts!$K$3,$B165&amp;" "&amp;$C165&amp;" "&amp;$D165&amp;" "&amp;$S165)))),1,0))</f>
        <v>1</v>
      </c>
      <c r="AA165" s="47" t="n">
        <f aca="false">IF($Z165=1,COUNTIFS(c_Pass,1,c_Sort,"&lt;="&amp;$Y165),"")</f>
        <v>164</v>
      </c>
      <c r="AB165" s="47" t="str">
        <f aca="false">IF(OR($G165&lt;&gt;"Yes",NOT(ISNUMBER($H165))),"",COUNTIFS(c_Met,"Yes",c_Date,"&lt;"&amp;$H165)+COUNTIFS($G$2:$G165,"Yes",$H$2:$H165,$H165))</f>
        <v/>
      </c>
    </row>
    <row r="166" customFormat="false" ht="15" hidden="false" customHeight="false" outlineLevel="0" collapsed="false">
      <c r="A166" s="44" t="n">
        <f aca="false">IF($B166="","",COUNTA($B$2:$B166))</f>
        <v>165</v>
      </c>
      <c r="B166" s="11" t="s">
        <v>479</v>
      </c>
      <c r="C166" s="11" t="s">
        <v>480</v>
      </c>
      <c r="D166" s="11" t="s">
        <v>28</v>
      </c>
      <c r="E166" s="11" t="s">
        <v>193</v>
      </c>
      <c r="F166" s="11" t="s">
        <v>68</v>
      </c>
      <c r="G166" s="34" t="s">
        <v>132</v>
      </c>
      <c r="H166" s="25"/>
      <c r="I166" s="40" t="n">
        <v>0</v>
      </c>
      <c r="J166" s="34" t="s">
        <v>132</v>
      </c>
      <c r="K166" s="45"/>
      <c r="L166" s="34"/>
      <c r="M166" s="34"/>
      <c r="N166" s="11" t="s">
        <v>133</v>
      </c>
      <c r="O166" s="11" t="s">
        <v>133</v>
      </c>
      <c r="P166" s="11" t="s">
        <v>133</v>
      </c>
      <c r="Q166" s="11" t="s">
        <v>133</v>
      </c>
      <c r="R166" s="11" t="s">
        <v>133</v>
      </c>
      <c r="S166" s="46" t="s">
        <v>481</v>
      </c>
      <c r="T166" s="44" t="n">
        <f aca="false">IF($B166="","",COUNTA($N166:$R166)-COUNTIF($N166:$R166,"Not Invited"))</f>
        <v>0</v>
      </c>
      <c r="U166" s="44" t="n">
        <f aca="false">IF($B166="","",COUNTIF($N166:$R166,"Attended"))</f>
        <v>0</v>
      </c>
      <c r="V166" s="47" t="str">
        <f aca="false">IF($B166="","",_xlfn.TEXTJOIN(", ",TRUE(),IF($N166="Attended",Setup!$D$15,""),IF($O166="Attended",Setup!$D$16,""),IF($P166="Attended",Setup!$D$17,""),IF($Q166="Attended",Setup!$D$18,""),IF($R166="Attended",Setup!$D$19,"")))</f>
        <v/>
      </c>
      <c r="W166" s="48" t="str">
        <f aca="true">IF(OR($B166="",NOT(ISNUMBER($H166))),"",TODAY()-$H166)</f>
        <v/>
      </c>
      <c r="X166" s="47" t="str">
        <f aca="false">IF($B166="","",IF($U166&gt;0,"Event attendee",IF($G166="Yes","Met (no event)",IF($T166&gt;0,"Invited only",IF(OR($L166="Yes",$M166="Yes"),"Contacted only","Not yet contacted")))))</f>
        <v>Not yet contacted</v>
      </c>
      <c r="Y166" s="47" t="n">
        <f aca="false">IF($B166="","",COUNTIF(c_Firm,"&lt;"&amp;$D166)+COUNTIFS(c_Firm,$D166,c_Name,"&lt;"&amp;$B166)+COUNTIFS($D$2:$D166,$D166,$B$2:$B166,$B166))</f>
        <v>165</v>
      </c>
      <c r="Z166" s="47" t="n">
        <f aca="false">IF($B166="","",IF(AND(OR(Contacts!$C$3="(All)",$D166=Contacts!$C$3),OR(Contacts!$E$3="(All)",$G166=Contacts!$E$3),OR(Contacts!$G$3="(All)",ISNUMBER(SEARCH(Contacts!$G$3,$V166))),OR(Contacts!$I$3="(All)",$X166=Contacts!$I$3),OR(Contacts!$K$3="",ISNUMBER(SEARCH(Contacts!$K$3,$B166&amp;" "&amp;$C166&amp;" "&amp;$D166&amp;" "&amp;$S166)))),1,0))</f>
        <v>1</v>
      </c>
      <c r="AA166" s="47" t="n">
        <f aca="false">IF($Z166=1,COUNTIFS(c_Pass,1,c_Sort,"&lt;="&amp;$Y166),"")</f>
        <v>165</v>
      </c>
      <c r="AB166" s="47" t="str">
        <f aca="false">IF(OR($G166&lt;&gt;"Yes",NOT(ISNUMBER($H166))),"",COUNTIFS(c_Met,"Yes",c_Date,"&lt;"&amp;$H166)+COUNTIFS($G$2:$G166,"Yes",$H$2:$H166,$H166))</f>
        <v/>
      </c>
    </row>
    <row r="167" customFormat="false" ht="15" hidden="false" customHeight="false" outlineLevel="0" collapsed="false">
      <c r="A167" s="44" t="n">
        <f aca="false">IF($B167="","",COUNTA($B$2:$B167))</f>
        <v>166</v>
      </c>
      <c r="B167" s="11" t="s">
        <v>482</v>
      </c>
      <c r="C167" s="11" t="s">
        <v>483</v>
      </c>
      <c r="D167" s="11" t="s">
        <v>28</v>
      </c>
      <c r="E167" s="11" t="s">
        <v>193</v>
      </c>
      <c r="F167" s="11" t="s">
        <v>68</v>
      </c>
      <c r="G167" s="34" t="s">
        <v>132</v>
      </c>
      <c r="H167" s="25"/>
      <c r="I167" s="40" t="n">
        <v>0</v>
      </c>
      <c r="J167" s="34" t="s">
        <v>132</v>
      </c>
      <c r="K167" s="45"/>
      <c r="L167" s="34"/>
      <c r="M167" s="34"/>
      <c r="N167" s="11" t="s">
        <v>133</v>
      </c>
      <c r="O167" s="11" t="s">
        <v>133</v>
      </c>
      <c r="P167" s="11" t="s">
        <v>133</v>
      </c>
      <c r="Q167" s="11" t="s">
        <v>133</v>
      </c>
      <c r="R167" s="11" t="s">
        <v>133</v>
      </c>
      <c r="S167" s="46" t="s">
        <v>484</v>
      </c>
      <c r="T167" s="44" t="n">
        <f aca="false">IF($B167="","",COUNTA($N167:$R167)-COUNTIF($N167:$R167,"Not Invited"))</f>
        <v>0</v>
      </c>
      <c r="U167" s="44" t="n">
        <f aca="false">IF($B167="","",COUNTIF($N167:$R167,"Attended"))</f>
        <v>0</v>
      </c>
      <c r="V167" s="47" t="str">
        <f aca="false">IF($B167="","",_xlfn.TEXTJOIN(", ",TRUE(),IF($N167="Attended",Setup!$D$15,""),IF($O167="Attended",Setup!$D$16,""),IF($P167="Attended",Setup!$D$17,""),IF($Q167="Attended",Setup!$D$18,""),IF($R167="Attended",Setup!$D$19,"")))</f>
        <v/>
      </c>
      <c r="W167" s="48" t="str">
        <f aca="true">IF(OR($B167="",NOT(ISNUMBER($H167))),"",TODAY()-$H167)</f>
        <v/>
      </c>
      <c r="X167" s="47" t="str">
        <f aca="false">IF($B167="","",IF($U167&gt;0,"Event attendee",IF($G167="Yes","Met (no event)",IF($T167&gt;0,"Invited only",IF(OR($L167="Yes",$M167="Yes"),"Contacted only","Not yet contacted")))))</f>
        <v>Not yet contacted</v>
      </c>
      <c r="Y167" s="47" t="n">
        <f aca="false">IF($B167="","",COUNTIF(c_Firm,"&lt;"&amp;$D167)+COUNTIFS(c_Firm,$D167,c_Name,"&lt;"&amp;$B167)+COUNTIFS($D$2:$D167,$D167,$B$2:$B167,$B167))</f>
        <v>166</v>
      </c>
      <c r="Z167" s="47" t="n">
        <f aca="false">IF($B167="","",IF(AND(OR(Contacts!$C$3="(All)",$D167=Contacts!$C$3),OR(Contacts!$E$3="(All)",$G167=Contacts!$E$3),OR(Contacts!$G$3="(All)",ISNUMBER(SEARCH(Contacts!$G$3,$V167))),OR(Contacts!$I$3="(All)",$X167=Contacts!$I$3),OR(Contacts!$K$3="",ISNUMBER(SEARCH(Contacts!$K$3,$B167&amp;" "&amp;$C167&amp;" "&amp;$D167&amp;" "&amp;$S167)))),1,0))</f>
        <v>1</v>
      </c>
      <c r="AA167" s="47" t="n">
        <f aca="false">IF($Z167=1,COUNTIFS(c_Pass,1,c_Sort,"&lt;="&amp;$Y167),"")</f>
        <v>166</v>
      </c>
      <c r="AB167" s="47" t="str">
        <f aca="false">IF(OR($G167&lt;&gt;"Yes",NOT(ISNUMBER($H167))),"",COUNTIFS(c_Met,"Yes",c_Date,"&lt;"&amp;$H167)+COUNTIFS($G$2:$G167,"Yes",$H$2:$H167,$H167))</f>
        <v/>
      </c>
    </row>
    <row r="168" customFormat="false" ht="15" hidden="false" customHeight="false" outlineLevel="0" collapsed="false">
      <c r="A168" s="44" t="n">
        <f aca="false">IF($B168="","",COUNTA($B$2:$B168))</f>
        <v>167</v>
      </c>
      <c r="B168" s="11" t="s">
        <v>485</v>
      </c>
      <c r="C168" s="11" t="s">
        <v>486</v>
      </c>
      <c r="D168" s="11" t="s">
        <v>28</v>
      </c>
      <c r="E168" s="11" t="s">
        <v>193</v>
      </c>
      <c r="F168" s="11" t="s">
        <v>68</v>
      </c>
      <c r="G168" s="34" t="s">
        <v>132</v>
      </c>
      <c r="H168" s="25"/>
      <c r="I168" s="40" t="n">
        <v>0</v>
      </c>
      <c r="J168" s="34" t="s">
        <v>132</v>
      </c>
      <c r="K168" s="45"/>
      <c r="L168" s="34"/>
      <c r="M168" s="34"/>
      <c r="N168" s="11" t="s">
        <v>133</v>
      </c>
      <c r="O168" s="11" t="s">
        <v>133</v>
      </c>
      <c r="P168" s="11" t="s">
        <v>133</v>
      </c>
      <c r="Q168" s="11" t="s">
        <v>133</v>
      </c>
      <c r="R168" s="11" t="s">
        <v>133</v>
      </c>
      <c r="S168" s="46" t="s">
        <v>487</v>
      </c>
      <c r="T168" s="44" t="n">
        <f aca="false">IF($B168="","",COUNTA($N168:$R168)-COUNTIF($N168:$R168,"Not Invited"))</f>
        <v>0</v>
      </c>
      <c r="U168" s="44" t="n">
        <f aca="false">IF($B168="","",COUNTIF($N168:$R168,"Attended"))</f>
        <v>0</v>
      </c>
      <c r="V168" s="47" t="str">
        <f aca="false">IF($B168="","",_xlfn.TEXTJOIN(", ",TRUE(),IF($N168="Attended",Setup!$D$15,""),IF($O168="Attended",Setup!$D$16,""),IF($P168="Attended",Setup!$D$17,""),IF($Q168="Attended",Setup!$D$18,""),IF($R168="Attended",Setup!$D$19,"")))</f>
        <v/>
      </c>
      <c r="W168" s="48" t="str">
        <f aca="true">IF(OR($B168="",NOT(ISNUMBER($H168))),"",TODAY()-$H168)</f>
        <v/>
      </c>
      <c r="X168" s="47" t="str">
        <f aca="false">IF($B168="","",IF($U168&gt;0,"Event attendee",IF($G168="Yes","Met (no event)",IF($T168&gt;0,"Invited only",IF(OR($L168="Yes",$M168="Yes"),"Contacted only","Not yet contacted")))))</f>
        <v>Not yet contacted</v>
      </c>
      <c r="Y168" s="47" t="n">
        <f aca="false">IF($B168="","",COUNTIF(c_Firm,"&lt;"&amp;$D168)+COUNTIFS(c_Firm,$D168,c_Name,"&lt;"&amp;$B168)+COUNTIFS($D$2:$D168,$D168,$B$2:$B168,$B168))</f>
        <v>167</v>
      </c>
      <c r="Z168" s="47" t="n">
        <f aca="false">IF($B168="","",IF(AND(OR(Contacts!$C$3="(All)",$D168=Contacts!$C$3),OR(Contacts!$E$3="(All)",$G168=Contacts!$E$3),OR(Contacts!$G$3="(All)",ISNUMBER(SEARCH(Contacts!$G$3,$V168))),OR(Contacts!$I$3="(All)",$X168=Contacts!$I$3),OR(Contacts!$K$3="",ISNUMBER(SEARCH(Contacts!$K$3,$B168&amp;" "&amp;$C168&amp;" "&amp;$D168&amp;" "&amp;$S168)))),1,0))</f>
        <v>1</v>
      </c>
      <c r="AA168" s="47" t="n">
        <f aca="false">IF($Z168=1,COUNTIFS(c_Pass,1,c_Sort,"&lt;="&amp;$Y168),"")</f>
        <v>167</v>
      </c>
      <c r="AB168" s="47" t="str">
        <f aca="false">IF(OR($G168&lt;&gt;"Yes",NOT(ISNUMBER($H168))),"",COUNTIFS(c_Met,"Yes",c_Date,"&lt;"&amp;$H168)+COUNTIFS($G$2:$G168,"Yes",$H$2:$H168,$H168))</f>
        <v/>
      </c>
    </row>
    <row r="169" customFormat="false" ht="15" hidden="false" customHeight="false" outlineLevel="0" collapsed="false">
      <c r="A169" s="44" t="n">
        <f aca="false">IF($B169="","",COUNTA($B$2:$B169))</f>
        <v>168</v>
      </c>
      <c r="B169" s="11" t="s">
        <v>488</v>
      </c>
      <c r="C169" s="11" t="s">
        <v>489</v>
      </c>
      <c r="D169" s="11" t="s">
        <v>28</v>
      </c>
      <c r="E169" s="11" t="s">
        <v>193</v>
      </c>
      <c r="F169" s="11" t="s">
        <v>68</v>
      </c>
      <c r="G169" s="34" t="s">
        <v>132</v>
      </c>
      <c r="H169" s="25"/>
      <c r="I169" s="40" t="n">
        <v>0</v>
      </c>
      <c r="J169" s="34" t="s">
        <v>132</v>
      </c>
      <c r="K169" s="45"/>
      <c r="L169" s="34"/>
      <c r="M169" s="34"/>
      <c r="N169" s="11" t="s">
        <v>133</v>
      </c>
      <c r="O169" s="11" t="s">
        <v>133</v>
      </c>
      <c r="P169" s="11" t="s">
        <v>133</v>
      </c>
      <c r="Q169" s="11" t="s">
        <v>133</v>
      </c>
      <c r="R169" s="11" t="s">
        <v>133</v>
      </c>
      <c r="S169" s="46" t="s">
        <v>490</v>
      </c>
      <c r="T169" s="44" t="n">
        <f aca="false">IF($B169="","",COUNTA($N169:$R169)-COUNTIF($N169:$R169,"Not Invited"))</f>
        <v>0</v>
      </c>
      <c r="U169" s="44" t="n">
        <f aca="false">IF($B169="","",COUNTIF($N169:$R169,"Attended"))</f>
        <v>0</v>
      </c>
      <c r="V169" s="47" t="str">
        <f aca="false">IF($B169="","",_xlfn.TEXTJOIN(", ",TRUE(),IF($N169="Attended",Setup!$D$15,""),IF($O169="Attended",Setup!$D$16,""),IF($P169="Attended",Setup!$D$17,""),IF($Q169="Attended",Setup!$D$18,""),IF($R169="Attended",Setup!$D$19,"")))</f>
        <v/>
      </c>
      <c r="W169" s="48" t="str">
        <f aca="true">IF(OR($B169="",NOT(ISNUMBER($H169))),"",TODAY()-$H169)</f>
        <v/>
      </c>
      <c r="X169" s="47" t="str">
        <f aca="false">IF($B169="","",IF($U169&gt;0,"Event attendee",IF($G169="Yes","Met (no event)",IF($T169&gt;0,"Invited only",IF(OR($L169="Yes",$M169="Yes"),"Contacted only","Not yet contacted")))))</f>
        <v>Not yet contacted</v>
      </c>
      <c r="Y169" s="47" t="n">
        <f aca="false">IF($B169="","",COUNTIF(c_Firm,"&lt;"&amp;$D169)+COUNTIFS(c_Firm,$D169,c_Name,"&lt;"&amp;$B169)+COUNTIFS($D$2:$D169,$D169,$B$2:$B169,$B169))</f>
        <v>168</v>
      </c>
      <c r="Z169" s="47" t="n">
        <f aca="false">IF($B169="","",IF(AND(OR(Contacts!$C$3="(All)",$D169=Contacts!$C$3),OR(Contacts!$E$3="(All)",$G169=Contacts!$E$3),OR(Contacts!$G$3="(All)",ISNUMBER(SEARCH(Contacts!$G$3,$V169))),OR(Contacts!$I$3="(All)",$X169=Contacts!$I$3),OR(Contacts!$K$3="",ISNUMBER(SEARCH(Contacts!$K$3,$B169&amp;" "&amp;$C169&amp;" "&amp;$D169&amp;" "&amp;$S169)))),1,0))</f>
        <v>1</v>
      </c>
      <c r="AA169" s="47" t="n">
        <f aca="false">IF($Z169=1,COUNTIFS(c_Pass,1,c_Sort,"&lt;="&amp;$Y169),"")</f>
        <v>168</v>
      </c>
      <c r="AB169" s="47" t="str">
        <f aca="false">IF(OR($G169&lt;&gt;"Yes",NOT(ISNUMBER($H169))),"",COUNTIFS(c_Met,"Yes",c_Date,"&lt;"&amp;$H169)+COUNTIFS($G$2:$G169,"Yes",$H$2:$H169,$H169))</f>
        <v/>
      </c>
    </row>
    <row r="170" customFormat="false" ht="15" hidden="false" customHeight="false" outlineLevel="0" collapsed="false">
      <c r="A170" s="44" t="n">
        <f aca="false">IF($B170="","",COUNTA($B$2:$B170))</f>
        <v>169</v>
      </c>
      <c r="B170" s="11" t="s">
        <v>491</v>
      </c>
      <c r="C170" s="11" t="s">
        <v>492</v>
      </c>
      <c r="D170" s="11" t="s">
        <v>28</v>
      </c>
      <c r="E170" s="11" t="s">
        <v>193</v>
      </c>
      <c r="F170" s="11" t="s">
        <v>68</v>
      </c>
      <c r="G170" s="34" t="s">
        <v>132</v>
      </c>
      <c r="H170" s="25"/>
      <c r="I170" s="40" t="n">
        <v>0</v>
      </c>
      <c r="J170" s="34" t="s">
        <v>132</v>
      </c>
      <c r="K170" s="45"/>
      <c r="L170" s="34"/>
      <c r="M170" s="34"/>
      <c r="N170" s="11" t="s">
        <v>133</v>
      </c>
      <c r="O170" s="11" t="s">
        <v>133</v>
      </c>
      <c r="P170" s="11" t="s">
        <v>133</v>
      </c>
      <c r="Q170" s="11" t="s">
        <v>133</v>
      </c>
      <c r="R170" s="11" t="s">
        <v>133</v>
      </c>
      <c r="S170" s="46" t="s">
        <v>493</v>
      </c>
      <c r="T170" s="44" t="n">
        <f aca="false">IF($B170="","",COUNTA($N170:$R170)-COUNTIF($N170:$R170,"Not Invited"))</f>
        <v>0</v>
      </c>
      <c r="U170" s="44" t="n">
        <f aca="false">IF($B170="","",COUNTIF($N170:$R170,"Attended"))</f>
        <v>0</v>
      </c>
      <c r="V170" s="47" t="str">
        <f aca="false">IF($B170="","",_xlfn.TEXTJOIN(", ",TRUE(),IF($N170="Attended",Setup!$D$15,""),IF($O170="Attended",Setup!$D$16,""),IF($P170="Attended",Setup!$D$17,""),IF($Q170="Attended",Setup!$D$18,""),IF($R170="Attended",Setup!$D$19,"")))</f>
        <v/>
      </c>
      <c r="W170" s="48" t="str">
        <f aca="true">IF(OR($B170="",NOT(ISNUMBER($H170))),"",TODAY()-$H170)</f>
        <v/>
      </c>
      <c r="X170" s="47" t="str">
        <f aca="false">IF($B170="","",IF($U170&gt;0,"Event attendee",IF($G170="Yes","Met (no event)",IF($T170&gt;0,"Invited only",IF(OR($L170="Yes",$M170="Yes"),"Contacted only","Not yet contacted")))))</f>
        <v>Not yet contacted</v>
      </c>
      <c r="Y170" s="47" t="n">
        <f aca="false">IF($B170="","",COUNTIF(c_Firm,"&lt;"&amp;$D170)+COUNTIFS(c_Firm,$D170,c_Name,"&lt;"&amp;$B170)+COUNTIFS($D$2:$D170,$D170,$B$2:$B170,$B170))</f>
        <v>169</v>
      </c>
      <c r="Z170" s="47" t="n">
        <f aca="false">IF($B170="","",IF(AND(OR(Contacts!$C$3="(All)",$D170=Contacts!$C$3),OR(Contacts!$E$3="(All)",$G170=Contacts!$E$3),OR(Contacts!$G$3="(All)",ISNUMBER(SEARCH(Contacts!$G$3,$V170))),OR(Contacts!$I$3="(All)",$X170=Contacts!$I$3),OR(Contacts!$K$3="",ISNUMBER(SEARCH(Contacts!$K$3,$B170&amp;" "&amp;$C170&amp;" "&amp;$D170&amp;" "&amp;$S170)))),1,0))</f>
        <v>1</v>
      </c>
      <c r="AA170" s="47" t="n">
        <f aca="false">IF($Z170=1,COUNTIFS(c_Pass,1,c_Sort,"&lt;="&amp;$Y170),"")</f>
        <v>169</v>
      </c>
      <c r="AB170" s="47" t="str">
        <f aca="false">IF(OR($G170&lt;&gt;"Yes",NOT(ISNUMBER($H170))),"",COUNTIFS(c_Met,"Yes",c_Date,"&lt;"&amp;$H170)+COUNTIFS($G$2:$G170,"Yes",$H$2:$H170,$H170))</f>
        <v/>
      </c>
    </row>
    <row r="171" customFormat="false" ht="15" hidden="false" customHeight="false" outlineLevel="0" collapsed="false">
      <c r="A171" s="44" t="n">
        <f aca="false">IF($B171="","",COUNTA($B$2:$B171))</f>
        <v>170</v>
      </c>
      <c r="B171" s="11" t="s">
        <v>494</v>
      </c>
      <c r="C171" s="11" t="s">
        <v>495</v>
      </c>
      <c r="D171" s="11" t="s">
        <v>28</v>
      </c>
      <c r="E171" s="11" t="s">
        <v>193</v>
      </c>
      <c r="F171" s="11" t="s">
        <v>68</v>
      </c>
      <c r="G171" s="34" t="s">
        <v>132</v>
      </c>
      <c r="H171" s="25"/>
      <c r="I171" s="40" t="n">
        <v>0</v>
      </c>
      <c r="J171" s="34" t="s">
        <v>132</v>
      </c>
      <c r="K171" s="45"/>
      <c r="L171" s="34"/>
      <c r="M171" s="34"/>
      <c r="N171" s="11" t="s">
        <v>133</v>
      </c>
      <c r="O171" s="11" t="s">
        <v>133</v>
      </c>
      <c r="P171" s="11" t="s">
        <v>133</v>
      </c>
      <c r="Q171" s="11" t="s">
        <v>133</v>
      </c>
      <c r="R171" s="11" t="s">
        <v>133</v>
      </c>
      <c r="S171" s="46" t="s">
        <v>398</v>
      </c>
      <c r="T171" s="44" t="n">
        <f aca="false">IF($B171="","",COUNTA($N171:$R171)-COUNTIF($N171:$R171,"Not Invited"))</f>
        <v>0</v>
      </c>
      <c r="U171" s="44" t="n">
        <f aca="false">IF($B171="","",COUNTIF($N171:$R171,"Attended"))</f>
        <v>0</v>
      </c>
      <c r="V171" s="47" t="str">
        <f aca="false">IF($B171="","",_xlfn.TEXTJOIN(", ",TRUE(),IF($N171="Attended",Setup!$D$15,""),IF($O171="Attended",Setup!$D$16,""),IF($P171="Attended",Setup!$D$17,""),IF($Q171="Attended",Setup!$D$18,""),IF($R171="Attended",Setup!$D$19,"")))</f>
        <v/>
      </c>
      <c r="W171" s="48" t="str">
        <f aca="true">IF(OR($B171="",NOT(ISNUMBER($H171))),"",TODAY()-$H171)</f>
        <v/>
      </c>
      <c r="X171" s="47" t="str">
        <f aca="false">IF($B171="","",IF($U171&gt;0,"Event attendee",IF($G171="Yes","Met (no event)",IF($T171&gt;0,"Invited only",IF(OR($L171="Yes",$M171="Yes"),"Contacted only","Not yet contacted")))))</f>
        <v>Not yet contacted</v>
      </c>
      <c r="Y171" s="47" t="n">
        <f aca="false">IF($B171="","",COUNTIF(c_Firm,"&lt;"&amp;$D171)+COUNTIFS(c_Firm,$D171,c_Name,"&lt;"&amp;$B171)+COUNTIFS($D$2:$D171,$D171,$B$2:$B171,$B171))</f>
        <v>170</v>
      </c>
      <c r="Z171" s="47" t="n">
        <f aca="false">IF($B171="","",IF(AND(OR(Contacts!$C$3="(All)",$D171=Contacts!$C$3),OR(Contacts!$E$3="(All)",$G171=Contacts!$E$3),OR(Contacts!$G$3="(All)",ISNUMBER(SEARCH(Contacts!$G$3,$V171))),OR(Contacts!$I$3="(All)",$X171=Contacts!$I$3),OR(Contacts!$K$3="",ISNUMBER(SEARCH(Contacts!$K$3,$B171&amp;" "&amp;$C171&amp;" "&amp;$D171&amp;" "&amp;$S171)))),1,0))</f>
        <v>1</v>
      </c>
      <c r="AA171" s="47" t="n">
        <f aca="false">IF($Z171=1,COUNTIFS(c_Pass,1,c_Sort,"&lt;="&amp;$Y171),"")</f>
        <v>170</v>
      </c>
      <c r="AB171" s="47" t="str">
        <f aca="false">IF(OR($G171&lt;&gt;"Yes",NOT(ISNUMBER($H171))),"",COUNTIFS(c_Met,"Yes",c_Date,"&lt;"&amp;$H171)+COUNTIFS($G$2:$G171,"Yes",$H$2:$H171,$H171))</f>
        <v/>
      </c>
    </row>
    <row r="172" customFormat="false" ht="15" hidden="false" customHeight="false" outlineLevel="0" collapsed="false">
      <c r="A172" s="44" t="n">
        <f aca="false">IF($B172="","",COUNTA($B$2:$B172))</f>
        <v>171</v>
      </c>
      <c r="B172" s="11" t="s">
        <v>496</v>
      </c>
      <c r="C172" s="11" t="s">
        <v>497</v>
      </c>
      <c r="D172" s="11" t="s">
        <v>28</v>
      </c>
      <c r="E172" s="11" t="s">
        <v>193</v>
      </c>
      <c r="F172" s="11" t="s">
        <v>68</v>
      </c>
      <c r="G172" s="34" t="s">
        <v>132</v>
      </c>
      <c r="H172" s="25"/>
      <c r="I172" s="40" t="n">
        <v>0</v>
      </c>
      <c r="J172" s="34" t="s">
        <v>132</v>
      </c>
      <c r="K172" s="45"/>
      <c r="L172" s="34"/>
      <c r="M172" s="34"/>
      <c r="N172" s="11" t="s">
        <v>133</v>
      </c>
      <c r="O172" s="11" t="s">
        <v>133</v>
      </c>
      <c r="P172" s="11" t="s">
        <v>133</v>
      </c>
      <c r="Q172" s="11" t="s">
        <v>133</v>
      </c>
      <c r="R172" s="11" t="s">
        <v>133</v>
      </c>
      <c r="S172" s="46" t="s">
        <v>498</v>
      </c>
      <c r="T172" s="44" t="n">
        <f aca="false">IF($B172="","",COUNTA($N172:$R172)-COUNTIF($N172:$R172,"Not Invited"))</f>
        <v>0</v>
      </c>
      <c r="U172" s="44" t="n">
        <f aca="false">IF($B172="","",COUNTIF($N172:$R172,"Attended"))</f>
        <v>0</v>
      </c>
      <c r="V172" s="47" t="str">
        <f aca="false">IF($B172="","",_xlfn.TEXTJOIN(", ",TRUE(),IF($N172="Attended",Setup!$D$15,""),IF($O172="Attended",Setup!$D$16,""),IF($P172="Attended",Setup!$D$17,""),IF($Q172="Attended",Setup!$D$18,""),IF($R172="Attended",Setup!$D$19,"")))</f>
        <v/>
      </c>
      <c r="W172" s="48" t="str">
        <f aca="true">IF(OR($B172="",NOT(ISNUMBER($H172))),"",TODAY()-$H172)</f>
        <v/>
      </c>
      <c r="X172" s="47" t="str">
        <f aca="false">IF($B172="","",IF($U172&gt;0,"Event attendee",IF($G172="Yes","Met (no event)",IF($T172&gt;0,"Invited only",IF(OR($L172="Yes",$M172="Yes"),"Contacted only","Not yet contacted")))))</f>
        <v>Not yet contacted</v>
      </c>
      <c r="Y172" s="47" t="n">
        <f aca="false">IF($B172="","",COUNTIF(c_Firm,"&lt;"&amp;$D172)+COUNTIFS(c_Firm,$D172,c_Name,"&lt;"&amp;$B172)+COUNTIFS($D$2:$D172,$D172,$B$2:$B172,$B172))</f>
        <v>171</v>
      </c>
      <c r="Z172" s="47" t="n">
        <f aca="false">IF($B172="","",IF(AND(OR(Contacts!$C$3="(All)",$D172=Contacts!$C$3),OR(Contacts!$E$3="(All)",$G172=Contacts!$E$3),OR(Contacts!$G$3="(All)",ISNUMBER(SEARCH(Contacts!$G$3,$V172))),OR(Contacts!$I$3="(All)",$X172=Contacts!$I$3),OR(Contacts!$K$3="",ISNUMBER(SEARCH(Contacts!$K$3,$B172&amp;" "&amp;$C172&amp;" "&amp;$D172&amp;" "&amp;$S172)))),1,0))</f>
        <v>1</v>
      </c>
      <c r="AA172" s="47" t="n">
        <f aca="false">IF($Z172=1,COUNTIFS(c_Pass,1,c_Sort,"&lt;="&amp;$Y172),"")</f>
        <v>171</v>
      </c>
      <c r="AB172" s="47" t="str">
        <f aca="false">IF(OR($G172&lt;&gt;"Yes",NOT(ISNUMBER($H172))),"",COUNTIFS(c_Met,"Yes",c_Date,"&lt;"&amp;$H172)+COUNTIFS($G$2:$G172,"Yes",$H$2:$H172,$H172))</f>
        <v/>
      </c>
    </row>
    <row r="173" customFormat="false" ht="15" hidden="false" customHeight="false" outlineLevel="0" collapsed="false">
      <c r="A173" s="44" t="n">
        <f aca="false">IF($B173="","",COUNTA($B$2:$B173))</f>
        <v>172</v>
      </c>
      <c r="B173" s="11" t="s">
        <v>499</v>
      </c>
      <c r="C173" s="11"/>
      <c r="D173" s="11" t="s">
        <v>44</v>
      </c>
      <c r="E173" s="11" t="s">
        <v>131</v>
      </c>
      <c r="F173" s="11" t="s">
        <v>72</v>
      </c>
      <c r="G173" s="34" t="s">
        <v>132</v>
      </c>
      <c r="H173" s="25"/>
      <c r="I173" s="40" t="n">
        <v>0</v>
      </c>
      <c r="J173" s="34" t="s">
        <v>132</v>
      </c>
      <c r="K173" s="45"/>
      <c r="L173" s="34"/>
      <c r="M173" s="34"/>
      <c r="N173" s="11" t="s">
        <v>133</v>
      </c>
      <c r="O173" s="11" t="s">
        <v>133</v>
      </c>
      <c r="P173" s="11" t="s">
        <v>133</v>
      </c>
      <c r="Q173" s="11" t="s">
        <v>133</v>
      </c>
      <c r="R173" s="11" t="s">
        <v>133</v>
      </c>
      <c r="S173" s="46" t="s">
        <v>293</v>
      </c>
      <c r="T173" s="44" t="n">
        <f aca="false">IF($B173="","",COUNTA($N173:$R173)-COUNTIF($N173:$R173,"Not Invited"))</f>
        <v>0</v>
      </c>
      <c r="U173" s="44" t="n">
        <f aca="false">IF($B173="","",COUNTIF($N173:$R173,"Attended"))</f>
        <v>0</v>
      </c>
      <c r="V173" s="47" t="str">
        <f aca="false">IF($B173="","",_xlfn.TEXTJOIN(", ",TRUE(),IF($N173="Attended",Setup!$D$15,""),IF($O173="Attended",Setup!$D$16,""),IF($P173="Attended",Setup!$D$17,""),IF($Q173="Attended",Setup!$D$18,""),IF($R173="Attended",Setup!$D$19,"")))</f>
        <v/>
      </c>
      <c r="W173" s="48" t="str">
        <f aca="true">IF(OR($B173="",NOT(ISNUMBER($H173))),"",TODAY()-$H173)</f>
        <v/>
      </c>
      <c r="X173" s="47" t="str">
        <f aca="false">IF($B173="","",IF($U173&gt;0,"Event attendee",IF($G173="Yes","Met (no event)",IF($T173&gt;0,"Invited only",IF(OR($L173="Yes",$M173="Yes"),"Contacted only","Not yet contacted")))))</f>
        <v>Not yet contacted</v>
      </c>
      <c r="Y173" s="47" t="n">
        <f aca="false">IF($B173="","",COUNTIF(c_Firm,"&lt;"&amp;$D173)+COUNTIFS(c_Firm,$D173,c_Name,"&lt;"&amp;$B173)+COUNTIFS($D$2:$D173,$D173,$B$2:$B173,$B173))</f>
        <v>172</v>
      </c>
      <c r="Z173" s="47" t="n">
        <f aca="false">IF($B173="","",IF(AND(OR(Contacts!$C$3="(All)",$D173=Contacts!$C$3),OR(Contacts!$E$3="(All)",$G173=Contacts!$E$3),OR(Contacts!$G$3="(All)",ISNUMBER(SEARCH(Contacts!$G$3,$V173))),OR(Contacts!$I$3="(All)",$X173=Contacts!$I$3),OR(Contacts!$K$3="",ISNUMBER(SEARCH(Contacts!$K$3,$B173&amp;" "&amp;$C173&amp;" "&amp;$D173&amp;" "&amp;$S173)))),1,0))</f>
        <v>1</v>
      </c>
      <c r="AA173" s="47" t="n">
        <f aca="false">IF($Z173=1,COUNTIFS(c_Pass,1,c_Sort,"&lt;="&amp;$Y173),"")</f>
        <v>172</v>
      </c>
      <c r="AB173" s="47" t="str">
        <f aca="false">IF(OR($G173&lt;&gt;"Yes",NOT(ISNUMBER($H173))),"",COUNTIFS(c_Met,"Yes",c_Date,"&lt;"&amp;$H173)+COUNTIFS($G$2:$G173,"Yes",$H$2:$H173,$H173))</f>
        <v/>
      </c>
    </row>
    <row r="174" customFormat="false" ht="15" hidden="false" customHeight="false" outlineLevel="0" collapsed="false">
      <c r="A174" s="44" t="n">
        <f aca="false">IF($B174="","",COUNTA($B$2:$B174))</f>
        <v>173</v>
      </c>
      <c r="B174" s="11" t="s">
        <v>500</v>
      </c>
      <c r="C174" s="11" t="s">
        <v>501</v>
      </c>
      <c r="D174" s="11" t="s">
        <v>45</v>
      </c>
      <c r="E174" s="11" t="s">
        <v>131</v>
      </c>
      <c r="F174" s="11" t="s">
        <v>141</v>
      </c>
      <c r="G174" s="34" t="s">
        <v>142</v>
      </c>
      <c r="H174" s="25" t="n">
        <v>46134</v>
      </c>
      <c r="I174" s="40" t="n">
        <v>1</v>
      </c>
      <c r="J174" s="34" t="s">
        <v>132</v>
      </c>
      <c r="K174" s="45"/>
      <c r="L174" s="34"/>
      <c r="M174" s="34"/>
      <c r="N174" s="11" t="s">
        <v>143</v>
      </c>
      <c r="O174" s="11" t="s">
        <v>143</v>
      </c>
      <c r="P174" s="11" t="s">
        <v>133</v>
      </c>
      <c r="Q174" s="11" t="s">
        <v>133</v>
      </c>
      <c r="R174" s="11" t="s">
        <v>133</v>
      </c>
      <c r="S174" s="46" t="s">
        <v>502</v>
      </c>
      <c r="T174" s="44" t="n">
        <f aca="false">IF($B174="","",COUNTA($N174:$R174)-COUNTIF($N174:$R174,"Not Invited"))</f>
        <v>2</v>
      </c>
      <c r="U174" s="44" t="n">
        <f aca="false">IF($B174="","",COUNTIF($N174:$R174,"Attended"))</f>
        <v>0</v>
      </c>
      <c r="V174" s="47" t="str">
        <f aca="false">IF($B174="","",_xlfn.TEXTJOIN(", ",TRUE(),IF($N174="Attended",Setup!$D$15,""),IF($O174="Attended",Setup!$D$16,""),IF($P174="Attended",Setup!$D$17,""),IF($Q174="Attended",Setup!$D$18,""),IF($R174="Attended",Setup!$D$19,"")))</f>
        <v/>
      </c>
      <c r="W174" s="48" t="n">
        <f aca="true">IF(OR($B174="",NOT(ISNUMBER($H174))),"",TODAY()-$H174)</f>
        <v>107</v>
      </c>
      <c r="X174" s="47" t="str">
        <f aca="false">IF($B174="","",IF($U174&gt;0,"Event attendee",IF($G174="Yes","Met (no event)",IF($T174&gt;0,"Invited only",IF(OR($L174="Yes",$M174="Yes"),"Contacted only","Not yet contacted")))))</f>
        <v>Met (no event)</v>
      </c>
      <c r="Y174" s="47" t="n">
        <f aca="false">IF($B174="","",COUNTIF(c_Firm,"&lt;"&amp;$D174)+COUNTIFS(c_Firm,$D174,c_Name,"&lt;"&amp;$B174)+COUNTIFS($D$2:$D174,$D174,$B$2:$B174,$B174))</f>
        <v>173</v>
      </c>
      <c r="Z174" s="47" t="n">
        <f aca="false">IF($B174="","",IF(AND(OR(Contacts!$C$3="(All)",$D174=Contacts!$C$3),OR(Contacts!$E$3="(All)",$G174=Contacts!$E$3),OR(Contacts!$G$3="(All)",ISNUMBER(SEARCH(Contacts!$G$3,$V174))),OR(Contacts!$I$3="(All)",$X174=Contacts!$I$3),OR(Contacts!$K$3="",ISNUMBER(SEARCH(Contacts!$K$3,$B174&amp;" "&amp;$C174&amp;" "&amp;$D174&amp;" "&amp;$S174)))),1,0))</f>
        <v>1</v>
      </c>
      <c r="AA174" s="47" t="n">
        <f aca="false">IF($Z174=1,COUNTIFS(c_Pass,1,c_Sort,"&lt;="&amp;$Y174),"")</f>
        <v>173</v>
      </c>
      <c r="AB174" s="47" t="n">
        <f aca="false">IF(OR($G174&lt;&gt;"Yes",NOT(ISNUMBER($H174))),"",COUNTIFS(c_Met,"Yes",c_Date,"&lt;"&amp;$H174)+COUNTIFS($G$2:$G174,"Yes",$H$2:$H174,$H174))</f>
        <v>51</v>
      </c>
    </row>
    <row r="175" customFormat="false" ht="15" hidden="false" customHeight="false" outlineLevel="0" collapsed="false">
      <c r="A175" s="44" t="n">
        <f aca="false">IF($B175="","",COUNTA($B$2:$B175))</f>
        <v>174</v>
      </c>
      <c r="B175" s="11" t="s">
        <v>503</v>
      </c>
      <c r="C175" s="11" t="s">
        <v>504</v>
      </c>
      <c r="D175" s="11" t="s">
        <v>46</v>
      </c>
      <c r="E175" s="11" t="s">
        <v>131</v>
      </c>
      <c r="F175" s="11" t="s">
        <v>66</v>
      </c>
      <c r="G175" s="34" t="s">
        <v>132</v>
      </c>
      <c r="H175" s="25"/>
      <c r="I175" s="40" t="n">
        <v>0</v>
      </c>
      <c r="J175" s="34" t="s">
        <v>132</v>
      </c>
      <c r="K175" s="45"/>
      <c r="L175" s="34"/>
      <c r="M175" s="34"/>
      <c r="N175" s="11" t="s">
        <v>133</v>
      </c>
      <c r="O175" s="11" t="s">
        <v>134</v>
      </c>
      <c r="P175" s="11" t="s">
        <v>133</v>
      </c>
      <c r="Q175" s="11" t="s">
        <v>133</v>
      </c>
      <c r="R175" s="11" t="s">
        <v>133</v>
      </c>
      <c r="S175" s="46"/>
      <c r="T175" s="44" t="n">
        <f aca="false">IF($B175="","",COUNTA($N175:$R175)-COUNTIF($N175:$R175,"Not Invited"))</f>
        <v>1</v>
      </c>
      <c r="U175" s="44" t="n">
        <f aca="false">IF($B175="","",COUNTIF($N175:$R175,"Attended"))</f>
        <v>0</v>
      </c>
      <c r="V175" s="47" t="str">
        <f aca="false">IF($B175="","",_xlfn.TEXTJOIN(", ",TRUE(),IF($N175="Attended",Setup!$D$15,""),IF($O175="Attended",Setup!$D$16,""),IF($P175="Attended",Setup!$D$17,""),IF($Q175="Attended",Setup!$D$18,""),IF($R175="Attended",Setup!$D$19,"")))</f>
        <v/>
      </c>
      <c r="W175" s="48" t="str">
        <f aca="true">IF(OR($B175="",NOT(ISNUMBER($H175))),"",TODAY()-$H175)</f>
        <v/>
      </c>
      <c r="X175" s="47" t="str">
        <f aca="false">IF($B175="","",IF($U175&gt;0,"Event attendee",IF($G175="Yes","Met (no event)",IF($T175&gt;0,"Invited only",IF(OR($L175="Yes",$M175="Yes"),"Contacted only","Not yet contacted")))))</f>
        <v>Invited only</v>
      </c>
      <c r="Y175" s="47" t="n">
        <f aca="false">IF($B175="","",COUNTIF(c_Firm,"&lt;"&amp;$D175)+COUNTIFS(c_Firm,$D175,c_Name,"&lt;"&amp;$B175)+COUNTIFS($D$2:$D175,$D175,$B$2:$B175,$B175))</f>
        <v>174</v>
      </c>
      <c r="Z175" s="47" t="n">
        <f aca="false">IF($B175="","",IF(AND(OR(Contacts!$C$3="(All)",$D175=Contacts!$C$3),OR(Contacts!$E$3="(All)",$G175=Contacts!$E$3),OR(Contacts!$G$3="(All)",ISNUMBER(SEARCH(Contacts!$G$3,$V175))),OR(Contacts!$I$3="(All)",$X175=Contacts!$I$3),OR(Contacts!$K$3="",ISNUMBER(SEARCH(Contacts!$K$3,$B175&amp;" "&amp;$C175&amp;" "&amp;$D175&amp;" "&amp;$S175)))),1,0))</f>
        <v>1</v>
      </c>
      <c r="AA175" s="47" t="n">
        <f aca="false">IF($Z175=1,COUNTIFS(c_Pass,1,c_Sort,"&lt;="&amp;$Y175),"")</f>
        <v>174</v>
      </c>
      <c r="AB175" s="47" t="str">
        <f aca="false">IF(OR($G175&lt;&gt;"Yes",NOT(ISNUMBER($H175))),"",COUNTIFS(c_Met,"Yes",c_Date,"&lt;"&amp;$H175)+COUNTIFS($G$2:$G175,"Yes",$H$2:$H175,$H175))</f>
        <v/>
      </c>
    </row>
    <row r="176" customFormat="false" ht="15" hidden="false" customHeight="false" outlineLevel="0" collapsed="false">
      <c r="A176" s="44" t="n">
        <f aca="false">IF($B176="","",COUNTA($B$2:$B176))</f>
        <v>175</v>
      </c>
      <c r="B176" s="11" t="s">
        <v>505</v>
      </c>
      <c r="C176" s="11" t="s">
        <v>506</v>
      </c>
      <c r="D176" s="11" t="s">
        <v>32</v>
      </c>
      <c r="E176" s="11" t="s">
        <v>131</v>
      </c>
      <c r="F176" s="11" t="s">
        <v>66</v>
      </c>
      <c r="G176" s="34" t="s">
        <v>132</v>
      </c>
      <c r="H176" s="25"/>
      <c r="I176" s="40" t="n">
        <v>0</v>
      </c>
      <c r="J176" s="34" t="s">
        <v>132</v>
      </c>
      <c r="K176" s="45"/>
      <c r="L176" s="34"/>
      <c r="M176" s="34"/>
      <c r="N176" s="11" t="s">
        <v>133</v>
      </c>
      <c r="O176" s="11" t="s">
        <v>134</v>
      </c>
      <c r="P176" s="11" t="s">
        <v>133</v>
      </c>
      <c r="Q176" s="11" t="s">
        <v>133</v>
      </c>
      <c r="R176" s="11" t="s">
        <v>133</v>
      </c>
      <c r="S176" s="46"/>
      <c r="T176" s="44" t="n">
        <f aca="false">IF($B176="","",COUNTA($N176:$R176)-COUNTIF($N176:$R176,"Not Invited"))</f>
        <v>1</v>
      </c>
      <c r="U176" s="44" t="n">
        <f aca="false">IF($B176="","",COUNTIF($N176:$R176,"Attended"))</f>
        <v>0</v>
      </c>
      <c r="V176" s="47" t="str">
        <f aca="false">IF($B176="","",_xlfn.TEXTJOIN(", ",TRUE(),IF($N176="Attended",Setup!$D$15,""),IF($O176="Attended",Setup!$D$16,""),IF($P176="Attended",Setup!$D$17,""),IF($Q176="Attended",Setup!$D$18,""),IF($R176="Attended",Setup!$D$19,"")))</f>
        <v/>
      </c>
      <c r="W176" s="48" t="str">
        <f aca="true">IF(OR($B176="",NOT(ISNUMBER($H176))),"",TODAY()-$H176)</f>
        <v/>
      </c>
      <c r="X176" s="47" t="str">
        <f aca="false">IF($B176="","",IF($U176&gt;0,"Event attendee",IF($G176="Yes","Met (no event)",IF($T176&gt;0,"Invited only",IF(OR($L176="Yes",$M176="Yes"),"Contacted only","Not yet contacted")))))</f>
        <v>Invited only</v>
      </c>
      <c r="Y176" s="47" t="n">
        <f aca="false">IF($B176="","",COUNTIF(c_Firm,"&lt;"&amp;$D176)+COUNTIFS(c_Firm,$D176,c_Name,"&lt;"&amp;$B176)+COUNTIFS($D$2:$D176,$D176,$B$2:$B176,$B176))</f>
        <v>175</v>
      </c>
      <c r="Z176" s="47" t="n">
        <f aca="false">IF($B176="","",IF(AND(OR(Contacts!$C$3="(All)",$D176=Contacts!$C$3),OR(Contacts!$E$3="(All)",$G176=Contacts!$E$3),OR(Contacts!$G$3="(All)",ISNUMBER(SEARCH(Contacts!$G$3,$V176))),OR(Contacts!$I$3="(All)",$X176=Contacts!$I$3),OR(Contacts!$K$3="",ISNUMBER(SEARCH(Contacts!$K$3,$B176&amp;" "&amp;$C176&amp;" "&amp;$D176&amp;" "&amp;$S176)))),1,0))</f>
        <v>1</v>
      </c>
      <c r="AA176" s="47" t="n">
        <f aca="false">IF($Z176=1,COUNTIFS(c_Pass,1,c_Sort,"&lt;="&amp;$Y176),"")</f>
        <v>175</v>
      </c>
      <c r="AB176" s="47" t="str">
        <f aca="false">IF(OR($G176&lt;&gt;"Yes",NOT(ISNUMBER($H176))),"",COUNTIFS(c_Met,"Yes",c_Date,"&lt;"&amp;$H176)+COUNTIFS($G$2:$G176,"Yes",$H$2:$H176,$H176))</f>
        <v/>
      </c>
    </row>
    <row r="177" customFormat="false" ht="15" hidden="false" customHeight="false" outlineLevel="0" collapsed="false">
      <c r="A177" s="44" t="n">
        <f aca="false">IF($B177="","",COUNTA($B$2:$B177))</f>
        <v>176</v>
      </c>
      <c r="B177" s="11" t="s">
        <v>507</v>
      </c>
      <c r="C177" s="11" t="s">
        <v>508</v>
      </c>
      <c r="D177" s="11" t="s">
        <v>32</v>
      </c>
      <c r="E177" s="11" t="s">
        <v>131</v>
      </c>
      <c r="F177" s="11" t="s">
        <v>141</v>
      </c>
      <c r="G177" s="34" t="s">
        <v>142</v>
      </c>
      <c r="H177" s="25" t="n">
        <v>45922</v>
      </c>
      <c r="I177" s="40" t="n">
        <v>1</v>
      </c>
      <c r="J177" s="34" t="s">
        <v>132</v>
      </c>
      <c r="K177" s="45"/>
      <c r="L177" s="34"/>
      <c r="M177" s="34"/>
      <c r="N177" s="11" t="s">
        <v>57</v>
      </c>
      <c r="O177" s="11" t="s">
        <v>57</v>
      </c>
      <c r="P177" s="11" t="s">
        <v>133</v>
      </c>
      <c r="Q177" s="11" t="s">
        <v>133</v>
      </c>
      <c r="R177" s="11" t="s">
        <v>133</v>
      </c>
      <c r="S177" s="46" t="s">
        <v>296</v>
      </c>
      <c r="T177" s="44" t="n">
        <f aca="false">IF($B177="","",COUNTA($N177:$R177)-COUNTIF($N177:$R177,"Not Invited"))</f>
        <v>2</v>
      </c>
      <c r="U177" s="44" t="n">
        <f aca="false">IF($B177="","",COUNTIF($N177:$R177,"Attended"))</f>
        <v>0</v>
      </c>
      <c r="V177" s="47" t="str">
        <f aca="false">IF($B177="","",_xlfn.TEXTJOIN(", ",TRUE(),IF($N177="Attended",Setup!$D$15,""),IF($O177="Attended",Setup!$D$16,""),IF($P177="Attended",Setup!$D$17,""),IF($Q177="Attended",Setup!$D$18,""),IF($R177="Attended",Setup!$D$19,"")))</f>
        <v/>
      </c>
      <c r="W177" s="48" t="n">
        <f aca="true">IF(OR($B177="",NOT(ISNUMBER($H177))),"",TODAY()-$H177)</f>
        <v>319</v>
      </c>
      <c r="X177" s="47" t="str">
        <f aca="false">IF($B177="","",IF($U177&gt;0,"Event attendee",IF($G177="Yes","Met (no event)",IF($T177&gt;0,"Invited only",IF(OR($L177="Yes",$M177="Yes"),"Contacted only","Not yet contacted")))))</f>
        <v>Met (no event)</v>
      </c>
      <c r="Y177" s="47" t="n">
        <f aca="false">IF($B177="","",COUNTIF(c_Firm,"&lt;"&amp;$D177)+COUNTIFS(c_Firm,$D177,c_Name,"&lt;"&amp;$B177)+COUNTIFS($D$2:$D177,$D177,$B$2:$B177,$B177))</f>
        <v>176</v>
      </c>
      <c r="Z177" s="47" t="n">
        <f aca="false">IF($B177="","",IF(AND(OR(Contacts!$C$3="(All)",$D177=Contacts!$C$3),OR(Contacts!$E$3="(All)",$G177=Contacts!$E$3),OR(Contacts!$G$3="(All)",ISNUMBER(SEARCH(Contacts!$G$3,$V177))),OR(Contacts!$I$3="(All)",$X177=Contacts!$I$3),OR(Contacts!$K$3="",ISNUMBER(SEARCH(Contacts!$K$3,$B177&amp;" "&amp;$C177&amp;" "&amp;$D177&amp;" "&amp;$S177)))),1,0))</f>
        <v>1</v>
      </c>
      <c r="AA177" s="47" t="n">
        <f aca="false">IF($Z177=1,COUNTIFS(c_Pass,1,c_Sort,"&lt;="&amp;$Y177),"")</f>
        <v>176</v>
      </c>
      <c r="AB177" s="47" t="n">
        <f aca="false">IF(OR($G177&lt;&gt;"Yes",NOT(ISNUMBER($H177))),"",COUNTIFS(c_Met,"Yes",c_Date,"&lt;"&amp;$H177)+COUNTIFS($G$2:$G177,"Yes",$H$2:$H177,$H177))</f>
        <v>17</v>
      </c>
    </row>
    <row r="178" customFormat="false" ht="15" hidden="false" customHeight="false" outlineLevel="0" collapsed="false">
      <c r="A178" s="44" t="n">
        <f aca="false">IF($B178="","",COUNTA($B$2:$B178))</f>
        <v>177</v>
      </c>
      <c r="B178" s="11" t="s">
        <v>509</v>
      </c>
      <c r="C178" s="11" t="s">
        <v>510</v>
      </c>
      <c r="D178" s="11" t="s">
        <v>32</v>
      </c>
      <c r="E178" s="11" t="s">
        <v>131</v>
      </c>
      <c r="F178" s="11" t="s">
        <v>289</v>
      </c>
      <c r="G178" s="34" t="s">
        <v>132</v>
      </c>
      <c r="H178" s="25"/>
      <c r="I178" s="40" t="n">
        <v>0</v>
      </c>
      <c r="J178" s="34" t="s">
        <v>132</v>
      </c>
      <c r="K178" s="45"/>
      <c r="L178" s="34"/>
      <c r="M178" s="34" t="s">
        <v>142</v>
      </c>
      <c r="N178" s="11" t="s">
        <v>143</v>
      </c>
      <c r="O178" s="11" t="s">
        <v>55</v>
      </c>
      <c r="P178" s="11" t="s">
        <v>133</v>
      </c>
      <c r="Q178" s="11" t="s">
        <v>133</v>
      </c>
      <c r="R178" s="11" t="s">
        <v>133</v>
      </c>
      <c r="S178" s="46" t="s">
        <v>511</v>
      </c>
      <c r="T178" s="44" t="n">
        <f aca="false">IF($B178="","",COUNTA($N178:$R178)-COUNTIF($N178:$R178,"Not Invited"))</f>
        <v>2</v>
      </c>
      <c r="U178" s="44" t="n">
        <f aca="false">IF($B178="","",COUNTIF($N178:$R178,"Attended"))</f>
        <v>1</v>
      </c>
      <c r="V178" s="47" t="str">
        <f aca="false">IF($B178="","",_xlfn.TEXTJOIN(", ",TRUE(),IF($N178="Attended",Setup!$D$15,""),IF($O178="Attended",Setup!$D$16,""),IF($P178="Attended",Setup!$D$17,""),IF($Q178="Attended",Setup!$D$18,""),IF($R178="Attended",Setup!$D$19,"")))</f>
        <v>May-26 Symposium</v>
      </c>
      <c r="W178" s="48" t="str">
        <f aca="true">IF(OR($B178="",NOT(ISNUMBER($H178))),"",TODAY()-$H178)</f>
        <v/>
      </c>
      <c r="X178" s="47" t="str">
        <f aca="false">IF($B178="","",IF($U178&gt;0,"Event attendee",IF($G178="Yes","Met (no event)",IF($T178&gt;0,"Invited only",IF(OR($L178="Yes",$M178="Yes"),"Contacted only","Not yet contacted")))))</f>
        <v>Event attendee</v>
      </c>
      <c r="Y178" s="47" t="n">
        <f aca="false">IF($B178="","",COUNTIF(c_Firm,"&lt;"&amp;$D178)+COUNTIFS(c_Firm,$D178,c_Name,"&lt;"&amp;$B178)+COUNTIFS($D$2:$D178,$D178,$B$2:$B178,$B178))</f>
        <v>177</v>
      </c>
      <c r="Z178" s="47" t="n">
        <f aca="false">IF($B178="","",IF(AND(OR(Contacts!$C$3="(All)",$D178=Contacts!$C$3),OR(Contacts!$E$3="(All)",$G178=Contacts!$E$3),OR(Contacts!$G$3="(All)",ISNUMBER(SEARCH(Contacts!$G$3,$V178))),OR(Contacts!$I$3="(All)",$X178=Contacts!$I$3),OR(Contacts!$K$3="",ISNUMBER(SEARCH(Contacts!$K$3,$B178&amp;" "&amp;$C178&amp;" "&amp;$D178&amp;" "&amp;$S178)))),1,0))</f>
        <v>1</v>
      </c>
      <c r="AA178" s="47" t="n">
        <f aca="false">IF($Z178=1,COUNTIFS(c_Pass,1,c_Sort,"&lt;="&amp;$Y178),"")</f>
        <v>177</v>
      </c>
      <c r="AB178" s="47" t="str">
        <f aca="false">IF(OR($G178&lt;&gt;"Yes",NOT(ISNUMBER($H178))),"",COUNTIFS(c_Met,"Yes",c_Date,"&lt;"&amp;$H178)+COUNTIFS($G$2:$G178,"Yes",$H$2:$H178,$H178))</f>
        <v/>
      </c>
    </row>
    <row r="179" customFormat="false" ht="15" hidden="false" customHeight="false" outlineLevel="0" collapsed="false">
      <c r="A179" s="44" t="n">
        <f aca="false">IF($B179="","",COUNTA($B$2:$B179))</f>
        <v>178</v>
      </c>
      <c r="B179" s="11" t="s">
        <v>512</v>
      </c>
      <c r="C179" s="11" t="s">
        <v>513</v>
      </c>
      <c r="D179" s="11" t="s">
        <v>32</v>
      </c>
      <c r="E179" s="11" t="s">
        <v>131</v>
      </c>
      <c r="F179" s="11" t="s">
        <v>141</v>
      </c>
      <c r="G179" s="34" t="s">
        <v>142</v>
      </c>
      <c r="H179" s="25" t="n">
        <v>45912</v>
      </c>
      <c r="I179" s="40" t="n">
        <v>1</v>
      </c>
      <c r="J179" s="34" t="s">
        <v>132</v>
      </c>
      <c r="K179" s="45" t="n">
        <v>30000000</v>
      </c>
      <c r="L179" s="34"/>
      <c r="M179" s="34"/>
      <c r="N179" s="11" t="s">
        <v>57</v>
      </c>
      <c r="O179" s="11" t="s">
        <v>55</v>
      </c>
      <c r="P179" s="11" t="s">
        <v>133</v>
      </c>
      <c r="Q179" s="11" t="s">
        <v>133</v>
      </c>
      <c r="R179" s="11" t="s">
        <v>133</v>
      </c>
      <c r="S179" s="46"/>
      <c r="T179" s="44" t="n">
        <f aca="false">IF($B179="","",COUNTA($N179:$R179)-COUNTIF($N179:$R179,"Not Invited"))</f>
        <v>2</v>
      </c>
      <c r="U179" s="44" t="n">
        <f aca="false">IF($B179="","",COUNTIF($N179:$R179,"Attended"))</f>
        <v>1</v>
      </c>
      <c r="V179" s="47" t="str">
        <f aca="false">IF($B179="","",_xlfn.TEXTJOIN(", ",TRUE(),IF($N179="Attended",Setup!$D$15,""),IF($O179="Attended",Setup!$D$16,""),IF($P179="Attended",Setup!$D$17,""),IF($Q179="Attended",Setup!$D$18,""),IF($R179="Attended",Setup!$D$19,"")))</f>
        <v>May-26 Symposium</v>
      </c>
      <c r="W179" s="48" t="n">
        <f aca="true">IF(OR($B179="",NOT(ISNUMBER($H179))),"",TODAY()-$H179)</f>
        <v>329</v>
      </c>
      <c r="X179" s="47" t="str">
        <f aca="false">IF($B179="","",IF($U179&gt;0,"Event attendee",IF($G179="Yes","Met (no event)",IF($T179&gt;0,"Invited only",IF(OR($L179="Yes",$M179="Yes"),"Contacted only","Not yet contacted")))))</f>
        <v>Event attendee</v>
      </c>
      <c r="Y179" s="47" t="n">
        <f aca="false">IF($B179="","",COUNTIF(c_Firm,"&lt;"&amp;$D179)+COUNTIFS(c_Firm,$D179,c_Name,"&lt;"&amp;$B179)+COUNTIFS($D$2:$D179,$D179,$B$2:$B179,$B179))</f>
        <v>178</v>
      </c>
      <c r="Z179" s="47" t="n">
        <f aca="false">IF($B179="","",IF(AND(OR(Contacts!$C$3="(All)",$D179=Contacts!$C$3),OR(Contacts!$E$3="(All)",$G179=Contacts!$E$3),OR(Contacts!$G$3="(All)",ISNUMBER(SEARCH(Contacts!$G$3,$V179))),OR(Contacts!$I$3="(All)",$X179=Contacts!$I$3),OR(Contacts!$K$3="",ISNUMBER(SEARCH(Contacts!$K$3,$B179&amp;" "&amp;$C179&amp;" "&amp;$D179&amp;" "&amp;$S179)))),1,0))</f>
        <v>1</v>
      </c>
      <c r="AA179" s="47" t="n">
        <f aca="false">IF($Z179=1,COUNTIFS(c_Pass,1,c_Sort,"&lt;="&amp;$Y179),"")</f>
        <v>178</v>
      </c>
      <c r="AB179" s="47" t="n">
        <f aca="false">IF(OR($G179&lt;&gt;"Yes",NOT(ISNUMBER($H179))),"",COUNTIFS(c_Met,"Yes",c_Date,"&lt;"&amp;$H179)+COUNTIFS($G$2:$G179,"Yes",$H$2:$H179,$H179))</f>
        <v>13</v>
      </c>
    </row>
    <row r="180" customFormat="false" ht="15" hidden="false" customHeight="false" outlineLevel="0" collapsed="false">
      <c r="A180" s="44" t="n">
        <f aca="false">IF($B180="","",COUNTA($B$2:$B180))</f>
        <v>179</v>
      </c>
      <c r="B180" s="11" t="s">
        <v>514</v>
      </c>
      <c r="C180" s="11" t="s">
        <v>515</v>
      </c>
      <c r="D180" s="11" t="s">
        <v>32</v>
      </c>
      <c r="E180" s="11" t="s">
        <v>193</v>
      </c>
      <c r="F180" s="11" t="s">
        <v>68</v>
      </c>
      <c r="G180" s="34" t="s">
        <v>132</v>
      </c>
      <c r="H180" s="25"/>
      <c r="I180" s="40" t="n">
        <v>0</v>
      </c>
      <c r="J180" s="34" t="s">
        <v>132</v>
      </c>
      <c r="K180" s="45"/>
      <c r="L180" s="34"/>
      <c r="M180" s="34" t="s">
        <v>132</v>
      </c>
      <c r="N180" s="11" t="s">
        <v>133</v>
      </c>
      <c r="O180" s="11" t="s">
        <v>133</v>
      </c>
      <c r="P180" s="11" t="s">
        <v>133</v>
      </c>
      <c r="Q180" s="11" t="s">
        <v>133</v>
      </c>
      <c r="R180" s="11" t="s">
        <v>133</v>
      </c>
      <c r="S180" s="46" t="s">
        <v>516</v>
      </c>
      <c r="T180" s="44" t="n">
        <f aca="false">IF($B180="","",COUNTA($N180:$R180)-COUNTIF($N180:$R180,"Not Invited"))</f>
        <v>0</v>
      </c>
      <c r="U180" s="44" t="n">
        <f aca="false">IF($B180="","",COUNTIF($N180:$R180,"Attended"))</f>
        <v>0</v>
      </c>
      <c r="V180" s="47" t="str">
        <f aca="false">IF($B180="","",_xlfn.TEXTJOIN(", ",TRUE(),IF($N180="Attended",Setup!$D$15,""),IF($O180="Attended",Setup!$D$16,""),IF($P180="Attended",Setup!$D$17,""),IF($Q180="Attended",Setup!$D$18,""),IF($R180="Attended",Setup!$D$19,"")))</f>
        <v/>
      </c>
      <c r="W180" s="48" t="str">
        <f aca="true">IF(OR($B180="",NOT(ISNUMBER($H180))),"",TODAY()-$H180)</f>
        <v/>
      </c>
      <c r="X180" s="47" t="str">
        <f aca="false">IF($B180="","",IF($U180&gt;0,"Event attendee",IF($G180="Yes","Met (no event)",IF($T180&gt;0,"Invited only",IF(OR($L180="Yes",$M180="Yes"),"Contacted only","Not yet contacted")))))</f>
        <v>Not yet contacted</v>
      </c>
      <c r="Y180" s="47" t="n">
        <f aca="false">IF($B180="","",COUNTIF(c_Firm,"&lt;"&amp;$D180)+COUNTIFS(c_Firm,$D180,c_Name,"&lt;"&amp;$B180)+COUNTIFS($D$2:$D180,$D180,$B$2:$B180,$B180))</f>
        <v>179</v>
      </c>
      <c r="Z180" s="47" t="n">
        <f aca="false">IF($B180="","",IF(AND(OR(Contacts!$C$3="(All)",$D180=Contacts!$C$3),OR(Contacts!$E$3="(All)",$G180=Contacts!$E$3),OR(Contacts!$G$3="(All)",ISNUMBER(SEARCH(Contacts!$G$3,$V180))),OR(Contacts!$I$3="(All)",$X180=Contacts!$I$3),OR(Contacts!$K$3="",ISNUMBER(SEARCH(Contacts!$K$3,$B180&amp;" "&amp;$C180&amp;" "&amp;$D180&amp;" "&amp;$S180)))),1,0))</f>
        <v>1</v>
      </c>
      <c r="AA180" s="47" t="n">
        <f aca="false">IF($Z180=1,COUNTIFS(c_Pass,1,c_Sort,"&lt;="&amp;$Y180),"")</f>
        <v>179</v>
      </c>
      <c r="AB180" s="47" t="str">
        <f aca="false">IF(OR($G180&lt;&gt;"Yes",NOT(ISNUMBER($H180))),"",COUNTIFS(c_Met,"Yes",c_Date,"&lt;"&amp;$H180)+COUNTIFS($G$2:$G180,"Yes",$H$2:$H180,$H180))</f>
        <v/>
      </c>
    </row>
    <row r="181" customFormat="false" ht="15" hidden="false" customHeight="false" outlineLevel="0" collapsed="false">
      <c r="A181" s="44" t="n">
        <f aca="false">IF($B181="","",COUNTA($B$2:$B181))</f>
        <v>180</v>
      </c>
      <c r="B181" s="11" t="s">
        <v>517</v>
      </c>
      <c r="C181" s="11" t="s">
        <v>518</v>
      </c>
      <c r="D181" s="11" t="s">
        <v>32</v>
      </c>
      <c r="E181" s="11" t="s">
        <v>131</v>
      </c>
      <c r="F181" s="11" t="s">
        <v>66</v>
      </c>
      <c r="G181" s="34" t="s">
        <v>132</v>
      </c>
      <c r="H181" s="25"/>
      <c r="I181" s="40" t="n">
        <v>0</v>
      </c>
      <c r="J181" s="34" t="s">
        <v>132</v>
      </c>
      <c r="K181" s="45"/>
      <c r="L181" s="34"/>
      <c r="M181" s="34"/>
      <c r="N181" s="11" t="s">
        <v>133</v>
      </c>
      <c r="O181" s="11" t="s">
        <v>55</v>
      </c>
      <c r="P181" s="11" t="s">
        <v>133</v>
      </c>
      <c r="Q181" s="11" t="s">
        <v>133</v>
      </c>
      <c r="R181" s="11" t="s">
        <v>133</v>
      </c>
      <c r="S181" s="46"/>
      <c r="T181" s="44" t="n">
        <f aca="false">IF($B181="","",COUNTA($N181:$R181)-COUNTIF($N181:$R181,"Not Invited"))</f>
        <v>1</v>
      </c>
      <c r="U181" s="44" t="n">
        <f aca="false">IF($B181="","",COUNTIF($N181:$R181,"Attended"))</f>
        <v>1</v>
      </c>
      <c r="V181" s="47" t="str">
        <f aca="false">IF($B181="","",_xlfn.TEXTJOIN(", ",TRUE(),IF($N181="Attended",Setup!$D$15,""),IF($O181="Attended",Setup!$D$16,""),IF($P181="Attended",Setup!$D$17,""),IF($Q181="Attended",Setup!$D$18,""),IF($R181="Attended",Setup!$D$19,"")))</f>
        <v>May-26 Symposium</v>
      </c>
      <c r="W181" s="48" t="str">
        <f aca="true">IF(OR($B181="",NOT(ISNUMBER($H181))),"",TODAY()-$H181)</f>
        <v/>
      </c>
      <c r="X181" s="47" t="str">
        <f aca="false">IF($B181="","",IF($U181&gt;0,"Event attendee",IF($G181="Yes","Met (no event)",IF($T181&gt;0,"Invited only",IF(OR($L181="Yes",$M181="Yes"),"Contacted only","Not yet contacted")))))</f>
        <v>Event attendee</v>
      </c>
      <c r="Y181" s="47" t="n">
        <f aca="false">IF($B181="","",COUNTIF(c_Firm,"&lt;"&amp;$D181)+COUNTIFS(c_Firm,$D181,c_Name,"&lt;"&amp;$B181)+COUNTIFS($D$2:$D181,$D181,$B$2:$B181,$B181))</f>
        <v>180</v>
      </c>
      <c r="Z181" s="47" t="n">
        <f aca="false">IF($B181="","",IF(AND(OR(Contacts!$C$3="(All)",$D181=Contacts!$C$3),OR(Contacts!$E$3="(All)",$G181=Contacts!$E$3),OR(Contacts!$G$3="(All)",ISNUMBER(SEARCH(Contacts!$G$3,$V181))),OR(Contacts!$I$3="(All)",$X181=Contacts!$I$3),OR(Contacts!$K$3="",ISNUMBER(SEARCH(Contacts!$K$3,$B181&amp;" "&amp;$C181&amp;" "&amp;$D181&amp;" "&amp;$S181)))),1,0))</f>
        <v>1</v>
      </c>
      <c r="AA181" s="47" t="n">
        <f aca="false">IF($Z181=1,COUNTIFS(c_Pass,1,c_Sort,"&lt;="&amp;$Y181),"")</f>
        <v>180</v>
      </c>
      <c r="AB181" s="47" t="str">
        <f aca="false">IF(OR($G181&lt;&gt;"Yes",NOT(ISNUMBER($H181))),"",COUNTIFS(c_Met,"Yes",c_Date,"&lt;"&amp;$H181)+COUNTIFS($G$2:$G181,"Yes",$H$2:$H181,$H181))</f>
        <v/>
      </c>
    </row>
    <row r="182" customFormat="false" ht="15" hidden="false" customHeight="false" outlineLevel="0" collapsed="false">
      <c r="A182" s="44" t="n">
        <f aca="false">IF($B182="","",COUNTA($B$2:$B182))</f>
        <v>181</v>
      </c>
      <c r="B182" s="11" t="s">
        <v>519</v>
      </c>
      <c r="C182" s="11" t="s">
        <v>520</v>
      </c>
      <c r="D182" s="11" t="s">
        <v>32</v>
      </c>
      <c r="E182" s="11" t="s">
        <v>131</v>
      </c>
      <c r="F182" s="11" t="s">
        <v>66</v>
      </c>
      <c r="G182" s="34" t="s">
        <v>132</v>
      </c>
      <c r="H182" s="25"/>
      <c r="I182" s="40" t="n">
        <v>0</v>
      </c>
      <c r="J182" s="34" t="s">
        <v>132</v>
      </c>
      <c r="K182" s="45"/>
      <c r="L182" s="34"/>
      <c r="M182" s="34"/>
      <c r="N182" s="11" t="s">
        <v>133</v>
      </c>
      <c r="O182" s="11" t="s">
        <v>55</v>
      </c>
      <c r="P182" s="11" t="s">
        <v>133</v>
      </c>
      <c r="Q182" s="11" t="s">
        <v>133</v>
      </c>
      <c r="R182" s="11" t="s">
        <v>133</v>
      </c>
      <c r="S182" s="46"/>
      <c r="T182" s="44" t="n">
        <f aca="false">IF($B182="","",COUNTA($N182:$R182)-COUNTIF($N182:$R182,"Not Invited"))</f>
        <v>1</v>
      </c>
      <c r="U182" s="44" t="n">
        <f aca="false">IF($B182="","",COUNTIF($N182:$R182,"Attended"))</f>
        <v>1</v>
      </c>
      <c r="V182" s="47" t="str">
        <f aca="false">IF($B182="","",_xlfn.TEXTJOIN(", ",TRUE(),IF($N182="Attended",Setup!$D$15,""),IF($O182="Attended",Setup!$D$16,""),IF($P182="Attended",Setup!$D$17,""),IF($Q182="Attended",Setup!$D$18,""),IF($R182="Attended",Setup!$D$19,"")))</f>
        <v>May-26 Symposium</v>
      </c>
      <c r="W182" s="48" t="str">
        <f aca="true">IF(OR($B182="",NOT(ISNUMBER($H182))),"",TODAY()-$H182)</f>
        <v/>
      </c>
      <c r="X182" s="47" t="str">
        <f aca="false">IF($B182="","",IF($U182&gt;0,"Event attendee",IF($G182="Yes","Met (no event)",IF($T182&gt;0,"Invited only",IF(OR($L182="Yes",$M182="Yes"),"Contacted only","Not yet contacted")))))</f>
        <v>Event attendee</v>
      </c>
      <c r="Y182" s="47" t="n">
        <f aca="false">IF($B182="","",COUNTIF(c_Firm,"&lt;"&amp;$D182)+COUNTIFS(c_Firm,$D182,c_Name,"&lt;"&amp;$B182)+COUNTIFS($D$2:$D182,$D182,$B$2:$B182,$B182))</f>
        <v>181</v>
      </c>
      <c r="Z182" s="47" t="n">
        <f aca="false">IF($B182="","",IF(AND(OR(Contacts!$C$3="(All)",$D182=Contacts!$C$3),OR(Contacts!$E$3="(All)",$G182=Contacts!$E$3),OR(Contacts!$G$3="(All)",ISNUMBER(SEARCH(Contacts!$G$3,$V182))),OR(Contacts!$I$3="(All)",$X182=Contacts!$I$3),OR(Contacts!$K$3="",ISNUMBER(SEARCH(Contacts!$K$3,$B182&amp;" "&amp;$C182&amp;" "&amp;$D182&amp;" "&amp;$S182)))),1,0))</f>
        <v>1</v>
      </c>
      <c r="AA182" s="47" t="n">
        <f aca="false">IF($Z182=1,COUNTIFS(c_Pass,1,c_Sort,"&lt;="&amp;$Y182),"")</f>
        <v>181</v>
      </c>
      <c r="AB182" s="47" t="str">
        <f aca="false">IF(OR($G182&lt;&gt;"Yes",NOT(ISNUMBER($H182))),"",COUNTIFS(c_Met,"Yes",c_Date,"&lt;"&amp;$H182)+COUNTIFS($G$2:$G182,"Yes",$H$2:$H182,$H182))</f>
        <v/>
      </c>
    </row>
    <row r="183" customFormat="false" ht="15" hidden="false" customHeight="false" outlineLevel="0" collapsed="false">
      <c r="A183" s="44" t="n">
        <f aca="false">IF($B183="","",COUNTA($B$2:$B183))</f>
        <v>182</v>
      </c>
      <c r="B183" s="11" t="s">
        <v>521</v>
      </c>
      <c r="C183" s="11" t="s">
        <v>522</v>
      </c>
      <c r="D183" s="11" t="s">
        <v>32</v>
      </c>
      <c r="E183" s="11" t="s">
        <v>193</v>
      </c>
      <c r="F183" s="11" t="s">
        <v>68</v>
      </c>
      <c r="G183" s="34" t="s">
        <v>132</v>
      </c>
      <c r="H183" s="25"/>
      <c r="I183" s="40" t="n">
        <v>0</v>
      </c>
      <c r="J183" s="34" t="s">
        <v>132</v>
      </c>
      <c r="K183" s="45"/>
      <c r="L183" s="34"/>
      <c r="M183" s="34" t="s">
        <v>142</v>
      </c>
      <c r="N183" s="11" t="s">
        <v>133</v>
      </c>
      <c r="O183" s="11" t="s">
        <v>133</v>
      </c>
      <c r="P183" s="11" t="s">
        <v>133</v>
      </c>
      <c r="Q183" s="11" t="s">
        <v>133</v>
      </c>
      <c r="R183" s="11" t="s">
        <v>133</v>
      </c>
      <c r="S183" s="46" t="s">
        <v>523</v>
      </c>
      <c r="T183" s="44" t="n">
        <f aca="false">IF($B183="","",COUNTA($N183:$R183)-COUNTIF($N183:$R183,"Not Invited"))</f>
        <v>0</v>
      </c>
      <c r="U183" s="44" t="n">
        <f aca="false">IF($B183="","",COUNTIF($N183:$R183,"Attended"))</f>
        <v>0</v>
      </c>
      <c r="V183" s="47" t="str">
        <f aca="false">IF($B183="","",_xlfn.TEXTJOIN(", ",TRUE(),IF($N183="Attended",Setup!$D$15,""),IF($O183="Attended",Setup!$D$16,""),IF($P183="Attended",Setup!$D$17,""),IF($Q183="Attended",Setup!$D$18,""),IF($R183="Attended",Setup!$D$19,"")))</f>
        <v/>
      </c>
      <c r="W183" s="48" t="str">
        <f aca="true">IF(OR($B183="",NOT(ISNUMBER($H183))),"",TODAY()-$H183)</f>
        <v/>
      </c>
      <c r="X183" s="47" t="str">
        <f aca="false">IF($B183="","",IF($U183&gt;0,"Event attendee",IF($G183="Yes","Met (no event)",IF($T183&gt;0,"Invited only",IF(OR($L183="Yes",$M183="Yes"),"Contacted only","Not yet contacted")))))</f>
        <v>Contacted only</v>
      </c>
      <c r="Y183" s="47" t="n">
        <f aca="false">IF($B183="","",COUNTIF(c_Firm,"&lt;"&amp;$D183)+COUNTIFS(c_Firm,$D183,c_Name,"&lt;"&amp;$B183)+COUNTIFS($D$2:$D183,$D183,$B$2:$B183,$B183))</f>
        <v>182</v>
      </c>
      <c r="Z183" s="47" t="n">
        <f aca="false">IF($B183="","",IF(AND(OR(Contacts!$C$3="(All)",$D183=Contacts!$C$3),OR(Contacts!$E$3="(All)",$G183=Contacts!$E$3),OR(Contacts!$G$3="(All)",ISNUMBER(SEARCH(Contacts!$G$3,$V183))),OR(Contacts!$I$3="(All)",$X183=Contacts!$I$3),OR(Contacts!$K$3="",ISNUMBER(SEARCH(Contacts!$K$3,$B183&amp;" "&amp;$C183&amp;" "&amp;$D183&amp;" "&amp;$S183)))),1,0))</f>
        <v>1</v>
      </c>
      <c r="AA183" s="47" t="n">
        <f aca="false">IF($Z183=1,COUNTIFS(c_Pass,1,c_Sort,"&lt;="&amp;$Y183),"")</f>
        <v>182</v>
      </c>
      <c r="AB183" s="47" t="str">
        <f aca="false">IF(OR($G183&lt;&gt;"Yes",NOT(ISNUMBER($H183))),"",COUNTIFS(c_Met,"Yes",c_Date,"&lt;"&amp;$H183)+COUNTIFS($G$2:$G183,"Yes",$H$2:$H183,$H183))</f>
        <v/>
      </c>
    </row>
    <row r="184" customFormat="false" ht="15" hidden="false" customHeight="false" outlineLevel="0" collapsed="false">
      <c r="A184" s="44" t="n">
        <f aca="false">IF($B184="","",COUNTA($B$2:$B184))</f>
        <v>183</v>
      </c>
      <c r="B184" s="11" t="s">
        <v>524</v>
      </c>
      <c r="C184" s="11" t="s">
        <v>525</v>
      </c>
      <c r="D184" s="11" t="s">
        <v>32</v>
      </c>
      <c r="E184" s="11" t="s">
        <v>131</v>
      </c>
      <c r="F184" s="11" t="s">
        <v>141</v>
      </c>
      <c r="G184" s="34" t="s">
        <v>142</v>
      </c>
      <c r="H184" s="25" t="n">
        <v>45988</v>
      </c>
      <c r="I184" s="40" t="n">
        <v>1</v>
      </c>
      <c r="J184" s="34" t="s">
        <v>132</v>
      </c>
      <c r="K184" s="45"/>
      <c r="L184" s="34"/>
      <c r="M184" s="34"/>
      <c r="N184" s="11" t="s">
        <v>57</v>
      </c>
      <c r="O184" s="11" t="s">
        <v>133</v>
      </c>
      <c r="P184" s="11" t="s">
        <v>133</v>
      </c>
      <c r="Q184" s="11" t="s">
        <v>133</v>
      </c>
      <c r="R184" s="11" t="s">
        <v>133</v>
      </c>
      <c r="S184" s="46" t="s">
        <v>526</v>
      </c>
      <c r="T184" s="44" t="n">
        <f aca="false">IF($B184="","",COUNTA($N184:$R184)-COUNTIF($N184:$R184,"Not Invited"))</f>
        <v>1</v>
      </c>
      <c r="U184" s="44" t="n">
        <f aca="false">IF($B184="","",COUNTIF($N184:$R184,"Attended"))</f>
        <v>0</v>
      </c>
      <c r="V184" s="47" t="str">
        <f aca="false">IF($B184="","",_xlfn.TEXTJOIN(", ",TRUE(),IF($N184="Attended",Setup!$D$15,""),IF($O184="Attended",Setup!$D$16,""),IF($P184="Attended",Setup!$D$17,""),IF($Q184="Attended",Setup!$D$18,""),IF($R184="Attended",Setup!$D$19,"")))</f>
        <v/>
      </c>
      <c r="W184" s="48" t="n">
        <f aca="true">IF(OR($B184="",NOT(ISNUMBER($H184))),"",TODAY()-$H184)</f>
        <v>253</v>
      </c>
      <c r="X184" s="47" t="str">
        <f aca="false">IF($B184="","",IF($U184&gt;0,"Event attendee",IF($G184="Yes","Met (no event)",IF($T184&gt;0,"Invited only",IF(OR($L184="Yes",$M184="Yes"),"Contacted only","Not yet contacted")))))</f>
        <v>Met (no event)</v>
      </c>
      <c r="Y184" s="47" t="n">
        <f aca="false">IF($B184="","",COUNTIF(c_Firm,"&lt;"&amp;$D184)+COUNTIFS(c_Firm,$D184,c_Name,"&lt;"&amp;$B184)+COUNTIFS($D$2:$D184,$D184,$B$2:$B184,$B184))</f>
        <v>183</v>
      </c>
      <c r="Z184" s="47" t="n">
        <f aca="false">IF($B184="","",IF(AND(OR(Contacts!$C$3="(All)",$D184=Contacts!$C$3),OR(Contacts!$E$3="(All)",$G184=Contacts!$E$3),OR(Contacts!$G$3="(All)",ISNUMBER(SEARCH(Contacts!$G$3,$V184))),OR(Contacts!$I$3="(All)",$X184=Contacts!$I$3),OR(Contacts!$K$3="",ISNUMBER(SEARCH(Contacts!$K$3,$B184&amp;" "&amp;$C184&amp;" "&amp;$D184&amp;" "&amp;$S184)))),1,0))</f>
        <v>1</v>
      </c>
      <c r="AA184" s="47" t="n">
        <f aca="false">IF($Z184=1,COUNTIFS(c_Pass,1,c_Sort,"&lt;="&amp;$Y184),"")</f>
        <v>183</v>
      </c>
      <c r="AB184" s="47" t="n">
        <f aca="false">IF(OR($G184&lt;&gt;"Yes",NOT(ISNUMBER($H184))),"",COUNTIFS(c_Met,"Yes",c_Date,"&lt;"&amp;$H184)+COUNTIFS($G$2:$G184,"Yes",$H$2:$H184,$H184))</f>
        <v>33</v>
      </c>
    </row>
    <row r="185" customFormat="false" ht="15" hidden="false" customHeight="false" outlineLevel="0" collapsed="false">
      <c r="A185" s="44" t="n">
        <f aca="false">IF($B185="","",COUNTA($B$2:$B185))</f>
        <v>184</v>
      </c>
      <c r="B185" s="11" t="s">
        <v>527</v>
      </c>
      <c r="C185" s="11"/>
      <c r="D185" s="11" t="s">
        <v>32</v>
      </c>
      <c r="E185" s="11" t="s">
        <v>131</v>
      </c>
      <c r="F185" s="11" t="s">
        <v>72</v>
      </c>
      <c r="G185" s="34" t="s">
        <v>132</v>
      </c>
      <c r="H185" s="25"/>
      <c r="I185" s="40" t="n">
        <v>0</v>
      </c>
      <c r="J185" s="34" t="s">
        <v>132</v>
      </c>
      <c r="K185" s="45"/>
      <c r="L185" s="34"/>
      <c r="M185" s="34"/>
      <c r="N185" s="11" t="s">
        <v>133</v>
      </c>
      <c r="O185" s="11" t="s">
        <v>133</v>
      </c>
      <c r="P185" s="11" t="s">
        <v>133</v>
      </c>
      <c r="Q185" s="11" t="s">
        <v>133</v>
      </c>
      <c r="R185" s="11" t="s">
        <v>133</v>
      </c>
      <c r="S185" s="46" t="s">
        <v>178</v>
      </c>
      <c r="T185" s="44" t="n">
        <f aca="false">IF($B185="","",COUNTA($N185:$R185)-COUNTIF($N185:$R185,"Not Invited"))</f>
        <v>0</v>
      </c>
      <c r="U185" s="44" t="n">
        <f aca="false">IF($B185="","",COUNTIF($N185:$R185,"Attended"))</f>
        <v>0</v>
      </c>
      <c r="V185" s="47" t="str">
        <f aca="false">IF($B185="","",_xlfn.TEXTJOIN(", ",TRUE(),IF($N185="Attended",Setup!$D$15,""),IF($O185="Attended",Setup!$D$16,""),IF($P185="Attended",Setup!$D$17,""),IF($Q185="Attended",Setup!$D$18,""),IF($R185="Attended",Setup!$D$19,"")))</f>
        <v/>
      </c>
      <c r="W185" s="48" t="str">
        <f aca="true">IF(OR($B185="",NOT(ISNUMBER($H185))),"",TODAY()-$H185)</f>
        <v/>
      </c>
      <c r="X185" s="47" t="str">
        <f aca="false">IF($B185="","",IF($U185&gt;0,"Event attendee",IF($G185="Yes","Met (no event)",IF($T185&gt;0,"Invited only",IF(OR($L185="Yes",$M185="Yes"),"Contacted only","Not yet contacted")))))</f>
        <v>Not yet contacted</v>
      </c>
      <c r="Y185" s="47" t="n">
        <f aca="false">IF($B185="","",COUNTIF(c_Firm,"&lt;"&amp;$D185)+COUNTIFS(c_Firm,$D185,c_Name,"&lt;"&amp;$B185)+COUNTIFS($D$2:$D185,$D185,$B$2:$B185,$B185))</f>
        <v>184</v>
      </c>
      <c r="Z185" s="47" t="n">
        <f aca="false">IF($B185="","",IF(AND(OR(Contacts!$C$3="(All)",$D185=Contacts!$C$3),OR(Contacts!$E$3="(All)",$G185=Contacts!$E$3),OR(Contacts!$G$3="(All)",ISNUMBER(SEARCH(Contacts!$G$3,$V185))),OR(Contacts!$I$3="(All)",$X185=Contacts!$I$3),OR(Contacts!$K$3="",ISNUMBER(SEARCH(Contacts!$K$3,$B185&amp;" "&amp;$C185&amp;" "&amp;$D185&amp;" "&amp;$S185)))),1,0))</f>
        <v>1</v>
      </c>
      <c r="AA185" s="47" t="n">
        <f aca="false">IF($Z185=1,COUNTIFS(c_Pass,1,c_Sort,"&lt;="&amp;$Y185),"")</f>
        <v>184</v>
      </c>
      <c r="AB185" s="47" t="str">
        <f aca="false">IF(OR($G185&lt;&gt;"Yes",NOT(ISNUMBER($H185))),"",COUNTIFS(c_Met,"Yes",c_Date,"&lt;"&amp;$H185)+COUNTIFS($G$2:$G185,"Yes",$H$2:$H185,$H185))</f>
        <v/>
      </c>
    </row>
    <row r="186" customFormat="false" ht="15" hidden="false" customHeight="false" outlineLevel="0" collapsed="false">
      <c r="A186" s="44" t="n">
        <f aca="false">IF($B186="","",COUNTA($B$2:$B186))</f>
        <v>185</v>
      </c>
      <c r="B186" s="11" t="s">
        <v>528</v>
      </c>
      <c r="C186" s="11" t="s">
        <v>529</v>
      </c>
      <c r="D186" s="11" t="s">
        <v>32</v>
      </c>
      <c r="E186" s="11" t="s">
        <v>131</v>
      </c>
      <c r="F186" s="11" t="s">
        <v>66</v>
      </c>
      <c r="G186" s="34" t="s">
        <v>132</v>
      </c>
      <c r="H186" s="25"/>
      <c r="I186" s="40" t="n">
        <v>0</v>
      </c>
      <c r="J186" s="34" t="s">
        <v>132</v>
      </c>
      <c r="K186" s="45"/>
      <c r="L186" s="34"/>
      <c r="M186" s="34"/>
      <c r="N186" s="11" t="s">
        <v>57</v>
      </c>
      <c r="O186" s="11" t="s">
        <v>133</v>
      </c>
      <c r="P186" s="11" t="s">
        <v>54</v>
      </c>
      <c r="Q186" s="11" t="s">
        <v>133</v>
      </c>
      <c r="R186" s="11" t="s">
        <v>133</v>
      </c>
      <c r="S186" s="46"/>
      <c r="T186" s="44" t="n">
        <f aca="false">IF($B186="","",COUNTA($N186:$R186)-COUNTIF($N186:$R186,"Not Invited"))</f>
        <v>2</v>
      </c>
      <c r="U186" s="44" t="n">
        <f aca="false">IF($B186="","",COUNTIF($N186:$R186,"Attended"))</f>
        <v>0</v>
      </c>
      <c r="V186" s="47" t="str">
        <f aca="false">IF($B186="","",_xlfn.TEXTJOIN(", ",TRUE(),IF($N186="Attended",Setup!$D$15,""),IF($O186="Attended",Setup!$D$16,""),IF($P186="Attended",Setup!$D$17,""),IF($Q186="Attended",Setup!$D$18,""),IF($R186="Attended",Setup!$D$19,"")))</f>
        <v/>
      </c>
      <c r="W186" s="48" t="str">
        <f aca="true">IF(OR($B186="",NOT(ISNUMBER($H186))),"",TODAY()-$H186)</f>
        <v/>
      </c>
      <c r="X186" s="47" t="str">
        <f aca="false">IF($B186="","",IF($U186&gt;0,"Event attendee",IF($G186="Yes","Met (no event)",IF($T186&gt;0,"Invited only",IF(OR($L186="Yes",$M186="Yes"),"Contacted only","Not yet contacted")))))</f>
        <v>Invited only</v>
      </c>
      <c r="Y186" s="47" t="n">
        <f aca="false">IF($B186="","",COUNTIF(c_Firm,"&lt;"&amp;$D186)+COUNTIFS(c_Firm,$D186,c_Name,"&lt;"&amp;$B186)+COUNTIFS($D$2:$D186,$D186,$B$2:$B186,$B186))</f>
        <v>185</v>
      </c>
      <c r="Z186" s="47" t="n">
        <f aca="false">IF($B186="","",IF(AND(OR(Contacts!$C$3="(All)",$D186=Contacts!$C$3),OR(Contacts!$E$3="(All)",$G186=Contacts!$E$3),OR(Contacts!$G$3="(All)",ISNUMBER(SEARCH(Contacts!$G$3,$V186))),OR(Contacts!$I$3="(All)",$X186=Contacts!$I$3),OR(Contacts!$K$3="",ISNUMBER(SEARCH(Contacts!$K$3,$B186&amp;" "&amp;$C186&amp;" "&amp;$D186&amp;" "&amp;$S186)))),1,0))</f>
        <v>1</v>
      </c>
      <c r="AA186" s="47" t="n">
        <f aca="false">IF($Z186=1,COUNTIFS(c_Pass,1,c_Sort,"&lt;="&amp;$Y186),"")</f>
        <v>185</v>
      </c>
      <c r="AB186" s="47" t="str">
        <f aca="false">IF(OR($G186&lt;&gt;"Yes",NOT(ISNUMBER($H186))),"",COUNTIFS(c_Met,"Yes",c_Date,"&lt;"&amp;$H186)+COUNTIFS($G$2:$G186,"Yes",$H$2:$H186,$H186))</f>
        <v/>
      </c>
    </row>
    <row r="187" customFormat="false" ht="15" hidden="false" customHeight="false" outlineLevel="0" collapsed="false">
      <c r="A187" s="44" t="n">
        <f aca="false">IF($B187="","",COUNTA($B$2:$B187))</f>
        <v>186</v>
      </c>
      <c r="B187" s="11" t="s">
        <v>530</v>
      </c>
      <c r="C187" s="11" t="s">
        <v>531</v>
      </c>
      <c r="D187" s="11" t="s">
        <v>32</v>
      </c>
      <c r="E187" s="11" t="s">
        <v>131</v>
      </c>
      <c r="F187" s="11" t="s">
        <v>66</v>
      </c>
      <c r="G187" s="34" t="s">
        <v>132</v>
      </c>
      <c r="H187" s="25"/>
      <c r="I187" s="40" t="n">
        <v>0</v>
      </c>
      <c r="J187" s="34" t="s">
        <v>132</v>
      </c>
      <c r="K187" s="45"/>
      <c r="L187" s="34"/>
      <c r="M187" s="34"/>
      <c r="N187" s="11" t="s">
        <v>133</v>
      </c>
      <c r="O187" s="11" t="s">
        <v>55</v>
      </c>
      <c r="P187" s="11" t="s">
        <v>133</v>
      </c>
      <c r="Q187" s="11" t="s">
        <v>133</v>
      </c>
      <c r="R187" s="11" t="s">
        <v>133</v>
      </c>
      <c r="S187" s="46"/>
      <c r="T187" s="44" t="n">
        <f aca="false">IF($B187="","",COUNTA($N187:$R187)-COUNTIF($N187:$R187,"Not Invited"))</f>
        <v>1</v>
      </c>
      <c r="U187" s="44" t="n">
        <f aca="false">IF($B187="","",COUNTIF($N187:$R187,"Attended"))</f>
        <v>1</v>
      </c>
      <c r="V187" s="47" t="str">
        <f aca="false">IF($B187="","",_xlfn.TEXTJOIN(", ",TRUE(),IF($N187="Attended",Setup!$D$15,""),IF($O187="Attended",Setup!$D$16,""),IF($P187="Attended",Setup!$D$17,""),IF($Q187="Attended",Setup!$D$18,""),IF($R187="Attended",Setup!$D$19,"")))</f>
        <v>May-26 Symposium</v>
      </c>
      <c r="W187" s="48" t="str">
        <f aca="true">IF(OR($B187="",NOT(ISNUMBER($H187))),"",TODAY()-$H187)</f>
        <v/>
      </c>
      <c r="X187" s="47" t="str">
        <f aca="false">IF($B187="","",IF($U187&gt;0,"Event attendee",IF($G187="Yes","Met (no event)",IF($T187&gt;0,"Invited only",IF(OR($L187="Yes",$M187="Yes"),"Contacted only","Not yet contacted")))))</f>
        <v>Event attendee</v>
      </c>
      <c r="Y187" s="47" t="n">
        <f aca="false">IF($B187="","",COUNTIF(c_Firm,"&lt;"&amp;$D187)+COUNTIFS(c_Firm,$D187,c_Name,"&lt;"&amp;$B187)+COUNTIFS($D$2:$D187,$D187,$B$2:$B187,$B187))</f>
        <v>186</v>
      </c>
      <c r="Z187" s="47" t="n">
        <f aca="false">IF($B187="","",IF(AND(OR(Contacts!$C$3="(All)",$D187=Contacts!$C$3),OR(Contacts!$E$3="(All)",$G187=Contacts!$E$3),OR(Contacts!$G$3="(All)",ISNUMBER(SEARCH(Contacts!$G$3,$V187))),OR(Contacts!$I$3="(All)",$X187=Contacts!$I$3),OR(Contacts!$K$3="",ISNUMBER(SEARCH(Contacts!$K$3,$B187&amp;" "&amp;$C187&amp;" "&amp;$D187&amp;" "&amp;$S187)))),1,0))</f>
        <v>1</v>
      </c>
      <c r="AA187" s="47" t="n">
        <f aca="false">IF($Z187=1,COUNTIFS(c_Pass,1,c_Sort,"&lt;="&amp;$Y187),"")</f>
        <v>186</v>
      </c>
      <c r="AB187" s="47" t="str">
        <f aca="false">IF(OR($G187&lt;&gt;"Yes",NOT(ISNUMBER($H187))),"",COUNTIFS(c_Met,"Yes",c_Date,"&lt;"&amp;$H187)+COUNTIFS($G$2:$G187,"Yes",$H$2:$H187,$H187))</f>
        <v/>
      </c>
    </row>
    <row r="188" customFormat="false" ht="15" hidden="false" customHeight="false" outlineLevel="0" collapsed="false">
      <c r="A188" s="44" t="n">
        <f aca="false">IF($B188="","",COUNTA($B$2:$B188))</f>
        <v>187</v>
      </c>
      <c r="B188" s="11" t="s">
        <v>532</v>
      </c>
      <c r="C188" s="11" t="s">
        <v>533</v>
      </c>
      <c r="D188" s="11" t="s">
        <v>32</v>
      </c>
      <c r="E188" s="11" t="s">
        <v>131</v>
      </c>
      <c r="F188" s="11" t="s">
        <v>141</v>
      </c>
      <c r="G188" s="34" t="s">
        <v>142</v>
      </c>
      <c r="H188" s="25" t="n">
        <v>45988</v>
      </c>
      <c r="I188" s="40" t="n">
        <v>1</v>
      </c>
      <c r="J188" s="34" t="s">
        <v>132</v>
      </c>
      <c r="K188" s="45"/>
      <c r="L188" s="34"/>
      <c r="M188" s="34"/>
      <c r="N188" s="11" t="s">
        <v>57</v>
      </c>
      <c r="O188" s="11" t="s">
        <v>57</v>
      </c>
      <c r="P188" s="11" t="s">
        <v>133</v>
      </c>
      <c r="Q188" s="11" t="s">
        <v>133</v>
      </c>
      <c r="R188" s="11" t="s">
        <v>133</v>
      </c>
      <c r="S188" s="46" t="s">
        <v>296</v>
      </c>
      <c r="T188" s="44" t="n">
        <f aca="false">IF($B188="","",COUNTA($N188:$R188)-COUNTIF($N188:$R188,"Not Invited"))</f>
        <v>2</v>
      </c>
      <c r="U188" s="44" t="n">
        <f aca="false">IF($B188="","",COUNTIF($N188:$R188,"Attended"))</f>
        <v>0</v>
      </c>
      <c r="V188" s="47" t="str">
        <f aca="false">IF($B188="","",_xlfn.TEXTJOIN(", ",TRUE(),IF($N188="Attended",Setup!$D$15,""),IF($O188="Attended",Setup!$D$16,""),IF($P188="Attended",Setup!$D$17,""),IF($Q188="Attended",Setup!$D$18,""),IF($R188="Attended",Setup!$D$19,"")))</f>
        <v/>
      </c>
      <c r="W188" s="48" t="n">
        <f aca="true">IF(OR($B188="",NOT(ISNUMBER($H188))),"",TODAY()-$H188)</f>
        <v>253</v>
      </c>
      <c r="X188" s="47" t="str">
        <f aca="false">IF($B188="","",IF($U188&gt;0,"Event attendee",IF($G188="Yes","Met (no event)",IF($T188&gt;0,"Invited only",IF(OR($L188="Yes",$M188="Yes"),"Contacted only","Not yet contacted")))))</f>
        <v>Met (no event)</v>
      </c>
      <c r="Y188" s="47" t="n">
        <f aca="false">IF($B188="","",COUNTIF(c_Firm,"&lt;"&amp;$D188)+COUNTIFS(c_Firm,$D188,c_Name,"&lt;"&amp;$B188)+COUNTIFS($D$2:$D188,$D188,$B$2:$B188,$B188))</f>
        <v>187</v>
      </c>
      <c r="Z188" s="47" t="n">
        <f aca="false">IF($B188="","",IF(AND(OR(Contacts!$C$3="(All)",$D188=Contacts!$C$3),OR(Contacts!$E$3="(All)",$G188=Contacts!$E$3),OR(Contacts!$G$3="(All)",ISNUMBER(SEARCH(Contacts!$G$3,$V188))),OR(Contacts!$I$3="(All)",$X188=Contacts!$I$3),OR(Contacts!$K$3="",ISNUMBER(SEARCH(Contacts!$K$3,$B188&amp;" "&amp;$C188&amp;" "&amp;$D188&amp;" "&amp;$S188)))),1,0))</f>
        <v>1</v>
      </c>
      <c r="AA188" s="47" t="n">
        <f aca="false">IF($Z188=1,COUNTIFS(c_Pass,1,c_Sort,"&lt;="&amp;$Y188),"")</f>
        <v>187</v>
      </c>
      <c r="AB188" s="47" t="n">
        <f aca="false">IF(OR($G188&lt;&gt;"Yes",NOT(ISNUMBER($H188))),"",COUNTIFS(c_Met,"Yes",c_Date,"&lt;"&amp;$H188)+COUNTIFS($G$2:$G188,"Yes",$H$2:$H188,$H188))</f>
        <v>34</v>
      </c>
    </row>
    <row r="189" customFormat="false" ht="15" hidden="false" customHeight="false" outlineLevel="0" collapsed="false">
      <c r="A189" s="44" t="n">
        <f aca="false">IF($B189="","",COUNTA($B$2:$B189))</f>
        <v>188</v>
      </c>
      <c r="B189" s="11" t="s">
        <v>534</v>
      </c>
      <c r="C189" s="11" t="s">
        <v>535</v>
      </c>
      <c r="D189" s="11" t="s">
        <v>32</v>
      </c>
      <c r="E189" s="11" t="s">
        <v>131</v>
      </c>
      <c r="F189" s="11" t="s">
        <v>141</v>
      </c>
      <c r="G189" s="34" t="s">
        <v>132</v>
      </c>
      <c r="H189" s="25"/>
      <c r="I189" s="40" t="n">
        <v>0</v>
      </c>
      <c r="J189" s="34" t="s">
        <v>132</v>
      </c>
      <c r="K189" s="45" t="n">
        <v>7000000</v>
      </c>
      <c r="L189" s="34"/>
      <c r="M189" s="34"/>
      <c r="N189" s="11" t="s">
        <v>55</v>
      </c>
      <c r="O189" s="11" t="s">
        <v>55</v>
      </c>
      <c r="P189" s="11" t="s">
        <v>133</v>
      </c>
      <c r="Q189" s="11" t="s">
        <v>133</v>
      </c>
      <c r="R189" s="11" t="s">
        <v>133</v>
      </c>
      <c r="S189" s="46"/>
      <c r="T189" s="44" t="n">
        <f aca="false">IF($B189="","",COUNTA($N189:$R189)-COUNTIF($N189:$R189,"Not Invited"))</f>
        <v>2</v>
      </c>
      <c r="U189" s="44" t="n">
        <f aca="false">IF($B189="","",COUNTIF($N189:$R189,"Attended"))</f>
        <v>2</v>
      </c>
      <c r="V189" s="47" t="str">
        <f aca="false">IF($B189="","",_xlfn.TEXTJOIN(", ",TRUE(),IF($N189="Attended",Setup!$D$15,""),IF($O189="Attended",Setup!$D$16,""),IF($P189="Attended",Setup!$D$17,""),IF($Q189="Attended",Setup!$D$18,""),IF($R189="Attended",Setup!$D$19,"")))</f>
        <v>Oct-25 Symposium, May-26 Symposium</v>
      </c>
      <c r="W189" s="48" t="str">
        <f aca="true">IF(OR($B189="",NOT(ISNUMBER($H189))),"",TODAY()-$H189)</f>
        <v/>
      </c>
      <c r="X189" s="47" t="str">
        <f aca="false">IF($B189="","",IF($U189&gt;0,"Event attendee",IF($G189="Yes","Met (no event)",IF($T189&gt;0,"Invited only",IF(OR($L189="Yes",$M189="Yes"),"Contacted only","Not yet contacted")))))</f>
        <v>Event attendee</v>
      </c>
      <c r="Y189" s="47" t="n">
        <f aca="false">IF($B189="","",COUNTIF(c_Firm,"&lt;"&amp;$D189)+COUNTIFS(c_Firm,$D189,c_Name,"&lt;"&amp;$B189)+COUNTIFS($D$2:$D189,$D189,$B$2:$B189,$B189))</f>
        <v>188</v>
      </c>
      <c r="Z189" s="47" t="n">
        <f aca="false">IF($B189="","",IF(AND(OR(Contacts!$C$3="(All)",$D189=Contacts!$C$3),OR(Contacts!$E$3="(All)",$G189=Contacts!$E$3),OR(Contacts!$G$3="(All)",ISNUMBER(SEARCH(Contacts!$G$3,$V189))),OR(Contacts!$I$3="(All)",$X189=Contacts!$I$3),OR(Contacts!$K$3="",ISNUMBER(SEARCH(Contacts!$K$3,$B189&amp;" "&amp;$C189&amp;" "&amp;$D189&amp;" "&amp;$S189)))),1,0))</f>
        <v>1</v>
      </c>
      <c r="AA189" s="47" t="n">
        <f aca="false">IF($Z189=1,COUNTIFS(c_Pass,1,c_Sort,"&lt;="&amp;$Y189),"")</f>
        <v>188</v>
      </c>
      <c r="AB189" s="47" t="str">
        <f aca="false">IF(OR($G189&lt;&gt;"Yes",NOT(ISNUMBER($H189))),"",COUNTIFS(c_Met,"Yes",c_Date,"&lt;"&amp;$H189)+COUNTIFS($G$2:$G189,"Yes",$H$2:$H189,$H189))</f>
        <v/>
      </c>
    </row>
    <row r="190" customFormat="false" ht="15" hidden="false" customHeight="false" outlineLevel="0" collapsed="false">
      <c r="A190" s="44" t="n">
        <f aca="false">IF($B190="","",COUNTA($B$2:$B190))</f>
        <v>189</v>
      </c>
      <c r="B190" s="11" t="s">
        <v>536</v>
      </c>
      <c r="C190" s="11" t="s">
        <v>537</v>
      </c>
      <c r="D190" s="11" t="s">
        <v>32</v>
      </c>
      <c r="E190" s="11" t="s">
        <v>131</v>
      </c>
      <c r="F190" s="11" t="s">
        <v>66</v>
      </c>
      <c r="G190" s="34" t="s">
        <v>132</v>
      </c>
      <c r="H190" s="25"/>
      <c r="I190" s="40" t="n">
        <v>0</v>
      </c>
      <c r="J190" s="34" t="s">
        <v>132</v>
      </c>
      <c r="K190" s="45"/>
      <c r="L190" s="34"/>
      <c r="M190" s="34"/>
      <c r="N190" s="11" t="s">
        <v>133</v>
      </c>
      <c r="O190" s="11" t="s">
        <v>55</v>
      </c>
      <c r="P190" s="11" t="s">
        <v>133</v>
      </c>
      <c r="Q190" s="11" t="s">
        <v>133</v>
      </c>
      <c r="R190" s="11" t="s">
        <v>133</v>
      </c>
      <c r="S190" s="46"/>
      <c r="T190" s="44" t="n">
        <f aca="false">IF($B190="","",COUNTA($N190:$R190)-COUNTIF($N190:$R190,"Not Invited"))</f>
        <v>1</v>
      </c>
      <c r="U190" s="44" t="n">
        <f aca="false">IF($B190="","",COUNTIF($N190:$R190,"Attended"))</f>
        <v>1</v>
      </c>
      <c r="V190" s="47" t="str">
        <f aca="false">IF($B190="","",_xlfn.TEXTJOIN(", ",TRUE(),IF($N190="Attended",Setup!$D$15,""),IF($O190="Attended",Setup!$D$16,""),IF($P190="Attended",Setup!$D$17,""),IF($Q190="Attended",Setup!$D$18,""),IF($R190="Attended",Setup!$D$19,"")))</f>
        <v>May-26 Symposium</v>
      </c>
      <c r="W190" s="48" t="str">
        <f aca="true">IF(OR($B190="",NOT(ISNUMBER($H190))),"",TODAY()-$H190)</f>
        <v/>
      </c>
      <c r="X190" s="47" t="str">
        <f aca="false">IF($B190="","",IF($U190&gt;0,"Event attendee",IF($G190="Yes","Met (no event)",IF($T190&gt;0,"Invited only",IF(OR($L190="Yes",$M190="Yes"),"Contacted only","Not yet contacted")))))</f>
        <v>Event attendee</v>
      </c>
      <c r="Y190" s="47" t="n">
        <f aca="false">IF($B190="","",COUNTIF(c_Firm,"&lt;"&amp;$D190)+COUNTIFS(c_Firm,$D190,c_Name,"&lt;"&amp;$B190)+COUNTIFS($D$2:$D190,$D190,$B$2:$B190,$B190))</f>
        <v>189</v>
      </c>
      <c r="Z190" s="47" t="n">
        <f aca="false">IF($B190="","",IF(AND(OR(Contacts!$C$3="(All)",$D190=Contacts!$C$3),OR(Contacts!$E$3="(All)",$G190=Contacts!$E$3),OR(Contacts!$G$3="(All)",ISNUMBER(SEARCH(Contacts!$G$3,$V190))),OR(Contacts!$I$3="(All)",$X190=Contacts!$I$3),OR(Contacts!$K$3="",ISNUMBER(SEARCH(Contacts!$K$3,$B190&amp;" "&amp;$C190&amp;" "&amp;$D190&amp;" "&amp;$S190)))),1,0))</f>
        <v>1</v>
      </c>
      <c r="AA190" s="47" t="n">
        <f aca="false">IF($Z190=1,COUNTIFS(c_Pass,1,c_Sort,"&lt;="&amp;$Y190),"")</f>
        <v>189</v>
      </c>
      <c r="AB190" s="47" t="str">
        <f aca="false">IF(OR($G190&lt;&gt;"Yes",NOT(ISNUMBER($H190))),"",COUNTIFS(c_Met,"Yes",c_Date,"&lt;"&amp;$H190)+COUNTIFS($G$2:$G190,"Yes",$H$2:$H190,$H190))</f>
        <v/>
      </c>
    </row>
    <row r="191" customFormat="false" ht="15" hidden="false" customHeight="false" outlineLevel="0" collapsed="false">
      <c r="A191" s="44" t="n">
        <f aca="false">IF($B191="","",COUNTA($B$2:$B191))</f>
        <v>190</v>
      </c>
      <c r="B191" s="11" t="s">
        <v>538</v>
      </c>
      <c r="C191" s="11" t="s">
        <v>539</v>
      </c>
      <c r="D191" s="11" t="s">
        <v>32</v>
      </c>
      <c r="E191" s="11" t="s">
        <v>193</v>
      </c>
      <c r="F191" s="11" t="s">
        <v>68</v>
      </c>
      <c r="G191" s="34" t="s">
        <v>132</v>
      </c>
      <c r="H191" s="25"/>
      <c r="I191" s="40" t="n">
        <v>0</v>
      </c>
      <c r="J191" s="34" t="s">
        <v>132</v>
      </c>
      <c r="K191" s="45"/>
      <c r="L191" s="34"/>
      <c r="M191" s="34" t="s">
        <v>142</v>
      </c>
      <c r="N191" s="11" t="s">
        <v>133</v>
      </c>
      <c r="O191" s="11" t="s">
        <v>133</v>
      </c>
      <c r="P191" s="11" t="s">
        <v>133</v>
      </c>
      <c r="Q191" s="11" t="s">
        <v>133</v>
      </c>
      <c r="R191" s="11" t="s">
        <v>133</v>
      </c>
      <c r="S191" s="46" t="s">
        <v>540</v>
      </c>
      <c r="T191" s="44" t="n">
        <f aca="false">IF($B191="","",COUNTA($N191:$R191)-COUNTIF($N191:$R191,"Not Invited"))</f>
        <v>0</v>
      </c>
      <c r="U191" s="44" t="n">
        <f aca="false">IF($B191="","",COUNTIF($N191:$R191,"Attended"))</f>
        <v>0</v>
      </c>
      <c r="V191" s="47" t="str">
        <f aca="false">IF($B191="","",_xlfn.TEXTJOIN(", ",TRUE(),IF($N191="Attended",Setup!$D$15,""),IF($O191="Attended",Setup!$D$16,""),IF($P191="Attended",Setup!$D$17,""),IF($Q191="Attended",Setup!$D$18,""),IF($R191="Attended",Setup!$D$19,"")))</f>
        <v/>
      </c>
      <c r="W191" s="48" t="str">
        <f aca="true">IF(OR($B191="",NOT(ISNUMBER($H191))),"",TODAY()-$H191)</f>
        <v/>
      </c>
      <c r="X191" s="47" t="str">
        <f aca="false">IF($B191="","",IF($U191&gt;0,"Event attendee",IF($G191="Yes","Met (no event)",IF($T191&gt;0,"Invited only",IF(OR($L191="Yes",$M191="Yes"),"Contacted only","Not yet contacted")))))</f>
        <v>Contacted only</v>
      </c>
      <c r="Y191" s="47" t="n">
        <f aca="false">IF($B191="","",COUNTIF(c_Firm,"&lt;"&amp;$D191)+COUNTIFS(c_Firm,$D191,c_Name,"&lt;"&amp;$B191)+COUNTIFS($D$2:$D191,$D191,$B$2:$B191,$B191))</f>
        <v>190</v>
      </c>
      <c r="Z191" s="47" t="n">
        <f aca="false">IF($B191="","",IF(AND(OR(Contacts!$C$3="(All)",$D191=Contacts!$C$3),OR(Contacts!$E$3="(All)",$G191=Contacts!$E$3),OR(Contacts!$G$3="(All)",ISNUMBER(SEARCH(Contacts!$G$3,$V191))),OR(Contacts!$I$3="(All)",$X191=Contacts!$I$3),OR(Contacts!$K$3="",ISNUMBER(SEARCH(Contacts!$K$3,$B191&amp;" "&amp;$C191&amp;" "&amp;$D191&amp;" "&amp;$S191)))),1,0))</f>
        <v>1</v>
      </c>
      <c r="AA191" s="47" t="n">
        <f aca="false">IF($Z191=1,COUNTIFS(c_Pass,1,c_Sort,"&lt;="&amp;$Y191),"")</f>
        <v>190</v>
      </c>
      <c r="AB191" s="47" t="str">
        <f aca="false">IF(OR($G191&lt;&gt;"Yes",NOT(ISNUMBER($H191))),"",COUNTIFS(c_Met,"Yes",c_Date,"&lt;"&amp;$H191)+COUNTIFS($G$2:$G191,"Yes",$H$2:$H191,$H191))</f>
        <v/>
      </c>
    </row>
    <row r="192" customFormat="false" ht="15" hidden="false" customHeight="false" outlineLevel="0" collapsed="false">
      <c r="A192" s="44" t="n">
        <f aca="false">IF($B192="","",COUNTA($B$2:$B192))</f>
        <v>191</v>
      </c>
      <c r="B192" s="11" t="s">
        <v>541</v>
      </c>
      <c r="C192" s="11" t="s">
        <v>542</v>
      </c>
      <c r="D192" s="11" t="s">
        <v>32</v>
      </c>
      <c r="E192" s="11" t="s">
        <v>131</v>
      </c>
      <c r="F192" s="11" t="s">
        <v>141</v>
      </c>
      <c r="G192" s="34" t="s">
        <v>142</v>
      </c>
      <c r="H192" s="25" t="n">
        <v>45925</v>
      </c>
      <c r="I192" s="40" t="n">
        <v>1</v>
      </c>
      <c r="J192" s="34" t="s">
        <v>132</v>
      </c>
      <c r="K192" s="45" t="n">
        <v>10000000</v>
      </c>
      <c r="L192" s="34"/>
      <c r="M192" s="34"/>
      <c r="N192" s="11" t="s">
        <v>55</v>
      </c>
      <c r="O192" s="11" t="s">
        <v>55</v>
      </c>
      <c r="P192" s="11" t="s">
        <v>133</v>
      </c>
      <c r="Q192" s="11" t="s">
        <v>133</v>
      </c>
      <c r="R192" s="11" t="s">
        <v>133</v>
      </c>
      <c r="S192" s="46"/>
      <c r="T192" s="44" t="n">
        <f aca="false">IF($B192="","",COUNTA($N192:$R192)-COUNTIF($N192:$R192,"Not Invited"))</f>
        <v>2</v>
      </c>
      <c r="U192" s="44" t="n">
        <f aca="false">IF($B192="","",COUNTIF($N192:$R192,"Attended"))</f>
        <v>2</v>
      </c>
      <c r="V192" s="47" t="str">
        <f aca="false">IF($B192="","",_xlfn.TEXTJOIN(", ",TRUE(),IF($N192="Attended",Setup!$D$15,""),IF($O192="Attended",Setup!$D$16,""),IF($P192="Attended",Setup!$D$17,""),IF($Q192="Attended",Setup!$D$18,""),IF($R192="Attended",Setup!$D$19,"")))</f>
        <v>Oct-25 Symposium, May-26 Symposium</v>
      </c>
      <c r="W192" s="48" t="n">
        <f aca="true">IF(OR($B192="",NOT(ISNUMBER($H192))),"",TODAY()-$H192)</f>
        <v>316</v>
      </c>
      <c r="X192" s="47" t="str">
        <f aca="false">IF($B192="","",IF($U192&gt;0,"Event attendee",IF($G192="Yes","Met (no event)",IF($T192&gt;0,"Invited only",IF(OR($L192="Yes",$M192="Yes"),"Contacted only","Not yet contacted")))))</f>
        <v>Event attendee</v>
      </c>
      <c r="Y192" s="47" t="n">
        <f aca="false">IF($B192="","",COUNTIF(c_Firm,"&lt;"&amp;$D192)+COUNTIFS(c_Firm,$D192,c_Name,"&lt;"&amp;$B192)+COUNTIFS($D$2:$D192,$D192,$B$2:$B192,$B192))</f>
        <v>191</v>
      </c>
      <c r="Z192" s="47" t="n">
        <f aca="false">IF($B192="","",IF(AND(OR(Contacts!$C$3="(All)",$D192=Contacts!$C$3),OR(Contacts!$E$3="(All)",$G192=Contacts!$E$3),OR(Contacts!$G$3="(All)",ISNUMBER(SEARCH(Contacts!$G$3,$V192))),OR(Contacts!$I$3="(All)",$X192=Contacts!$I$3),OR(Contacts!$K$3="",ISNUMBER(SEARCH(Contacts!$K$3,$B192&amp;" "&amp;$C192&amp;" "&amp;$D192&amp;" "&amp;$S192)))),1,0))</f>
        <v>1</v>
      </c>
      <c r="AA192" s="47" t="n">
        <f aca="false">IF($Z192=1,COUNTIFS(c_Pass,1,c_Sort,"&lt;="&amp;$Y192),"")</f>
        <v>191</v>
      </c>
      <c r="AB192" s="47" t="n">
        <f aca="false">IF(OR($G192&lt;&gt;"Yes",NOT(ISNUMBER($H192))),"",COUNTIFS(c_Met,"Yes",c_Date,"&lt;"&amp;$H192)+COUNTIFS($G$2:$G192,"Yes",$H$2:$H192,$H192))</f>
        <v>22</v>
      </c>
    </row>
    <row r="193" customFormat="false" ht="15" hidden="false" customHeight="false" outlineLevel="0" collapsed="false">
      <c r="A193" s="44" t="n">
        <f aca="false">IF($B193="","",COUNTA($B$2:$B193))</f>
        <v>192</v>
      </c>
      <c r="B193" s="11" t="s">
        <v>543</v>
      </c>
      <c r="C193" s="11" t="s">
        <v>544</v>
      </c>
      <c r="D193" s="11" t="s">
        <v>32</v>
      </c>
      <c r="E193" s="11" t="s">
        <v>131</v>
      </c>
      <c r="F193" s="11" t="s">
        <v>141</v>
      </c>
      <c r="G193" s="34" t="s">
        <v>142</v>
      </c>
      <c r="H193" s="25" t="n">
        <v>45925</v>
      </c>
      <c r="I193" s="40" t="n">
        <v>1</v>
      </c>
      <c r="J193" s="34" t="s">
        <v>132</v>
      </c>
      <c r="K193" s="45" t="n">
        <v>50000000</v>
      </c>
      <c r="L193" s="34"/>
      <c r="M193" s="34"/>
      <c r="N193" s="11" t="s">
        <v>57</v>
      </c>
      <c r="O193" s="11" t="s">
        <v>57</v>
      </c>
      <c r="P193" s="11" t="s">
        <v>133</v>
      </c>
      <c r="Q193" s="11" t="s">
        <v>133</v>
      </c>
      <c r="R193" s="11" t="s">
        <v>133</v>
      </c>
      <c r="S193" s="46"/>
      <c r="T193" s="44" t="n">
        <f aca="false">IF($B193="","",COUNTA($N193:$R193)-COUNTIF($N193:$R193,"Not Invited"))</f>
        <v>2</v>
      </c>
      <c r="U193" s="44" t="n">
        <f aca="false">IF($B193="","",COUNTIF($N193:$R193,"Attended"))</f>
        <v>0</v>
      </c>
      <c r="V193" s="47" t="str">
        <f aca="false">IF($B193="","",_xlfn.TEXTJOIN(", ",TRUE(),IF($N193="Attended",Setup!$D$15,""),IF($O193="Attended",Setup!$D$16,""),IF($P193="Attended",Setup!$D$17,""),IF($Q193="Attended",Setup!$D$18,""),IF($R193="Attended",Setup!$D$19,"")))</f>
        <v/>
      </c>
      <c r="W193" s="48" t="n">
        <f aca="true">IF(OR($B193="",NOT(ISNUMBER($H193))),"",TODAY()-$H193)</f>
        <v>316</v>
      </c>
      <c r="X193" s="47" t="str">
        <f aca="false">IF($B193="","",IF($U193&gt;0,"Event attendee",IF($G193="Yes","Met (no event)",IF($T193&gt;0,"Invited only",IF(OR($L193="Yes",$M193="Yes"),"Contacted only","Not yet contacted")))))</f>
        <v>Met (no event)</v>
      </c>
      <c r="Y193" s="47" t="n">
        <f aca="false">IF($B193="","",COUNTIF(c_Firm,"&lt;"&amp;$D193)+COUNTIFS(c_Firm,$D193,c_Name,"&lt;"&amp;$B193)+COUNTIFS($D$2:$D193,$D193,$B$2:$B193,$B193))</f>
        <v>192</v>
      </c>
      <c r="Z193" s="47" t="n">
        <f aca="false">IF($B193="","",IF(AND(OR(Contacts!$C$3="(All)",$D193=Contacts!$C$3),OR(Contacts!$E$3="(All)",$G193=Contacts!$E$3),OR(Contacts!$G$3="(All)",ISNUMBER(SEARCH(Contacts!$G$3,$V193))),OR(Contacts!$I$3="(All)",$X193=Contacts!$I$3),OR(Contacts!$K$3="",ISNUMBER(SEARCH(Contacts!$K$3,$B193&amp;" "&amp;$C193&amp;" "&amp;$D193&amp;" "&amp;$S193)))),1,0))</f>
        <v>1</v>
      </c>
      <c r="AA193" s="47" t="n">
        <f aca="false">IF($Z193=1,COUNTIFS(c_Pass,1,c_Sort,"&lt;="&amp;$Y193),"")</f>
        <v>192</v>
      </c>
      <c r="AB193" s="47" t="n">
        <f aca="false">IF(OR($G193&lt;&gt;"Yes",NOT(ISNUMBER($H193))),"",COUNTIFS(c_Met,"Yes",c_Date,"&lt;"&amp;$H193)+COUNTIFS($G$2:$G193,"Yes",$H$2:$H193,$H193))</f>
        <v>23</v>
      </c>
    </row>
    <row r="194" customFormat="false" ht="15" hidden="false" customHeight="false" outlineLevel="0" collapsed="false">
      <c r="A194" s="44" t="n">
        <f aca="false">IF($B194="","",COUNTA($B$2:$B194))</f>
        <v>193</v>
      </c>
      <c r="B194" s="11" t="s">
        <v>545</v>
      </c>
      <c r="C194" s="11"/>
      <c r="D194" s="11" t="s">
        <v>32</v>
      </c>
      <c r="E194" s="11" t="s">
        <v>131</v>
      </c>
      <c r="F194" s="11" t="s">
        <v>66</v>
      </c>
      <c r="G194" s="34" t="s">
        <v>132</v>
      </c>
      <c r="H194" s="25"/>
      <c r="I194" s="40" t="n">
        <v>0</v>
      </c>
      <c r="J194" s="34" t="s">
        <v>132</v>
      </c>
      <c r="K194" s="45"/>
      <c r="L194" s="34"/>
      <c r="M194" s="34"/>
      <c r="N194" s="11" t="s">
        <v>143</v>
      </c>
      <c r="O194" s="11" t="s">
        <v>143</v>
      </c>
      <c r="P194" s="11" t="s">
        <v>133</v>
      </c>
      <c r="Q194" s="11" t="s">
        <v>133</v>
      </c>
      <c r="R194" s="11" t="s">
        <v>133</v>
      </c>
      <c r="S194" s="46"/>
      <c r="T194" s="44" t="n">
        <f aca="false">IF($B194="","",COUNTA($N194:$R194)-COUNTIF($N194:$R194,"Not Invited"))</f>
        <v>2</v>
      </c>
      <c r="U194" s="44" t="n">
        <f aca="false">IF($B194="","",COUNTIF($N194:$R194,"Attended"))</f>
        <v>0</v>
      </c>
      <c r="V194" s="47" t="str">
        <f aca="false">IF($B194="","",_xlfn.TEXTJOIN(", ",TRUE(),IF($N194="Attended",Setup!$D$15,""),IF($O194="Attended",Setup!$D$16,""),IF($P194="Attended",Setup!$D$17,""),IF($Q194="Attended",Setup!$D$18,""),IF($R194="Attended",Setup!$D$19,"")))</f>
        <v/>
      </c>
      <c r="W194" s="48" t="str">
        <f aca="true">IF(OR($B194="",NOT(ISNUMBER($H194))),"",TODAY()-$H194)</f>
        <v/>
      </c>
      <c r="X194" s="47" t="str">
        <f aca="false">IF($B194="","",IF($U194&gt;0,"Event attendee",IF($G194="Yes","Met (no event)",IF($T194&gt;0,"Invited only",IF(OR($L194="Yes",$M194="Yes"),"Contacted only","Not yet contacted")))))</f>
        <v>Invited only</v>
      </c>
      <c r="Y194" s="47" t="n">
        <f aca="false">IF($B194="","",COUNTIF(c_Firm,"&lt;"&amp;$D194)+COUNTIFS(c_Firm,$D194,c_Name,"&lt;"&amp;$B194)+COUNTIFS($D$2:$D194,$D194,$B$2:$B194,$B194))</f>
        <v>193</v>
      </c>
      <c r="Z194" s="47" t="n">
        <f aca="false">IF($B194="","",IF(AND(OR(Contacts!$C$3="(All)",$D194=Contacts!$C$3),OR(Contacts!$E$3="(All)",$G194=Contacts!$E$3),OR(Contacts!$G$3="(All)",ISNUMBER(SEARCH(Contacts!$G$3,$V194))),OR(Contacts!$I$3="(All)",$X194=Contacts!$I$3),OR(Contacts!$K$3="",ISNUMBER(SEARCH(Contacts!$K$3,$B194&amp;" "&amp;$C194&amp;" "&amp;$D194&amp;" "&amp;$S194)))),1,0))</f>
        <v>1</v>
      </c>
      <c r="AA194" s="47" t="n">
        <f aca="false">IF($Z194=1,COUNTIFS(c_Pass,1,c_Sort,"&lt;="&amp;$Y194),"")</f>
        <v>193</v>
      </c>
      <c r="AB194" s="47" t="str">
        <f aca="false">IF(OR($G194&lt;&gt;"Yes",NOT(ISNUMBER($H194))),"",COUNTIFS(c_Met,"Yes",c_Date,"&lt;"&amp;$H194)+COUNTIFS($G$2:$G194,"Yes",$H$2:$H194,$H194))</f>
        <v/>
      </c>
    </row>
    <row r="195" customFormat="false" ht="15" hidden="false" customHeight="false" outlineLevel="0" collapsed="false">
      <c r="A195" s="44" t="n">
        <f aca="false">IF($B195="","",COUNTA($B$2:$B195))</f>
        <v>194</v>
      </c>
      <c r="B195" s="11" t="s">
        <v>546</v>
      </c>
      <c r="C195" s="11" t="s">
        <v>547</v>
      </c>
      <c r="D195" s="11" t="s">
        <v>32</v>
      </c>
      <c r="E195" s="11" t="s">
        <v>193</v>
      </c>
      <c r="F195" s="11" t="s">
        <v>68</v>
      </c>
      <c r="G195" s="34" t="s">
        <v>132</v>
      </c>
      <c r="H195" s="25"/>
      <c r="I195" s="40" t="n">
        <v>0</v>
      </c>
      <c r="J195" s="34" t="s">
        <v>132</v>
      </c>
      <c r="K195" s="45"/>
      <c r="L195" s="34"/>
      <c r="M195" s="34" t="s">
        <v>142</v>
      </c>
      <c r="N195" s="11" t="s">
        <v>133</v>
      </c>
      <c r="O195" s="11" t="s">
        <v>133</v>
      </c>
      <c r="P195" s="11" t="s">
        <v>133</v>
      </c>
      <c r="Q195" s="11" t="s">
        <v>133</v>
      </c>
      <c r="R195" s="11" t="s">
        <v>133</v>
      </c>
      <c r="S195" s="46" t="s">
        <v>548</v>
      </c>
      <c r="T195" s="44" t="n">
        <f aca="false">IF($B195="","",COUNTA($N195:$R195)-COUNTIF($N195:$R195,"Not Invited"))</f>
        <v>0</v>
      </c>
      <c r="U195" s="44" t="n">
        <f aca="false">IF($B195="","",COUNTIF($N195:$R195,"Attended"))</f>
        <v>0</v>
      </c>
      <c r="V195" s="47" t="str">
        <f aca="false">IF($B195="","",_xlfn.TEXTJOIN(", ",TRUE(),IF($N195="Attended",Setup!$D$15,""),IF($O195="Attended",Setup!$D$16,""),IF($P195="Attended",Setup!$D$17,""),IF($Q195="Attended",Setup!$D$18,""),IF($R195="Attended",Setup!$D$19,"")))</f>
        <v/>
      </c>
      <c r="W195" s="48" t="str">
        <f aca="true">IF(OR($B195="",NOT(ISNUMBER($H195))),"",TODAY()-$H195)</f>
        <v/>
      </c>
      <c r="X195" s="47" t="str">
        <f aca="false">IF($B195="","",IF($U195&gt;0,"Event attendee",IF($G195="Yes","Met (no event)",IF($T195&gt;0,"Invited only",IF(OR($L195="Yes",$M195="Yes"),"Contacted only","Not yet contacted")))))</f>
        <v>Contacted only</v>
      </c>
      <c r="Y195" s="47" t="n">
        <f aca="false">IF($B195="","",COUNTIF(c_Firm,"&lt;"&amp;$D195)+COUNTIFS(c_Firm,$D195,c_Name,"&lt;"&amp;$B195)+COUNTIFS($D$2:$D195,$D195,$B$2:$B195,$B195))</f>
        <v>194</v>
      </c>
      <c r="Z195" s="47" t="n">
        <f aca="false">IF($B195="","",IF(AND(OR(Contacts!$C$3="(All)",$D195=Contacts!$C$3),OR(Contacts!$E$3="(All)",$G195=Contacts!$E$3),OR(Contacts!$G$3="(All)",ISNUMBER(SEARCH(Contacts!$G$3,$V195))),OR(Contacts!$I$3="(All)",$X195=Contacts!$I$3),OR(Contacts!$K$3="",ISNUMBER(SEARCH(Contacts!$K$3,$B195&amp;" "&amp;$C195&amp;" "&amp;$D195&amp;" "&amp;$S195)))),1,0))</f>
        <v>1</v>
      </c>
      <c r="AA195" s="47" t="n">
        <f aca="false">IF($Z195=1,COUNTIFS(c_Pass,1,c_Sort,"&lt;="&amp;$Y195),"")</f>
        <v>194</v>
      </c>
      <c r="AB195" s="47" t="str">
        <f aca="false">IF(OR($G195&lt;&gt;"Yes",NOT(ISNUMBER($H195))),"",COUNTIFS(c_Met,"Yes",c_Date,"&lt;"&amp;$H195)+COUNTIFS($G$2:$G195,"Yes",$H$2:$H195,$H195))</f>
        <v/>
      </c>
    </row>
    <row r="196" customFormat="false" ht="15" hidden="false" customHeight="false" outlineLevel="0" collapsed="false">
      <c r="A196" s="44" t="n">
        <f aca="false">IF($B196="","",COUNTA($B$2:$B196))</f>
        <v>195</v>
      </c>
      <c r="B196" s="11" t="s">
        <v>549</v>
      </c>
      <c r="C196" s="11" t="s">
        <v>550</v>
      </c>
      <c r="D196" s="11" t="s">
        <v>32</v>
      </c>
      <c r="E196" s="11" t="s">
        <v>131</v>
      </c>
      <c r="F196" s="11" t="s">
        <v>141</v>
      </c>
      <c r="G196" s="34" t="s">
        <v>142</v>
      </c>
      <c r="H196" s="25" t="n">
        <v>46045</v>
      </c>
      <c r="I196" s="40" t="n">
        <v>1</v>
      </c>
      <c r="J196" s="34" t="s">
        <v>132</v>
      </c>
      <c r="K196" s="45"/>
      <c r="L196" s="34"/>
      <c r="M196" s="34"/>
      <c r="N196" s="11" t="s">
        <v>57</v>
      </c>
      <c r="O196" s="11" t="s">
        <v>57</v>
      </c>
      <c r="P196" s="11" t="s">
        <v>133</v>
      </c>
      <c r="Q196" s="11" t="s">
        <v>133</v>
      </c>
      <c r="R196" s="11" t="s">
        <v>133</v>
      </c>
      <c r="S196" s="46" t="s">
        <v>551</v>
      </c>
      <c r="T196" s="44" t="n">
        <f aca="false">IF($B196="","",COUNTA($N196:$R196)-COUNTIF($N196:$R196,"Not Invited"))</f>
        <v>2</v>
      </c>
      <c r="U196" s="44" t="n">
        <f aca="false">IF($B196="","",COUNTIF($N196:$R196,"Attended"))</f>
        <v>0</v>
      </c>
      <c r="V196" s="47" t="str">
        <f aca="false">IF($B196="","",_xlfn.TEXTJOIN(", ",TRUE(),IF($N196="Attended",Setup!$D$15,""),IF($O196="Attended",Setup!$D$16,""),IF($P196="Attended",Setup!$D$17,""),IF($Q196="Attended",Setup!$D$18,""),IF($R196="Attended",Setup!$D$19,"")))</f>
        <v/>
      </c>
      <c r="W196" s="48" t="n">
        <f aca="true">IF(OR($B196="",NOT(ISNUMBER($H196))),"",TODAY()-$H196)</f>
        <v>196</v>
      </c>
      <c r="X196" s="47" t="str">
        <f aca="false">IF($B196="","",IF($U196&gt;0,"Event attendee",IF($G196="Yes","Met (no event)",IF($T196&gt;0,"Invited only",IF(OR($L196="Yes",$M196="Yes"),"Contacted only","Not yet contacted")))))</f>
        <v>Met (no event)</v>
      </c>
      <c r="Y196" s="47" t="n">
        <f aca="false">IF($B196="","",COUNTIF(c_Firm,"&lt;"&amp;$D196)+COUNTIFS(c_Firm,$D196,c_Name,"&lt;"&amp;$B196)+COUNTIFS($D$2:$D196,$D196,$B$2:$B196,$B196))</f>
        <v>195</v>
      </c>
      <c r="Z196" s="47" t="n">
        <f aca="false">IF($B196="","",IF(AND(OR(Contacts!$C$3="(All)",$D196=Contacts!$C$3),OR(Contacts!$E$3="(All)",$G196=Contacts!$E$3),OR(Contacts!$G$3="(All)",ISNUMBER(SEARCH(Contacts!$G$3,$V196))),OR(Contacts!$I$3="(All)",$X196=Contacts!$I$3),OR(Contacts!$K$3="",ISNUMBER(SEARCH(Contacts!$K$3,$B196&amp;" "&amp;$C196&amp;" "&amp;$D196&amp;" "&amp;$S196)))),1,0))</f>
        <v>1</v>
      </c>
      <c r="AA196" s="47" t="n">
        <f aca="false">IF($Z196=1,COUNTIFS(c_Pass,1,c_Sort,"&lt;="&amp;$Y196),"")</f>
        <v>195</v>
      </c>
      <c r="AB196" s="47" t="n">
        <f aca="false">IF(OR($G196&lt;&gt;"Yes",NOT(ISNUMBER($H196))),"",COUNTIFS(c_Met,"Yes",c_Date,"&lt;"&amp;$H196)+COUNTIFS($G$2:$G196,"Yes",$H$2:$H196,$H196))</f>
        <v>42</v>
      </c>
    </row>
    <row r="197" customFormat="false" ht="15" hidden="false" customHeight="false" outlineLevel="0" collapsed="false">
      <c r="A197" s="44" t="n">
        <f aca="false">IF($B197="","",COUNTA($B$2:$B197))</f>
        <v>196</v>
      </c>
      <c r="B197" s="11" t="s">
        <v>552</v>
      </c>
      <c r="C197" s="11" t="s">
        <v>553</v>
      </c>
      <c r="D197" s="11" t="s">
        <v>32</v>
      </c>
      <c r="E197" s="11" t="s">
        <v>131</v>
      </c>
      <c r="F197" s="11" t="s">
        <v>66</v>
      </c>
      <c r="G197" s="34" t="s">
        <v>132</v>
      </c>
      <c r="H197" s="25"/>
      <c r="I197" s="40" t="n">
        <v>0</v>
      </c>
      <c r="J197" s="34" t="s">
        <v>132</v>
      </c>
      <c r="K197" s="45"/>
      <c r="L197" s="34"/>
      <c r="M197" s="34"/>
      <c r="N197" s="11" t="s">
        <v>133</v>
      </c>
      <c r="O197" s="11" t="s">
        <v>55</v>
      </c>
      <c r="P197" s="11" t="s">
        <v>133</v>
      </c>
      <c r="Q197" s="11" t="s">
        <v>133</v>
      </c>
      <c r="R197" s="11" t="s">
        <v>133</v>
      </c>
      <c r="S197" s="46"/>
      <c r="T197" s="44" t="n">
        <f aca="false">IF($B197="","",COUNTA($N197:$R197)-COUNTIF($N197:$R197,"Not Invited"))</f>
        <v>1</v>
      </c>
      <c r="U197" s="44" t="n">
        <f aca="false">IF($B197="","",COUNTIF($N197:$R197,"Attended"))</f>
        <v>1</v>
      </c>
      <c r="V197" s="47" t="str">
        <f aca="false">IF($B197="","",_xlfn.TEXTJOIN(", ",TRUE(),IF($N197="Attended",Setup!$D$15,""),IF($O197="Attended",Setup!$D$16,""),IF($P197="Attended",Setup!$D$17,""),IF($Q197="Attended",Setup!$D$18,""),IF($R197="Attended",Setup!$D$19,"")))</f>
        <v>May-26 Symposium</v>
      </c>
      <c r="W197" s="48" t="str">
        <f aca="true">IF(OR($B197="",NOT(ISNUMBER($H197))),"",TODAY()-$H197)</f>
        <v/>
      </c>
      <c r="X197" s="47" t="str">
        <f aca="false">IF($B197="","",IF($U197&gt;0,"Event attendee",IF($G197="Yes","Met (no event)",IF($T197&gt;0,"Invited only",IF(OR($L197="Yes",$M197="Yes"),"Contacted only","Not yet contacted")))))</f>
        <v>Event attendee</v>
      </c>
      <c r="Y197" s="47" t="n">
        <f aca="false">IF($B197="","",COUNTIF(c_Firm,"&lt;"&amp;$D197)+COUNTIFS(c_Firm,$D197,c_Name,"&lt;"&amp;$B197)+COUNTIFS($D$2:$D197,$D197,$B$2:$B197,$B197))</f>
        <v>196</v>
      </c>
      <c r="Z197" s="47" t="n">
        <f aca="false">IF($B197="","",IF(AND(OR(Contacts!$C$3="(All)",$D197=Contacts!$C$3),OR(Contacts!$E$3="(All)",$G197=Contacts!$E$3),OR(Contacts!$G$3="(All)",ISNUMBER(SEARCH(Contacts!$G$3,$V197))),OR(Contacts!$I$3="(All)",$X197=Contacts!$I$3),OR(Contacts!$K$3="",ISNUMBER(SEARCH(Contacts!$K$3,$B197&amp;" "&amp;$C197&amp;" "&amp;$D197&amp;" "&amp;$S197)))),1,0))</f>
        <v>1</v>
      </c>
      <c r="AA197" s="47" t="n">
        <f aca="false">IF($Z197=1,COUNTIFS(c_Pass,1,c_Sort,"&lt;="&amp;$Y197),"")</f>
        <v>196</v>
      </c>
      <c r="AB197" s="47" t="str">
        <f aca="false">IF(OR($G197&lt;&gt;"Yes",NOT(ISNUMBER($H197))),"",COUNTIFS(c_Met,"Yes",c_Date,"&lt;"&amp;$H197)+COUNTIFS($G$2:$G197,"Yes",$H$2:$H197,$H197))</f>
        <v/>
      </c>
    </row>
    <row r="198" customFormat="false" ht="15" hidden="false" customHeight="false" outlineLevel="0" collapsed="false">
      <c r="A198" s="44" t="n">
        <f aca="false">IF($B198="","",COUNTA($B$2:$B198))</f>
        <v>197</v>
      </c>
      <c r="B198" s="11" t="s">
        <v>554</v>
      </c>
      <c r="C198" s="11"/>
      <c r="D198" s="11" t="s">
        <v>32</v>
      </c>
      <c r="E198" s="11" t="s">
        <v>131</v>
      </c>
      <c r="F198" s="11" t="s">
        <v>141</v>
      </c>
      <c r="G198" s="34" t="s">
        <v>132</v>
      </c>
      <c r="H198" s="25"/>
      <c r="I198" s="40" t="n">
        <v>0</v>
      </c>
      <c r="J198" s="34" t="s">
        <v>132</v>
      </c>
      <c r="K198" s="45" t="n">
        <v>5000000</v>
      </c>
      <c r="L198" s="34"/>
      <c r="M198" s="34"/>
      <c r="N198" s="11" t="s">
        <v>143</v>
      </c>
      <c r="O198" s="11" t="s">
        <v>57</v>
      </c>
      <c r="P198" s="11" t="s">
        <v>133</v>
      </c>
      <c r="Q198" s="11" t="s">
        <v>133</v>
      </c>
      <c r="R198" s="11" t="s">
        <v>133</v>
      </c>
      <c r="S198" s="46" t="s">
        <v>146</v>
      </c>
      <c r="T198" s="44" t="n">
        <f aca="false">IF($B198="","",COUNTA($N198:$R198)-COUNTIF($N198:$R198,"Not Invited"))</f>
        <v>2</v>
      </c>
      <c r="U198" s="44" t="n">
        <f aca="false">IF($B198="","",COUNTIF($N198:$R198,"Attended"))</f>
        <v>0</v>
      </c>
      <c r="V198" s="47" t="str">
        <f aca="false">IF($B198="","",_xlfn.TEXTJOIN(", ",TRUE(),IF($N198="Attended",Setup!$D$15,""),IF($O198="Attended",Setup!$D$16,""),IF($P198="Attended",Setup!$D$17,""),IF($Q198="Attended",Setup!$D$18,""),IF($R198="Attended",Setup!$D$19,"")))</f>
        <v/>
      </c>
      <c r="W198" s="48" t="str">
        <f aca="true">IF(OR($B198="",NOT(ISNUMBER($H198))),"",TODAY()-$H198)</f>
        <v/>
      </c>
      <c r="X198" s="47" t="str">
        <f aca="false">IF($B198="","",IF($U198&gt;0,"Event attendee",IF($G198="Yes","Met (no event)",IF($T198&gt;0,"Invited only",IF(OR($L198="Yes",$M198="Yes"),"Contacted only","Not yet contacted")))))</f>
        <v>Invited only</v>
      </c>
      <c r="Y198" s="47" t="n">
        <f aca="false">IF($B198="","",COUNTIF(c_Firm,"&lt;"&amp;$D198)+COUNTIFS(c_Firm,$D198,c_Name,"&lt;"&amp;$B198)+COUNTIFS($D$2:$D198,$D198,$B$2:$B198,$B198))</f>
        <v>197</v>
      </c>
      <c r="Z198" s="47" t="n">
        <f aca="false">IF($B198="","",IF(AND(OR(Contacts!$C$3="(All)",$D198=Contacts!$C$3),OR(Contacts!$E$3="(All)",$G198=Contacts!$E$3),OR(Contacts!$G$3="(All)",ISNUMBER(SEARCH(Contacts!$G$3,$V198))),OR(Contacts!$I$3="(All)",$X198=Contacts!$I$3),OR(Contacts!$K$3="",ISNUMBER(SEARCH(Contacts!$K$3,$B198&amp;" "&amp;$C198&amp;" "&amp;$D198&amp;" "&amp;$S198)))),1,0))</f>
        <v>1</v>
      </c>
      <c r="AA198" s="47" t="n">
        <f aca="false">IF($Z198=1,COUNTIFS(c_Pass,1,c_Sort,"&lt;="&amp;$Y198),"")</f>
        <v>197</v>
      </c>
      <c r="AB198" s="47" t="str">
        <f aca="false">IF(OR($G198&lt;&gt;"Yes",NOT(ISNUMBER($H198))),"",COUNTIFS(c_Met,"Yes",c_Date,"&lt;"&amp;$H198)+COUNTIFS($G$2:$G198,"Yes",$H$2:$H198,$H198))</f>
        <v/>
      </c>
    </row>
    <row r="199" customFormat="false" ht="15" hidden="false" customHeight="false" outlineLevel="0" collapsed="false">
      <c r="A199" s="44" t="n">
        <f aca="false">IF($B199="","",COUNTA($B$2:$B199))</f>
        <v>198</v>
      </c>
      <c r="B199" s="11" t="s">
        <v>555</v>
      </c>
      <c r="C199" s="11"/>
      <c r="D199" s="11" t="s">
        <v>26</v>
      </c>
      <c r="E199" s="11" t="s">
        <v>193</v>
      </c>
      <c r="F199" s="11" t="s">
        <v>68</v>
      </c>
      <c r="G199" s="34" t="s">
        <v>132</v>
      </c>
      <c r="H199" s="25"/>
      <c r="I199" s="40" t="n">
        <v>0</v>
      </c>
      <c r="J199" s="34" t="s">
        <v>132</v>
      </c>
      <c r="K199" s="45"/>
      <c r="L199" s="34"/>
      <c r="M199" s="34"/>
      <c r="N199" s="11" t="s">
        <v>133</v>
      </c>
      <c r="O199" s="11" t="s">
        <v>133</v>
      </c>
      <c r="P199" s="11" t="s">
        <v>133</v>
      </c>
      <c r="Q199" s="11" t="s">
        <v>133</v>
      </c>
      <c r="R199" s="11" t="s">
        <v>133</v>
      </c>
      <c r="S199" s="46" t="s">
        <v>556</v>
      </c>
      <c r="T199" s="44" t="n">
        <f aca="false">IF($B199="","",COUNTA($N199:$R199)-COUNTIF($N199:$R199,"Not Invited"))</f>
        <v>0</v>
      </c>
      <c r="U199" s="44" t="n">
        <f aca="false">IF($B199="","",COUNTIF($N199:$R199,"Attended"))</f>
        <v>0</v>
      </c>
      <c r="V199" s="47" t="str">
        <f aca="false">IF($B199="","",_xlfn.TEXTJOIN(", ",TRUE(),IF($N199="Attended",Setup!$D$15,""),IF($O199="Attended",Setup!$D$16,""),IF($P199="Attended",Setup!$D$17,""),IF($Q199="Attended",Setup!$D$18,""),IF($R199="Attended",Setup!$D$19,"")))</f>
        <v/>
      </c>
      <c r="W199" s="48" t="str">
        <f aca="true">IF(OR($B199="",NOT(ISNUMBER($H199))),"",TODAY()-$H199)</f>
        <v/>
      </c>
      <c r="X199" s="47" t="str">
        <f aca="false">IF($B199="","",IF($U199&gt;0,"Event attendee",IF($G199="Yes","Met (no event)",IF($T199&gt;0,"Invited only",IF(OR($L199="Yes",$M199="Yes"),"Contacted only","Not yet contacted")))))</f>
        <v>Not yet contacted</v>
      </c>
      <c r="Y199" s="47" t="n">
        <f aca="false">IF($B199="","",COUNTIF(c_Firm,"&lt;"&amp;$D199)+COUNTIFS(c_Firm,$D199,c_Name,"&lt;"&amp;$B199)+COUNTIFS($D$2:$D199,$D199,$B$2:$B199,$B199))</f>
        <v>198</v>
      </c>
      <c r="Z199" s="47" t="n">
        <f aca="false">IF($B199="","",IF(AND(OR(Contacts!$C$3="(All)",$D199=Contacts!$C$3),OR(Contacts!$E$3="(All)",$G199=Contacts!$E$3),OR(Contacts!$G$3="(All)",ISNUMBER(SEARCH(Contacts!$G$3,$V199))),OR(Contacts!$I$3="(All)",$X199=Contacts!$I$3),OR(Contacts!$K$3="",ISNUMBER(SEARCH(Contacts!$K$3,$B199&amp;" "&amp;$C199&amp;" "&amp;$D199&amp;" "&amp;$S199)))),1,0))</f>
        <v>1</v>
      </c>
      <c r="AA199" s="47" t="n">
        <f aca="false">IF($Z199=1,COUNTIFS(c_Pass,1,c_Sort,"&lt;="&amp;$Y199),"")</f>
        <v>198</v>
      </c>
      <c r="AB199" s="47" t="str">
        <f aca="false">IF(OR($G199&lt;&gt;"Yes",NOT(ISNUMBER($H199))),"",COUNTIFS(c_Met,"Yes",c_Date,"&lt;"&amp;$H199)+COUNTIFS($G$2:$G199,"Yes",$H$2:$H199,$H199))</f>
        <v/>
      </c>
    </row>
    <row r="200" customFormat="false" ht="15" hidden="false" customHeight="false" outlineLevel="0" collapsed="false">
      <c r="A200" s="44" t="n">
        <f aca="false">IF($B200="","",COUNTA($B$2:$B200))</f>
        <v>199</v>
      </c>
      <c r="B200" s="11" t="s">
        <v>557</v>
      </c>
      <c r="C200" s="11" t="s">
        <v>558</v>
      </c>
      <c r="D200" s="11" t="s">
        <v>26</v>
      </c>
      <c r="E200" s="11" t="s">
        <v>131</v>
      </c>
      <c r="F200" s="11" t="s">
        <v>70</v>
      </c>
      <c r="G200" s="34" t="s">
        <v>132</v>
      </c>
      <c r="H200" s="25"/>
      <c r="I200" s="40" t="n">
        <v>0</v>
      </c>
      <c r="J200" s="34" t="s">
        <v>132</v>
      </c>
      <c r="K200" s="45"/>
      <c r="L200" s="34" t="s">
        <v>142</v>
      </c>
      <c r="M200" s="34"/>
      <c r="N200" s="11" t="s">
        <v>133</v>
      </c>
      <c r="O200" s="11" t="s">
        <v>133</v>
      </c>
      <c r="P200" s="11" t="s">
        <v>133</v>
      </c>
      <c r="Q200" s="11" t="s">
        <v>133</v>
      </c>
      <c r="R200" s="11" t="s">
        <v>133</v>
      </c>
      <c r="S200" s="46"/>
      <c r="T200" s="44" t="n">
        <f aca="false">IF($B200="","",COUNTA($N200:$R200)-COUNTIF($N200:$R200,"Not Invited"))</f>
        <v>0</v>
      </c>
      <c r="U200" s="44" t="n">
        <f aca="false">IF($B200="","",COUNTIF($N200:$R200,"Attended"))</f>
        <v>0</v>
      </c>
      <c r="V200" s="47" t="str">
        <f aca="false">IF($B200="","",_xlfn.TEXTJOIN(", ",TRUE(),IF($N200="Attended",Setup!$D$15,""),IF($O200="Attended",Setup!$D$16,""),IF($P200="Attended",Setup!$D$17,""),IF($Q200="Attended",Setup!$D$18,""),IF($R200="Attended",Setup!$D$19,"")))</f>
        <v/>
      </c>
      <c r="W200" s="48" t="str">
        <f aca="true">IF(OR($B200="",NOT(ISNUMBER($H200))),"",TODAY()-$H200)</f>
        <v/>
      </c>
      <c r="X200" s="47" t="str">
        <f aca="false">IF($B200="","",IF($U200&gt;0,"Event attendee",IF($G200="Yes","Met (no event)",IF($T200&gt;0,"Invited only",IF(OR($L200="Yes",$M200="Yes"),"Contacted only","Not yet contacted")))))</f>
        <v>Contacted only</v>
      </c>
      <c r="Y200" s="47" t="n">
        <f aca="false">IF($B200="","",COUNTIF(c_Firm,"&lt;"&amp;$D200)+COUNTIFS(c_Firm,$D200,c_Name,"&lt;"&amp;$B200)+COUNTIFS($D$2:$D200,$D200,$B$2:$B200,$B200))</f>
        <v>199</v>
      </c>
      <c r="Z200" s="47" t="n">
        <f aca="false">IF($B200="","",IF(AND(OR(Contacts!$C$3="(All)",$D200=Contacts!$C$3),OR(Contacts!$E$3="(All)",$G200=Contacts!$E$3),OR(Contacts!$G$3="(All)",ISNUMBER(SEARCH(Contacts!$G$3,$V200))),OR(Contacts!$I$3="(All)",$X200=Contacts!$I$3),OR(Contacts!$K$3="",ISNUMBER(SEARCH(Contacts!$K$3,$B200&amp;" "&amp;$C200&amp;" "&amp;$D200&amp;" "&amp;$S200)))),1,0))</f>
        <v>1</v>
      </c>
      <c r="AA200" s="47" t="n">
        <f aca="false">IF($Z200=1,COUNTIFS(c_Pass,1,c_Sort,"&lt;="&amp;$Y200),"")</f>
        <v>199</v>
      </c>
      <c r="AB200" s="47" t="str">
        <f aca="false">IF(OR($G200&lt;&gt;"Yes",NOT(ISNUMBER($H200))),"",COUNTIFS(c_Met,"Yes",c_Date,"&lt;"&amp;$H200)+COUNTIFS($G$2:$G200,"Yes",$H$2:$H200,$H200))</f>
        <v/>
      </c>
    </row>
    <row r="201" customFormat="false" ht="15" hidden="false" customHeight="false" outlineLevel="0" collapsed="false">
      <c r="A201" s="44" t="n">
        <f aca="false">IF($B201="","",COUNTA($B$2:$B201))</f>
        <v>200</v>
      </c>
      <c r="B201" s="11" t="s">
        <v>559</v>
      </c>
      <c r="C201" s="11" t="s">
        <v>560</v>
      </c>
      <c r="D201" s="11" t="s">
        <v>26</v>
      </c>
      <c r="E201" s="11" t="s">
        <v>131</v>
      </c>
      <c r="F201" s="11" t="s">
        <v>70</v>
      </c>
      <c r="G201" s="34" t="s">
        <v>132</v>
      </c>
      <c r="H201" s="25"/>
      <c r="I201" s="40" t="n">
        <v>0</v>
      </c>
      <c r="J201" s="34" t="s">
        <v>132</v>
      </c>
      <c r="K201" s="45"/>
      <c r="L201" s="34" t="s">
        <v>142</v>
      </c>
      <c r="M201" s="34"/>
      <c r="N201" s="11" t="s">
        <v>133</v>
      </c>
      <c r="O201" s="11" t="s">
        <v>133</v>
      </c>
      <c r="P201" s="11" t="s">
        <v>133</v>
      </c>
      <c r="Q201" s="11" t="s">
        <v>133</v>
      </c>
      <c r="R201" s="11" t="s">
        <v>133</v>
      </c>
      <c r="S201" s="46"/>
      <c r="T201" s="44" t="n">
        <f aca="false">IF($B201="","",COUNTA($N201:$R201)-COUNTIF($N201:$R201,"Not Invited"))</f>
        <v>0</v>
      </c>
      <c r="U201" s="44" t="n">
        <f aca="false">IF($B201="","",COUNTIF($N201:$R201,"Attended"))</f>
        <v>0</v>
      </c>
      <c r="V201" s="47" t="str">
        <f aca="false">IF($B201="","",_xlfn.TEXTJOIN(", ",TRUE(),IF($N201="Attended",Setup!$D$15,""),IF($O201="Attended",Setup!$D$16,""),IF($P201="Attended",Setup!$D$17,""),IF($Q201="Attended",Setup!$D$18,""),IF($R201="Attended",Setup!$D$19,"")))</f>
        <v/>
      </c>
      <c r="W201" s="48" t="str">
        <f aca="true">IF(OR($B201="",NOT(ISNUMBER($H201))),"",TODAY()-$H201)</f>
        <v/>
      </c>
      <c r="X201" s="47" t="str">
        <f aca="false">IF($B201="","",IF($U201&gt;0,"Event attendee",IF($G201="Yes","Met (no event)",IF($T201&gt;0,"Invited only",IF(OR($L201="Yes",$M201="Yes"),"Contacted only","Not yet contacted")))))</f>
        <v>Contacted only</v>
      </c>
      <c r="Y201" s="47" t="n">
        <f aca="false">IF($B201="","",COUNTIF(c_Firm,"&lt;"&amp;$D201)+COUNTIFS(c_Firm,$D201,c_Name,"&lt;"&amp;$B201)+COUNTIFS($D$2:$D201,$D201,$B$2:$B201,$B201))</f>
        <v>200</v>
      </c>
      <c r="Z201" s="47" t="n">
        <f aca="false">IF($B201="","",IF(AND(OR(Contacts!$C$3="(All)",$D201=Contacts!$C$3),OR(Contacts!$E$3="(All)",$G201=Contacts!$E$3),OR(Contacts!$G$3="(All)",ISNUMBER(SEARCH(Contacts!$G$3,$V201))),OR(Contacts!$I$3="(All)",$X201=Contacts!$I$3),OR(Contacts!$K$3="",ISNUMBER(SEARCH(Contacts!$K$3,$B201&amp;" "&amp;$C201&amp;" "&amp;$D201&amp;" "&amp;$S201)))),1,0))</f>
        <v>1</v>
      </c>
      <c r="AA201" s="47" t="n">
        <f aca="false">IF($Z201=1,COUNTIFS(c_Pass,1,c_Sort,"&lt;="&amp;$Y201),"")</f>
        <v>200</v>
      </c>
      <c r="AB201" s="47" t="str">
        <f aca="false">IF(OR($G201&lt;&gt;"Yes",NOT(ISNUMBER($H201))),"",COUNTIFS(c_Met,"Yes",c_Date,"&lt;"&amp;$H201)+COUNTIFS($G$2:$G201,"Yes",$H$2:$H201,$H201))</f>
        <v/>
      </c>
    </row>
    <row r="202" customFormat="false" ht="15" hidden="false" customHeight="false" outlineLevel="0" collapsed="false">
      <c r="A202" s="44" t="n">
        <f aca="false">IF($B202="","",COUNTA($B$2:$B202))</f>
        <v>201</v>
      </c>
      <c r="B202" s="11" t="s">
        <v>561</v>
      </c>
      <c r="C202" s="11" t="s">
        <v>562</v>
      </c>
      <c r="D202" s="11" t="s">
        <v>26</v>
      </c>
      <c r="E202" s="11" t="s">
        <v>131</v>
      </c>
      <c r="F202" s="11" t="s">
        <v>70</v>
      </c>
      <c r="G202" s="34" t="s">
        <v>132</v>
      </c>
      <c r="H202" s="25"/>
      <c r="I202" s="40" t="n">
        <v>0</v>
      </c>
      <c r="J202" s="34" t="s">
        <v>132</v>
      </c>
      <c r="K202" s="45"/>
      <c r="L202" s="34" t="s">
        <v>142</v>
      </c>
      <c r="M202" s="34"/>
      <c r="N202" s="11" t="s">
        <v>133</v>
      </c>
      <c r="O202" s="11" t="s">
        <v>133</v>
      </c>
      <c r="P202" s="11" t="s">
        <v>133</v>
      </c>
      <c r="Q202" s="11" t="s">
        <v>133</v>
      </c>
      <c r="R202" s="11" t="s">
        <v>133</v>
      </c>
      <c r="S202" s="46"/>
      <c r="T202" s="44" t="n">
        <f aca="false">IF($B202="","",COUNTA($N202:$R202)-COUNTIF($N202:$R202,"Not Invited"))</f>
        <v>0</v>
      </c>
      <c r="U202" s="44" t="n">
        <f aca="false">IF($B202="","",COUNTIF($N202:$R202,"Attended"))</f>
        <v>0</v>
      </c>
      <c r="V202" s="47" t="str">
        <f aca="false">IF($B202="","",_xlfn.TEXTJOIN(", ",TRUE(),IF($N202="Attended",Setup!$D$15,""),IF($O202="Attended",Setup!$D$16,""),IF($P202="Attended",Setup!$D$17,""),IF($Q202="Attended",Setup!$D$18,""),IF($R202="Attended",Setup!$D$19,"")))</f>
        <v/>
      </c>
      <c r="W202" s="48" t="str">
        <f aca="true">IF(OR($B202="",NOT(ISNUMBER($H202))),"",TODAY()-$H202)</f>
        <v/>
      </c>
      <c r="X202" s="47" t="str">
        <f aca="false">IF($B202="","",IF($U202&gt;0,"Event attendee",IF($G202="Yes","Met (no event)",IF($T202&gt;0,"Invited only",IF(OR($L202="Yes",$M202="Yes"),"Contacted only","Not yet contacted")))))</f>
        <v>Contacted only</v>
      </c>
      <c r="Y202" s="47" t="n">
        <f aca="false">IF($B202="","",COUNTIF(c_Firm,"&lt;"&amp;$D202)+COUNTIFS(c_Firm,$D202,c_Name,"&lt;"&amp;$B202)+COUNTIFS($D$2:$D202,$D202,$B$2:$B202,$B202))</f>
        <v>201</v>
      </c>
      <c r="Z202" s="47" t="n">
        <f aca="false">IF($B202="","",IF(AND(OR(Contacts!$C$3="(All)",$D202=Contacts!$C$3),OR(Contacts!$E$3="(All)",$G202=Contacts!$E$3),OR(Contacts!$G$3="(All)",ISNUMBER(SEARCH(Contacts!$G$3,$V202))),OR(Contacts!$I$3="(All)",$X202=Contacts!$I$3),OR(Contacts!$K$3="",ISNUMBER(SEARCH(Contacts!$K$3,$B202&amp;" "&amp;$C202&amp;" "&amp;$D202&amp;" "&amp;$S202)))),1,0))</f>
        <v>1</v>
      </c>
      <c r="AA202" s="47" t="n">
        <f aca="false">IF($Z202=1,COUNTIFS(c_Pass,1,c_Sort,"&lt;="&amp;$Y202),"")</f>
        <v>201</v>
      </c>
      <c r="AB202" s="47" t="str">
        <f aca="false">IF(OR($G202&lt;&gt;"Yes",NOT(ISNUMBER($H202))),"",COUNTIFS(c_Met,"Yes",c_Date,"&lt;"&amp;$H202)+COUNTIFS($G$2:$G202,"Yes",$H$2:$H202,$H202))</f>
        <v/>
      </c>
    </row>
    <row r="203" customFormat="false" ht="15" hidden="false" customHeight="false" outlineLevel="0" collapsed="false">
      <c r="A203" s="44" t="n">
        <f aca="false">IF($B203="","",COUNTA($B$2:$B203))</f>
        <v>202</v>
      </c>
      <c r="B203" s="11" t="s">
        <v>563</v>
      </c>
      <c r="C203" s="11"/>
      <c r="D203" s="11" t="s">
        <v>26</v>
      </c>
      <c r="E203" s="11" t="s">
        <v>193</v>
      </c>
      <c r="F203" s="11" t="s">
        <v>68</v>
      </c>
      <c r="G203" s="34" t="s">
        <v>132</v>
      </c>
      <c r="H203" s="25"/>
      <c r="I203" s="40" t="n">
        <v>0</v>
      </c>
      <c r="J203" s="34" t="s">
        <v>132</v>
      </c>
      <c r="K203" s="45"/>
      <c r="L203" s="34"/>
      <c r="M203" s="34" t="s">
        <v>142</v>
      </c>
      <c r="N203" s="11" t="s">
        <v>133</v>
      </c>
      <c r="O203" s="11" t="s">
        <v>133</v>
      </c>
      <c r="P203" s="11" t="s">
        <v>133</v>
      </c>
      <c r="Q203" s="11" t="s">
        <v>133</v>
      </c>
      <c r="R203" s="11" t="s">
        <v>133</v>
      </c>
      <c r="S203" s="46" t="s">
        <v>564</v>
      </c>
      <c r="T203" s="44" t="n">
        <f aca="false">IF($B203="","",COUNTA($N203:$R203)-COUNTIF($N203:$R203,"Not Invited"))</f>
        <v>0</v>
      </c>
      <c r="U203" s="44" t="n">
        <f aca="false">IF($B203="","",COUNTIF($N203:$R203,"Attended"))</f>
        <v>0</v>
      </c>
      <c r="V203" s="47" t="str">
        <f aca="false">IF($B203="","",_xlfn.TEXTJOIN(", ",TRUE(),IF($N203="Attended",Setup!$D$15,""),IF($O203="Attended",Setup!$D$16,""),IF($P203="Attended",Setup!$D$17,""),IF($Q203="Attended",Setup!$D$18,""),IF($R203="Attended",Setup!$D$19,"")))</f>
        <v/>
      </c>
      <c r="W203" s="48" t="str">
        <f aca="true">IF(OR($B203="",NOT(ISNUMBER($H203))),"",TODAY()-$H203)</f>
        <v/>
      </c>
      <c r="X203" s="47" t="str">
        <f aca="false">IF($B203="","",IF($U203&gt;0,"Event attendee",IF($G203="Yes","Met (no event)",IF($T203&gt;0,"Invited only",IF(OR($L203="Yes",$M203="Yes"),"Contacted only","Not yet contacted")))))</f>
        <v>Contacted only</v>
      </c>
      <c r="Y203" s="47" t="n">
        <f aca="false">IF($B203="","",COUNTIF(c_Firm,"&lt;"&amp;$D203)+COUNTIFS(c_Firm,$D203,c_Name,"&lt;"&amp;$B203)+COUNTIFS($D$2:$D203,$D203,$B$2:$B203,$B203))</f>
        <v>202</v>
      </c>
      <c r="Z203" s="47" t="n">
        <f aca="false">IF($B203="","",IF(AND(OR(Contacts!$C$3="(All)",$D203=Contacts!$C$3),OR(Contacts!$E$3="(All)",$G203=Contacts!$E$3),OR(Contacts!$G$3="(All)",ISNUMBER(SEARCH(Contacts!$G$3,$V203))),OR(Contacts!$I$3="(All)",$X203=Contacts!$I$3),OR(Contacts!$K$3="",ISNUMBER(SEARCH(Contacts!$K$3,$B203&amp;" "&amp;$C203&amp;" "&amp;$D203&amp;" "&amp;$S203)))),1,0))</f>
        <v>1</v>
      </c>
      <c r="AA203" s="47" t="n">
        <f aca="false">IF($Z203=1,COUNTIFS(c_Pass,1,c_Sort,"&lt;="&amp;$Y203),"")</f>
        <v>202</v>
      </c>
      <c r="AB203" s="47" t="str">
        <f aca="false">IF(OR($G203&lt;&gt;"Yes",NOT(ISNUMBER($H203))),"",COUNTIFS(c_Met,"Yes",c_Date,"&lt;"&amp;$H203)+COUNTIFS($G$2:$G203,"Yes",$H$2:$H203,$H203))</f>
        <v/>
      </c>
    </row>
    <row r="204" customFormat="false" ht="15" hidden="false" customHeight="false" outlineLevel="0" collapsed="false">
      <c r="A204" s="44" t="n">
        <f aca="false">IF($B204="","",COUNTA($B$2:$B204))</f>
        <v>203</v>
      </c>
      <c r="B204" s="11" t="s">
        <v>565</v>
      </c>
      <c r="C204" s="11"/>
      <c r="D204" s="11" t="s">
        <v>26</v>
      </c>
      <c r="E204" s="11" t="s">
        <v>193</v>
      </c>
      <c r="F204" s="11" t="s">
        <v>68</v>
      </c>
      <c r="G204" s="34" t="s">
        <v>132</v>
      </c>
      <c r="H204" s="25"/>
      <c r="I204" s="40" t="n">
        <v>0</v>
      </c>
      <c r="J204" s="34" t="s">
        <v>132</v>
      </c>
      <c r="K204" s="45"/>
      <c r="L204" s="34"/>
      <c r="M204" s="34" t="s">
        <v>142</v>
      </c>
      <c r="N204" s="11" t="s">
        <v>133</v>
      </c>
      <c r="O204" s="11" t="s">
        <v>133</v>
      </c>
      <c r="P204" s="11" t="s">
        <v>133</v>
      </c>
      <c r="Q204" s="11" t="s">
        <v>133</v>
      </c>
      <c r="R204" s="11" t="s">
        <v>133</v>
      </c>
      <c r="S204" s="46" t="s">
        <v>566</v>
      </c>
      <c r="T204" s="44" t="n">
        <f aca="false">IF($B204="","",COUNTA($N204:$R204)-COUNTIF($N204:$R204,"Not Invited"))</f>
        <v>0</v>
      </c>
      <c r="U204" s="44" t="n">
        <f aca="false">IF($B204="","",COUNTIF($N204:$R204,"Attended"))</f>
        <v>0</v>
      </c>
      <c r="V204" s="47" t="str">
        <f aca="false">IF($B204="","",_xlfn.TEXTJOIN(", ",TRUE(),IF($N204="Attended",Setup!$D$15,""),IF($O204="Attended",Setup!$D$16,""),IF($P204="Attended",Setup!$D$17,""),IF($Q204="Attended",Setup!$D$18,""),IF($R204="Attended",Setup!$D$19,"")))</f>
        <v/>
      </c>
      <c r="W204" s="48" t="str">
        <f aca="true">IF(OR($B204="",NOT(ISNUMBER($H204))),"",TODAY()-$H204)</f>
        <v/>
      </c>
      <c r="X204" s="47" t="str">
        <f aca="false">IF($B204="","",IF($U204&gt;0,"Event attendee",IF($G204="Yes","Met (no event)",IF($T204&gt;0,"Invited only",IF(OR($L204="Yes",$M204="Yes"),"Contacted only","Not yet contacted")))))</f>
        <v>Contacted only</v>
      </c>
      <c r="Y204" s="47" t="n">
        <f aca="false">IF($B204="","",COUNTIF(c_Firm,"&lt;"&amp;$D204)+COUNTIFS(c_Firm,$D204,c_Name,"&lt;"&amp;$B204)+COUNTIFS($D$2:$D204,$D204,$B$2:$B204,$B204))</f>
        <v>203</v>
      </c>
      <c r="Z204" s="47" t="n">
        <f aca="false">IF($B204="","",IF(AND(OR(Contacts!$C$3="(All)",$D204=Contacts!$C$3),OR(Contacts!$E$3="(All)",$G204=Contacts!$E$3),OR(Contacts!$G$3="(All)",ISNUMBER(SEARCH(Contacts!$G$3,$V204))),OR(Contacts!$I$3="(All)",$X204=Contacts!$I$3),OR(Contacts!$K$3="",ISNUMBER(SEARCH(Contacts!$K$3,$B204&amp;" "&amp;$C204&amp;" "&amp;$D204&amp;" "&amp;$S204)))),1,0))</f>
        <v>1</v>
      </c>
      <c r="AA204" s="47" t="n">
        <f aca="false">IF($Z204=1,COUNTIFS(c_Pass,1,c_Sort,"&lt;="&amp;$Y204),"")</f>
        <v>203</v>
      </c>
      <c r="AB204" s="47" t="str">
        <f aca="false">IF(OR($G204&lt;&gt;"Yes",NOT(ISNUMBER($H204))),"",COUNTIFS(c_Met,"Yes",c_Date,"&lt;"&amp;$H204)+COUNTIFS($G$2:$G204,"Yes",$H$2:$H204,$H204))</f>
        <v/>
      </c>
    </row>
    <row r="205" customFormat="false" ht="15" hidden="false" customHeight="false" outlineLevel="0" collapsed="false">
      <c r="A205" s="44" t="n">
        <f aca="false">IF($B205="","",COUNTA($B$2:$B205))</f>
        <v>204</v>
      </c>
      <c r="B205" s="11" t="s">
        <v>567</v>
      </c>
      <c r="C205" s="11"/>
      <c r="D205" s="11" t="s">
        <v>26</v>
      </c>
      <c r="E205" s="11" t="s">
        <v>193</v>
      </c>
      <c r="F205" s="11" t="s">
        <v>68</v>
      </c>
      <c r="G205" s="34" t="s">
        <v>132</v>
      </c>
      <c r="H205" s="25"/>
      <c r="I205" s="40" t="n">
        <v>0</v>
      </c>
      <c r="J205" s="34" t="s">
        <v>132</v>
      </c>
      <c r="K205" s="45"/>
      <c r="L205" s="34"/>
      <c r="M205" s="34" t="s">
        <v>142</v>
      </c>
      <c r="N205" s="11" t="s">
        <v>133</v>
      </c>
      <c r="O205" s="11" t="s">
        <v>133</v>
      </c>
      <c r="P205" s="11" t="s">
        <v>133</v>
      </c>
      <c r="Q205" s="11" t="s">
        <v>133</v>
      </c>
      <c r="R205" s="11" t="s">
        <v>133</v>
      </c>
      <c r="S205" s="46" t="s">
        <v>568</v>
      </c>
      <c r="T205" s="44" t="n">
        <f aca="false">IF($B205="","",COUNTA($N205:$R205)-COUNTIF($N205:$R205,"Not Invited"))</f>
        <v>0</v>
      </c>
      <c r="U205" s="44" t="n">
        <f aca="false">IF($B205="","",COUNTIF($N205:$R205,"Attended"))</f>
        <v>0</v>
      </c>
      <c r="V205" s="47" t="str">
        <f aca="false">IF($B205="","",_xlfn.TEXTJOIN(", ",TRUE(),IF($N205="Attended",Setup!$D$15,""),IF($O205="Attended",Setup!$D$16,""),IF($P205="Attended",Setup!$D$17,""),IF($Q205="Attended",Setup!$D$18,""),IF($R205="Attended",Setup!$D$19,"")))</f>
        <v/>
      </c>
      <c r="W205" s="48" t="str">
        <f aca="true">IF(OR($B205="",NOT(ISNUMBER($H205))),"",TODAY()-$H205)</f>
        <v/>
      </c>
      <c r="X205" s="47" t="str">
        <f aca="false">IF($B205="","",IF($U205&gt;0,"Event attendee",IF($G205="Yes","Met (no event)",IF($T205&gt;0,"Invited only",IF(OR($L205="Yes",$M205="Yes"),"Contacted only","Not yet contacted")))))</f>
        <v>Contacted only</v>
      </c>
      <c r="Y205" s="47" t="n">
        <f aca="false">IF($B205="","",COUNTIF(c_Firm,"&lt;"&amp;$D205)+COUNTIFS(c_Firm,$D205,c_Name,"&lt;"&amp;$B205)+COUNTIFS($D$2:$D205,$D205,$B$2:$B205,$B205))</f>
        <v>204</v>
      </c>
      <c r="Z205" s="47" t="n">
        <f aca="false">IF($B205="","",IF(AND(OR(Contacts!$C$3="(All)",$D205=Contacts!$C$3),OR(Contacts!$E$3="(All)",$G205=Contacts!$E$3),OR(Contacts!$G$3="(All)",ISNUMBER(SEARCH(Contacts!$G$3,$V205))),OR(Contacts!$I$3="(All)",$X205=Contacts!$I$3),OR(Contacts!$K$3="",ISNUMBER(SEARCH(Contacts!$K$3,$B205&amp;" "&amp;$C205&amp;" "&amp;$D205&amp;" "&amp;$S205)))),1,0))</f>
        <v>1</v>
      </c>
      <c r="AA205" s="47" t="n">
        <f aca="false">IF($Z205=1,COUNTIFS(c_Pass,1,c_Sort,"&lt;="&amp;$Y205),"")</f>
        <v>204</v>
      </c>
      <c r="AB205" s="47" t="str">
        <f aca="false">IF(OR($G205&lt;&gt;"Yes",NOT(ISNUMBER($H205))),"",COUNTIFS(c_Met,"Yes",c_Date,"&lt;"&amp;$H205)+COUNTIFS($G$2:$G205,"Yes",$H$2:$H205,$H205))</f>
        <v/>
      </c>
    </row>
    <row r="206" customFormat="false" ht="15" hidden="false" customHeight="false" outlineLevel="0" collapsed="false">
      <c r="A206" s="44" t="n">
        <f aca="false">IF($B206="","",COUNTA($B$2:$B206))</f>
        <v>205</v>
      </c>
      <c r="B206" s="11" t="s">
        <v>569</v>
      </c>
      <c r="C206" s="11" t="s">
        <v>570</v>
      </c>
      <c r="D206" s="11" t="s">
        <v>26</v>
      </c>
      <c r="E206" s="11" t="s">
        <v>131</v>
      </c>
      <c r="F206" s="11" t="s">
        <v>70</v>
      </c>
      <c r="G206" s="34" t="s">
        <v>132</v>
      </c>
      <c r="H206" s="25"/>
      <c r="I206" s="40" t="n">
        <v>0</v>
      </c>
      <c r="J206" s="34" t="s">
        <v>132</v>
      </c>
      <c r="K206" s="45"/>
      <c r="L206" s="34" t="s">
        <v>142</v>
      </c>
      <c r="M206" s="34"/>
      <c r="N206" s="11" t="s">
        <v>133</v>
      </c>
      <c r="O206" s="11" t="s">
        <v>133</v>
      </c>
      <c r="P206" s="11" t="s">
        <v>133</v>
      </c>
      <c r="Q206" s="11" t="s">
        <v>133</v>
      </c>
      <c r="R206" s="11" t="s">
        <v>133</v>
      </c>
      <c r="S206" s="46"/>
      <c r="T206" s="44" t="n">
        <f aca="false">IF($B206="","",COUNTA($N206:$R206)-COUNTIF($N206:$R206,"Not Invited"))</f>
        <v>0</v>
      </c>
      <c r="U206" s="44" t="n">
        <f aca="false">IF($B206="","",COUNTIF($N206:$R206,"Attended"))</f>
        <v>0</v>
      </c>
      <c r="V206" s="47" t="str">
        <f aca="false">IF($B206="","",_xlfn.TEXTJOIN(", ",TRUE(),IF($N206="Attended",Setup!$D$15,""),IF($O206="Attended",Setup!$D$16,""),IF($P206="Attended",Setup!$D$17,""),IF($Q206="Attended",Setup!$D$18,""),IF($R206="Attended",Setup!$D$19,"")))</f>
        <v/>
      </c>
      <c r="W206" s="48" t="str">
        <f aca="true">IF(OR($B206="",NOT(ISNUMBER($H206))),"",TODAY()-$H206)</f>
        <v/>
      </c>
      <c r="X206" s="47" t="str">
        <f aca="false">IF($B206="","",IF($U206&gt;0,"Event attendee",IF($G206="Yes","Met (no event)",IF($T206&gt;0,"Invited only",IF(OR($L206="Yes",$M206="Yes"),"Contacted only","Not yet contacted")))))</f>
        <v>Contacted only</v>
      </c>
      <c r="Y206" s="47" t="n">
        <f aca="false">IF($B206="","",COUNTIF(c_Firm,"&lt;"&amp;$D206)+COUNTIFS(c_Firm,$D206,c_Name,"&lt;"&amp;$B206)+COUNTIFS($D$2:$D206,$D206,$B$2:$B206,$B206))</f>
        <v>205</v>
      </c>
      <c r="Z206" s="47" t="n">
        <f aca="false">IF($B206="","",IF(AND(OR(Contacts!$C$3="(All)",$D206=Contacts!$C$3),OR(Contacts!$E$3="(All)",$G206=Contacts!$E$3),OR(Contacts!$G$3="(All)",ISNUMBER(SEARCH(Contacts!$G$3,$V206))),OR(Contacts!$I$3="(All)",$X206=Contacts!$I$3),OR(Contacts!$K$3="",ISNUMBER(SEARCH(Contacts!$K$3,$B206&amp;" "&amp;$C206&amp;" "&amp;$D206&amp;" "&amp;$S206)))),1,0))</f>
        <v>1</v>
      </c>
      <c r="AA206" s="47" t="n">
        <f aca="false">IF($Z206=1,COUNTIFS(c_Pass,1,c_Sort,"&lt;="&amp;$Y206),"")</f>
        <v>205</v>
      </c>
      <c r="AB206" s="47" t="str">
        <f aca="false">IF(OR($G206&lt;&gt;"Yes",NOT(ISNUMBER($H206))),"",COUNTIFS(c_Met,"Yes",c_Date,"&lt;"&amp;$H206)+COUNTIFS($G$2:$G206,"Yes",$H$2:$H206,$H206))</f>
        <v/>
      </c>
    </row>
    <row r="207" customFormat="false" ht="15" hidden="false" customHeight="false" outlineLevel="0" collapsed="false">
      <c r="A207" s="44" t="n">
        <f aca="false">IF($B207="","",COUNTA($B$2:$B207))</f>
        <v>206</v>
      </c>
      <c r="B207" s="11" t="s">
        <v>571</v>
      </c>
      <c r="C207" s="11" t="s">
        <v>572</v>
      </c>
      <c r="D207" s="11" t="s">
        <v>26</v>
      </c>
      <c r="E207" s="11" t="s">
        <v>131</v>
      </c>
      <c r="F207" s="11" t="s">
        <v>573</v>
      </c>
      <c r="G207" s="34" t="s">
        <v>132</v>
      </c>
      <c r="H207" s="25"/>
      <c r="I207" s="40" t="n">
        <v>0</v>
      </c>
      <c r="J207" s="34" t="s">
        <v>132</v>
      </c>
      <c r="K207" s="45"/>
      <c r="L207" s="34" t="s">
        <v>142</v>
      </c>
      <c r="M207" s="34"/>
      <c r="N207" s="11" t="s">
        <v>133</v>
      </c>
      <c r="O207" s="11" t="s">
        <v>133</v>
      </c>
      <c r="P207" s="11" t="s">
        <v>133</v>
      </c>
      <c r="Q207" s="11" t="s">
        <v>133</v>
      </c>
      <c r="R207" s="11" t="s">
        <v>133</v>
      </c>
      <c r="S207" s="46" t="s">
        <v>574</v>
      </c>
      <c r="T207" s="44" t="n">
        <f aca="false">IF($B207="","",COUNTA($N207:$R207)-COUNTIF($N207:$R207,"Not Invited"))</f>
        <v>0</v>
      </c>
      <c r="U207" s="44" t="n">
        <f aca="false">IF($B207="","",COUNTIF($N207:$R207,"Attended"))</f>
        <v>0</v>
      </c>
      <c r="V207" s="47" t="str">
        <f aca="false">IF($B207="","",_xlfn.TEXTJOIN(", ",TRUE(),IF($N207="Attended",Setup!$D$15,""),IF($O207="Attended",Setup!$D$16,""),IF($P207="Attended",Setup!$D$17,""),IF($Q207="Attended",Setup!$D$18,""),IF($R207="Attended",Setup!$D$19,"")))</f>
        <v/>
      </c>
      <c r="W207" s="48" t="str">
        <f aca="true">IF(OR($B207="",NOT(ISNUMBER($H207))),"",TODAY()-$H207)</f>
        <v/>
      </c>
      <c r="X207" s="47" t="str">
        <f aca="false">IF($B207="","",IF($U207&gt;0,"Event attendee",IF($G207="Yes","Met (no event)",IF($T207&gt;0,"Invited only",IF(OR($L207="Yes",$M207="Yes"),"Contacted only","Not yet contacted")))))</f>
        <v>Contacted only</v>
      </c>
      <c r="Y207" s="47" t="n">
        <f aca="false">IF($B207="","",COUNTIF(c_Firm,"&lt;"&amp;$D207)+COUNTIFS(c_Firm,$D207,c_Name,"&lt;"&amp;$B207)+COUNTIFS($D$2:$D207,$D207,$B$2:$B207,$B207))</f>
        <v>206</v>
      </c>
      <c r="Z207" s="47" t="n">
        <f aca="false">IF($B207="","",IF(AND(OR(Contacts!$C$3="(All)",$D207=Contacts!$C$3),OR(Contacts!$E$3="(All)",$G207=Contacts!$E$3),OR(Contacts!$G$3="(All)",ISNUMBER(SEARCH(Contacts!$G$3,$V207))),OR(Contacts!$I$3="(All)",$X207=Contacts!$I$3),OR(Contacts!$K$3="",ISNUMBER(SEARCH(Contacts!$K$3,$B207&amp;" "&amp;$C207&amp;" "&amp;$D207&amp;" "&amp;$S207)))),1,0))</f>
        <v>1</v>
      </c>
      <c r="AA207" s="47" t="n">
        <f aca="false">IF($Z207=1,COUNTIFS(c_Pass,1,c_Sort,"&lt;="&amp;$Y207),"")</f>
        <v>206</v>
      </c>
      <c r="AB207" s="47" t="str">
        <f aca="false">IF(OR($G207&lt;&gt;"Yes",NOT(ISNUMBER($H207))),"",COUNTIFS(c_Met,"Yes",c_Date,"&lt;"&amp;$H207)+COUNTIFS($G$2:$G207,"Yes",$H$2:$H207,$H207))</f>
        <v/>
      </c>
    </row>
    <row r="208" customFormat="false" ht="15" hidden="false" customHeight="false" outlineLevel="0" collapsed="false">
      <c r="A208" s="44" t="n">
        <f aca="false">IF($B208="","",COUNTA($B$2:$B208))</f>
        <v>207</v>
      </c>
      <c r="B208" s="11" t="s">
        <v>575</v>
      </c>
      <c r="C208" s="11" t="s">
        <v>576</v>
      </c>
      <c r="D208" s="11" t="s">
        <v>26</v>
      </c>
      <c r="E208" s="11" t="s">
        <v>131</v>
      </c>
      <c r="F208" s="11" t="s">
        <v>70</v>
      </c>
      <c r="G208" s="34" t="s">
        <v>132</v>
      </c>
      <c r="H208" s="25"/>
      <c r="I208" s="40" t="n">
        <v>0</v>
      </c>
      <c r="J208" s="34" t="s">
        <v>132</v>
      </c>
      <c r="K208" s="45"/>
      <c r="L208" s="34" t="s">
        <v>142</v>
      </c>
      <c r="M208" s="34"/>
      <c r="N208" s="11" t="s">
        <v>133</v>
      </c>
      <c r="O208" s="11" t="s">
        <v>133</v>
      </c>
      <c r="P208" s="11" t="s">
        <v>133</v>
      </c>
      <c r="Q208" s="11" t="s">
        <v>133</v>
      </c>
      <c r="R208" s="11" t="s">
        <v>133</v>
      </c>
      <c r="S208" s="46"/>
      <c r="T208" s="44" t="n">
        <f aca="false">IF($B208="","",COUNTA($N208:$R208)-COUNTIF($N208:$R208,"Not Invited"))</f>
        <v>0</v>
      </c>
      <c r="U208" s="44" t="n">
        <f aca="false">IF($B208="","",COUNTIF($N208:$R208,"Attended"))</f>
        <v>0</v>
      </c>
      <c r="V208" s="47" t="str">
        <f aca="false">IF($B208="","",_xlfn.TEXTJOIN(", ",TRUE(),IF($N208="Attended",Setup!$D$15,""),IF($O208="Attended",Setup!$D$16,""),IF($P208="Attended",Setup!$D$17,""),IF($Q208="Attended",Setup!$D$18,""),IF($R208="Attended",Setup!$D$19,"")))</f>
        <v/>
      </c>
      <c r="W208" s="48" t="str">
        <f aca="true">IF(OR($B208="",NOT(ISNUMBER($H208))),"",TODAY()-$H208)</f>
        <v/>
      </c>
      <c r="X208" s="47" t="str">
        <f aca="false">IF($B208="","",IF($U208&gt;0,"Event attendee",IF($G208="Yes","Met (no event)",IF($T208&gt;0,"Invited only",IF(OR($L208="Yes",$M208="Yes"),"Contacted only","Not yet contacted")))))</f>
        <v>Contacted only</v>
      </c>
      <c r="Y208" s="47" t="n">
        <f aca="false">IF($B208="","",COUNTIF(c_Firm,"&lt;"&amp;$D208)+COUNTIFS(c_Firm,$D208,c_Name,"&lt;"&amp;$B208)+COUNTIFS($D$2:$D208,$D208,$B$2:$B208,$B208))</f>
        <v>207</v>
      </c>
      <c r="Z208" s="47" t="n">
        <f aca="false">IF($B208="","",IF(AND(OR(Contacts!$C$3="(All)",$D208=Contacts!$C$3),OR(Contacts!$E$3="(All)",$G208=Contacts!$E$3),OR(Contacts!$G$3="(All)",ISNUMBER(SEARCH(Contacts!$G$3,$V208))),OR(Contacts!$I$3="(All)",$X208=Contacts!$I$3),OR(Contacts!$K$3="",ISNUMBER(SEARCH(Contacts!$K$3,$B208&amp;" "&amp;$C208&amp;" "&amp;$D208&amp;" "&amp;$S208)))),1,0))</f>
        <v>1</v>
      </c>
      <c r="AA208" s="47" t="n">
        <f aca="false">IF($Z208=1,COUNTIFS(c_Pass,1,c_Sort,"&lt;="&amp;$Y208),"")</f>
        <v>207</v>
      </c>
      <c r="AB208" s="47" t="str">
        <f aca="false">IF(OR($G208&lt;&gt;"Yes",NOT(ISNUMBER($H208))),"",COUNTIFS(c_Met,"Yes",c_Date,"&lt;"&amp;$H208)+COUNTIFS($G$2:$G208,"Yes",$H$2:$H208,$H208))</f>
        <v/>
      </c>
    </row>
    <row r="209" customFormat="false" ht="15" hidden="false" customHeight="false" outlineLevel="0" collapsed="false">
      <c r="A209" s="44" t="n">
        <f aca="false">IF($B209="","",COUNTA($B$2:$B209))</f>
        <v>208</v>
      </c>
      <c r="B209" s="11" t="s">
        <v>577</v>
      </c>
      <c r="C209" s="11" t="s">
        <v>578</v>
      </c>
      <c r="D209" s="11" t="s">
        <v>26</v>
      </c>
      <c r="E209" s="11" t="s">
        <v>131</v>
      </c>
      <c r="F209" s="11" t="s">
        <v>70</v>
      </c>
      <c r="G209" s="34" t="s">
        <v>132</v>
      </c>
      <c r="H209" s="25"/>
      <c r="I209" s="40" t="n">
        <v>0</v>
      </c>
      <c r="J209" s="34" t="s">
        <v>132</v>
      </c>
      <c r="K209" s="45"/>
      <c r="L209" s="34" t="s">
        <v>142</v>
      </c>
      <c r="M209" s="34"/>
      <c r="N209" s="11" t="s">
        <v>133</v>
      </c>
      <c r="O209" s="11" t="s">
        <v>133</v>
      </c>
      <c r="P209" s="11" t="s">
        <v>133</v>
      </c>
      <c r="Q209" s="11" t="s">
        <v>133</v>
      </c>
      <c r="R209" s="11" t="s">
        <v>133</v>
      </c>
      <c r="S209" s="46"/>
      <c r="T209" s="44" t="n">
        <f aca="false">IF($B209="","",COUNTA($N209:$R209)-COUNTIF($N209:$R209,"Not Invited"))</f>
        <v>0</v>
      </c>
      <c r="U209" s="44" t="n">
        <f aca="false">IF($B209="","",COUNTIF($N209:$R209,"Attended"))</f>
        <v>0</v>
      </c>
      <c r="V209" s="47" t="str">
        <f aca="false">IF($B209="","",_xlfn.TEXTJOIN(", ",TRUE(),IF($N209="Attended",Setup!$D$15,""),IF($O209="Attended",Setup!$D$16,""),IF($P209="Attended",Setup!$D$17,""),IF($Q209="Attended",Setup!$D$18,""),IF($R209="Attended",Setup!$D$19,"")))</f>
        <v/>
      </c>
      <c r="W209" s="48" t="str">
        <f aca="true">IF(OR($B209="",NOT(ISNUMBER($H209))),"",TODAY()-$H209)</f>
        <v/>
      </c>
      <c r="X209" s="47" t="str">
        <f aca="false">IF($B209="","",IF($U209&gt;0,"Event attendee",IF($G209="Yes","Met (no event)",IF($T209&gt;0,"Invited only",IF(OR($L209="Yes",$M209="Yes"),"Contacted only","Not yet contacted")))))</f>
        <v>Contacted only</v>
      </c>
      <c r="Y209" s="47" t="n">
        <f aca="false">IF($B209="","",COUNTIF(c_Firm,"&lt;"&amp;$D209)+COUNTIFS(c_Firm,$D209,c_Name,"&lt;"&amp;$B209)+COUNTIFS($D$2:$D209,$D209,$B$2:$B209,$B209))</f>
        <v>208</v>
      </c>
      <c r="Z209" s="47" t="n">
        <f aca="false">IF($B209="","",IF(AND(OR(Contacts!$C$3="(All)",$D209=Contacts!$C$3),OR(Contacts!$E$3="(All)",$G209=Contacts!$E$3),OR(Contacts!$G$3="(All)",ISNUMBER(SEARCH(Contacts!$G$3,$V209))),OR(Contacts!$I$3="(All)",$X209=Contacts!$I$3),OR(Contacts!$K$3="",ISNUMBER(SEARCH(Contacts!$K$3,$B209&amp;" "&amp;$C209&amp;" "&amp;$D209&amp;" "&amp;$S209)))),1,0))</f>
        <v>1</v>
      </c>
      <c r="AA209" s="47" t="n">
        <f aca="false">IF($Z209=1,COUNTIFS(c_Pass,1,c_Sort,"&lt;="&amp;$Y209),"")</f>
        <v>208</v>
      </c>
      <c r="AB209" s="47" t="str">
        <f aca="false">IF(OR($G209&lt;&gt;"Yes",NOT(ISNUMBER($H209))),"",COUNTIFS(c_Met,"Yes",c_Date,"&lt;"&amp;$H209)+COUNTIFS($G$2:$G209,"Yes",$H$2:$H209,$H209))</f>
        <v/>
      </c>
    </row>
    <row r="210" customFormat="false" ht="15" hidden="false" customHeight="false" outlineLevel="0" collapsed="false">
      <c r="A210" s="44" t="n">
        <f aca="false">IF($B210="","",COUNTA($B$2:$B210))</f>
        <v>209</v>
      </c>
      <c r="B210" s="11" t="s">
        <v>579</v>
      </c>
      <c r="C210" s="11"/>
      <c r="D210" s="11" t="s">
        <v>26</v>
      </c>
      <c r="E210" s="11" t="s">
        <v>193</v>
      </c>
      <c r="F210" s="11" t="s">
        <v>68</v>
      </c>
      <c r="G210" s="34" t="s">
        <v>132</v>
      </c>
      <c r="H210" s="25"/>
      <c r="I210" s="40" t="n">
        <v>0</v>
      </c>
      <c r="J210" s="34" t="s">
        <v>132</v>
      </c>
      <c r="K210" s="45"/>
      <c r="L210" s="34"/>
      <c r="M210" s="34" t="s">
        <v>142</v>
      </c>
      <c r="N210" s="11" t="s">
        <v>133</v>
      </c>
      <c r="O210" s="11" t="s">
        <v>133</v>
      </c>
      <c r="P210" s="11" t="s">
        <v>133</v>
      </c>
      <c r="Q210" s="11" t="s">
        <v>133</v>
      </c>
      <c r="R210" s="11" t="s">
        <v>133</v>
      </c>
      <c r="S210" s="46" t="s">
        <v>580</v>
      </c>
      <c r="T210" s="44" t="n">
        <f aca="false">IF($B210="","",COUNTA($N210:$R210)-COUNTIF($N210:$R210,"Not Invited"))</f>
        <v>0</v>
      </c>
      <c r="U210" s="44" t="n">
        <f aca="false">IF($B210="","",COUNTIF($N210:$R210,"Attended"))</f>
        <v>0</v>
      </c>
      <c r="V210" s="47" t="str">
        <f aca="false">IF($B210="","",_xlfn.TEXTJOIN(", ",TRUE(),IF($N210="Attended",Setup!$D$15,""),IF($O210="Attended",Setup!$D$16,""),IF($P210="Attended",Setup!$D$17,""),IF($Q210="Attended",Setup!$D$18,""),IF($R210="Attended",Setup!$D$19,"")))</f>
        <v/>
      </c>
      <c r="W210" s="48" t="str">
        <f aca="true">IF(OR($B210="",NOT(ISNUMBER($H210))),"",TODAY()-$H210)</f>
        <v/>
      </c>
      <c r="X210" s="47" t="str">
        <f aca="false">IF($B210="","",IF($U210&gt;0,"Event attendee",IF($G210="Yes","Met (no event)",IF($T210&gt;0,"Invited only",IF(OR($L210="Yes",$M210="Yes"),"Contacted only","Not yet contacted")))))</f>
        <v>Contacted only</v>
      </c>
      <c r="Y210" s="47" t="n">
        <f aca="false">IF($B210="","",COUNTIF(c_Firm,"&lt;"&amp;$D210)+COUNTIFS(c_Firm,$D210,c_Name,"&lt;"&amp;$B210)+COUNTIFS($D$2:$D210,$D210,$B$2:$B210,$B210))</f>
        <v>209</v>
      </c>
      <c r="Z210" s="47" t="n">
        <f aca="false">IF($B210="","",IF(AND(OR(Contacts!$C$3="(All)",$D210=Contacts!$C$3),OR(Contacts!$E$3="(All)",$G210=Contacts!$E$3),OR(Contacts!$G$3="(All)",ISNUMBER(SEARCH(Contacts!$G$3,$V210))),OR(Contacts!$I$3="(All)",$X210=Contacts!$I$3),OR(Contacts!$K$3="",ISNUMBER(SEARCH(Contacts!$K$3,$B210&amp;" "&amp;$C210&amp;" "&amp;$D210&amp;" "&amp;$S210)))),1,0))</f>
        <v>1</v>
      </c>
      <c r="AA210" s="47" t="n">
        <f aca="false">IF($Z210=1,COUNTIFS(c_Pass,1,c_Sort,"&lt;="&amp;$Y210),"")</f>
        <v>209</v>
      </c>
      <c r="AB210" s="47" t="str">
        <f aca="false">IF(OR($G210&lt;&gt;"Yes",NOT(ISNUMBER($H210))),"",COUNTIFS(c_Met,"Yes",c_Date,"&lt;"&amp;$H210)+COUNTIFS($G$2:$G210,"Yes",$H$2:$H210,$H210))</f>
        <v/>
      </c>
    </row>
    <row r="211" customFormat="false" ht="15" hidden="false" customHeight="false" outlineLevel="0" collapsed="false">
      <c r="A211" s="44" t="n">
        <f aca="false">IF($B211="","",COUNTA($B$2:$B211))</f>
        <v>210</v>
      </c>
      <c r="B211" s="11" t="s">
        <v>581</v>
      </c>
      <c r="C211" s="11" t="s">
        <v>582</v>
      </c>
      <c r="D211" s="11" t="s">
        <v>26</v>
      </c>
      <c r="E211" s="11" t="s">
        <v>131</v>
      </c>
      <c r="F211" s="11" t="s">
        <v>70</v>
      </c>
      <c r="G211" s="34" t="s">
        <v>132</v>
      </c>
      <c r="H211" s="25"/>
      <c r="I211" s="40" t="n">
        <v>0</v>
      </c>
      <c r="J211" s="34" t="s">
        <v>132</v>
      </c>
      <c r="K211" s="45"/>
      <c r="L211" s="34" t="s">
        <v>142</v>
      </c>
      <c r="M211" s="34"/>
      <c r="N211" s="11" t="s">
        <v>133</v>
      </c>
      <c r="O211" s="11" t="s">
        <v>133</v>
      </c>
      <c r="P211" s="11" t="s">
        <v>133</v>
      </c>
      <c r="Q211" s="11" t="s">
        <v>133</v>
      </c>
      <c r="R211" s="11" t="s">
        <v>133</v>
      </c>
      <c r="S211" s="46"/>
      <c r="T211" s="44" t="n">
        <f aca="false">IF($B211="","",COUNTA($N211:$R211)-COUNTIF($N211:$R211,"Not Invited"))</f>
        <v>0</v>
      </c>
      <c r="U211" s="44" t="n">
        <f aca="false">IF($B211="","",COUNTIF($N211:$R211,"Attended"))</f>
        <v>0</v>
      </c>
      <c r="V211" s="47" t="str">
        <f aca="false">IF($B211="","",_xlfn.TEXTJOIN(", ",TRUE(),IF($N211="Attended",Setup!$D$15,""),IF($O211="Attended",Setup!$D$16,""),IF($P211="Attended",Setup!$D$17,""),IF($Q211="Attended",Setup!$D$18,""),IF($R211="Attended",Setup!$D$19,"")))</f>
        <v/>
      </c>
      <c r="W211" s="48" t="str">
        <f aca="true">IF(OR($B211="",NOT(ISNUMBER($H211))),"",TODAY()-$H211)</f>
        <v/>
      </c>
      <c r="X211" s="47" t="str">
        <f aca="false">IF($B211="","",IF($U211&gt;0,"Event attendee",IF($G211="Yes","Met (no event)",IF($T211&gt;0,"Invited only",IF(OR($L211="Yes",$M211="Yes"),"Contacted only","Not yet contacted")))))</f>
        <v>Contacted only</v>
      </c>
      <c r="Y211" s="47" t="n">
        <f aca="false">IF($B211="","",COUNTIF(c_Firm,"&lt;"&amp;$D211)+COUNTIFS(c_Firm,$D211,c_Name,"&lt;"&amp;$B211)+COUNTIFS($D$2:$D211,$D211,$B$2:$B211,$B211))</f>
        <v>210</v>
      </c>
      <c r="Z211" s="47" t="n">
        <f aca="false">IF($B211="","",IF(AND(OR(Contacts!$C$3="(All)",$D211=Contacts!$C$3),OR(Contacts!$E$3="(All)",$G211=Contacts!$E$3),OR(Contacts!$G$3="(All)",ISNUMBER(SEARCH(Contacts!$G$3,$V211))),OR(Contacts!$I$3="(All)",$X211=Contacts!$I$3),OR(Contacts!$K$3="",ISNUMBER(SEARCH(Contacts!$K$3,$B211&amp;" "&amp;$C211&amp;" "&amp;$D211&amp;" "&amp;$S211)))),1,0))</f>
        <v>1</v>
      </c>
      <c r="AA211" s="47" t="n">
        <f aca="false">IF($Z211=1,COUNTIFS(c_Pass,1,c_Sort,"&lt;="&amp;$Y211),"")</f>
        <v>210</v>
      </c>
      <c r="AB211" s="47" t="str">
        <f aca="false">IF(OR($G211&lt;&gt;"Yes",NOT(ISNUMBER($H211))),"",COUNTIFS(c_Met,"Yes",c_Date,"&lt;"&amp;$H211)+COUNTIFS($G$2:$G211,"Yes",$H$2:$H211,$H211))</f>
        <v/>
      </c>
    </row>
    <row r="212" customFormat="false" ht="15" hidden="false" customHeight="false" outlineLevel="0" collapsed="false">
      <c r="A212" s="44" t="n">
        <f aca="false">IF($B212="","",COUNTA($B$2:$B212))</f>
        <v>211</v>
      </c>
      <c r="B212" s="11" t="s">
        <v>583</v>
      </c>
      <c r="C212" s="11" t="s">
        <v>584</v>
      </c>
      <c r="D212" s="11" t="s">
        <v>26</v>
      </c>
      <c r="E212" s="11" t="s">
        <v>131</v>
      </c>
      <c r="F212" s="11" t="s">
        <v>70</v>
      </c>
      <c r="G212" s="34" t="s">
        <v>132</v>
      </c>
      <c r="H212" s="25"/>
      <c r="I212" s="40" t="n">
        <v>0</v>
      </c>
      <c r="J212" s="34" t="s">
        <v>132</v>
      </c>
      <c r="K212" s="45"/>
      <c r="L212" s="34" t="s">
        <v>142</v>
      </c>
      <c r="M212" s="34"/>
      <c r="N212" s="11" t="s">
        <v>133</v>
      </c>
      <c r="O212" s="11" t="s">
        <v>133</v>
      </c>
      <c r="P212" s="11" t="s">
        <v>133</v>
      </c>
      <c r="Q212" s="11" t="s">
        <v>133</v>
      </c>
      <c r="R212" s="11" t="s">
        <v>133</v>
      </c>
      <c r="S212" s="46"/>
      <c r="T212" s="44" t="n">
        <f aca="false">IF($B212="","",COUNTA($N212:$R212)-COUNTIF($N212:$R212,"Not Invited"))</f>
        <v>0</v>
      </c>
      <c r="U212" s="44" t="n">
        <f aca="false">IF($B212="","",COUNTIF($N212:$R212,"Attended"))</f>
        <v>0</v>
      </c>
      <c r="V212" s="47" t="str">
        <f aca="false">IF($B212="","",_xlfn.TEXTJOIN(", ",TRUE(),IF($N212="Attended",Setup!$D$15,""),IF($O212="Attended",Setup!$D$16,""),IF($P212="Attended",Setup!$D$17,""),IF($Q212="Attended",Setup!$D$18,""),IF($R212="Attended",Setup!$D$19,"")))</f>
        <v/>
      </c>
      <c r="W212" s="48" t="str">
        <f aca="true">IF(OR($B212="",NOT(ISNUMBER($H212))),"",TODAY()-$H212)</f>
        <v/>
      </c>
      <c r="X212" s="47" t="str">
        <f aca="false">IF($B212="","",IF($U212&gt;0,"Event attendee",IF($G212="Yes","Met (no event)",IF($T212&gt;0,"Invited only",IF(OR($L212="Yes",$M212="Yes"),"Contacted only","Not yet contacted")))))</f>
        <v>Contacted only</v>
      </c>
      <c r="Y212" s="47" t="n">
        <f aca="false">IF($B212="","",COUNTIF(c_Firm,"&lt;"&amp;$D212)+COUNTIFS(c_Firm,$D212,c_Name,"&lt;"&amp;$B212)+COUNTIFS($D$2:$D212,$D212,$B$2:$B212,$B212))</f>
        <v>211</v>
      </c>
      <c r="Z212" s="47" t="n">
        <f aca="false">IF($B212="","",IF(AND(OR(Contacts!$C$3="(All)",$D212=Contacts!$C$3),OR(Contacts!$E$3="(All)",$G212=Contacts!$E$3),OR(Contacts!$G$3="(All)",ISNUMBER(SEARCH(Contacts!$G$3,$V212))),OR(Contacts!$I$3="(All)",$X212=Contacts!$I$3),OR(Contacts!$K$3="",ISNUMBER(SEARCH(Contacts!$K$3,$B212&amp;" "&amp;$C212&amp;" "&amp;$D212&amp;" "&amp;$S212)))),1,0))</f>
        <v>1</v>
      </c>
      <c r="AA212" s="47" t="n">
        <f aca="false">IF($Z212=1,COUNTIFS(c_Pass,1,c_Sort,"&lt;="&amp;$Y212),"")</f>
        <v>211</v>
      </c>
      <c r="AB212" s="47" t="str">
        <f aca="false">IF(OR($G212&lt;&gt;"Yes",NOT(ISNUMBER($H212))),"",COUNTIFS(c_Met,"Yes",c_Date,"&lt;"&amp;$H212)+COUNTIFS($G$2:$G212,"Yes",$H$2:$H212,$H212))</f>
        <v/>
      </c>
    </row>
    <row r="213" customFormat="false" ht="15" hidden="false" customHeight="false" outlineLevel="0" collapsed="false">
      <c r="A213" s="44" t="n">
        <f aca="false">IF($B213="","",COUNTA($B$2:$B213))</f>
        <v>212</v>
      </c>
      <c r="B213" s="11" t="s">
        <v>585</v>
      </c>
      <c r="C213" s="11" t="s">
        <v>586</v>
      </c>
      <c r="D213" s="11" t="s">
        <v>26</v>
      </c>
      <c r="E213" s="11" t="s">
        <v>131</v>
      </c>
      <c r="F213" s="11" t="s">
        <v>70</v>
      </c>
      <c r="G213" s="34" t="s">
        <v>132</v>
      </c>
      <c r="H213" s="25"/>
      <c r="I213" s="40" t="n">
        <v>0</v>
      </c>
      <c r="J213" s="34" t="s">
        <v>132</v>
      </c>
      <c r="K213" s="45"/>
      <c r="L213" s="34" t="s">
        <v>142</v>
      </c>
      <c r="M213" s="34"/>
      <c r="N213" s="11" t="s">
        <v>133</v>
      </c>
      <c r="O213" s="11" t="s">
        <v>133</v>
      </c>
      <c r="P213" s="11" t="s">
        <v>133</v>
      </c>
      <c r="Q213" s="11" t="s">
        <v>133</v>
      </c>
      <c r="R213" s="11" t="s">
        <v>133</v>
      </c>
      <c r="S213" s="46"/>
      <c r="T213" s="44" t="n">
        <f aca="false">IF($B213="","",COUNTA($N213:$R213)-COUNTIF($N213:$R213,"Not Invited"))</f>
        <v>0</v>
      </c>
      <c r="U213" s="44" t="n">
        <f aca="false">IF($B213="","",COUNTIF($N213:$R213,"Attended"))</f>
        <v>0</v>
      </c>
      <c r="V213" s="47" t="str">
        <f aca="false">IF($B213="","",_xlfn.TEXTJOIN(", ",TRUE(),IF($N213="Attended",Setup!$D$15,""),IF($O213="Attended",Setup!$D$16,""),IF($P213="Attended",Setup!$D$17,""),IF($Q213="Attended",Setup!$D$18,""),IF($R213="Attended",Setup!$D$19,"")))</f>
        <v/>
      </c>
      <c r="W213" s="48" t="str">
        <f aca="true">IF(OR($B213="",NOT(ISNUMBER($H213))),"",TODAY()-$H213)</f>
        <v/>
      </c>
      <c r="X213" s="47" t="str">
        <f aca="false">IF($B213="","",IF($U213&gt;0,"Event attendee",IF($G213="Yes","Met (no event)",IF($T213&gt;0,"Invited only",IF(OR($L213="Yes",$M213="Yes"),"Contacted only","Not yet contacted")))))</f>
        <v>Contacted only</v>
      </c>
      <c r="Y213" s="47" t="n">
        <f aca="false">IF($B213="","",COUNTIF(c_Firm,"&lt;"&amp;$D213)+COUNTIFS(c_Firm,$D213,c_Name,"&lt;"&amp;$B213)+COUNTIFS($D$2:$D213,$D213,$B$2:$B213,$B213))</f>
        <v>212</v>
      </c>
      <c r="Z213" s="47" t="n">
        <f aca="false">IF($B213="","",IF(AND(OR(Contacts!$C$3="(All)",$D213=Contacts!$C$3),OR(Contacts!$E$3="(All)",$G213=Contacts!$E$3),OR(Contacts!$G$3="(All)",ISNUMBER(SEARCH(Contacts!$G$3,$V213))),OR(Contacts!$I$3="(All)",$X213=Contacts!$I$3),OR(Contacts!$K$3="",ISNUMBER(SEARCH(Contacts!$K$3,$B213&amp;" "&amp;$C213&amp;" "&amp;$D213&amp;" "&amp;$S213)))),1,0))</f>
        <v>1</v>
      </c>
      <c r="AA213" s="47" t="n">
        <f aca="false">IF($Z213=1,COUNTIFS(c_Pass,1,c_Sort,"&lt;="&amp;$Y213),"")</f>
        <v>212</v>
      </c>
      <c r="AB213" s="47" t="str">
        <f aca="false">IF(OR($G213&lt;&gt;"Yes",NOT(ISNUMBER($H213))),"",COUNTIFS(c_Met,"Yes",c_Date,"&lt;"&amp;$H213)+COUNTIFS($G$2:$G213,"Yes",$H$2:$H213,$H213))</f>
        <v/>
      </c>
    </row>
    <row r="214" customFormat="false" ht="15" hidden="false" customHeight="false" outlineLevel="0" collapsed="false">
      <c r="A214" s="44" t="n">
        <f aca="false">IF($B214="","",COUNTA($B$2:$B214))</f>
        <v>213</v>
      </c>
      <c r="B214" s="11" t="s">
        <v>587</v>
      </c>
      <c r="C214" s="11" t="s">
        <v>588</v>
      </c>
      <c r="D214" s="11" t="s">
        <v>26</v>
      </c>
      <c r="E214" s="11" t="s">
        <v>131</v>
      </c>
      <c r="F214" s="11" t="s">
        <v>70</v>
      </c>
      <c r="G214" s="34" t="s">
        <v>132</v>
      </c>
      <c r="H214" s="25"/>
      <c r="I214" s="40" t="n">
        <v>0</v>
      </c>
      <c r="J214" s="34" t="s">
        <v>132</v>
      </c>
      <c r="K214" s="45"/>
      <c r="L214" s="34" t="s">
        <v>142</v>
      </c>
      <c r="M214" s="34"/>
      <c r="N214" s="11" t="s">
        <v>133</v>
      </c>
      <c r="O214" s="11" t="s">
        <v>133</v>
      </c>
      <c r="P214" s="11" t="s">
        <v>133</v>
      </c>
      <c r="Q214" s="11" t="s">
        <v>133</v>
      </c>
      <c r="R214" s="11" t="s">
        <v>133</v>
      </c>
      <c r="S214" s="46"/>
      <c r="T214" s="44" t="n">
        <f aca="false">IF($B214="","",COUNTA($N214:$R214)-COUNTIF($N214:$R214,"Not Invited"))</f>
        <v>0</v>
      </c>
      <c r="U214" s="44" t="n">
        <f aca="false">IF($B214="","",COUNTIF($N214:$R214,"Attended"))</f>
        <v>0</v>
      </c>
      <c r="V214" s="47" t="str">
        <f aca="false">IF($B214="","",_xlfn.TEXTJOIN(", ",TRUE(),IF($N214="Attended",Setup!$D$15,""),IF($O214="Attended",Setup!$D$16,""),IF($P214="Attended",Setup!$D$17,""),IF($Q214="Attended",Setup!$D$18,""),IF($R214="Attended",Setup!$D$19,"")))</f>
        <v/>
      </c>
      <c r="W214" s="48" t="str">
        <f aca="true">IF(OR($B214="",NOT(ISNUMBER($H214))),"",TODAY()-$H214)</f>
        <v/>
      </c>
      <c r="X214" s="47" t="str">
        <f aca="false">IF($B214="","",IF($U214&gt;0,"Event attendee",IF($G214="Yes","Met (no event)",IF($T214&gt;0,"Invited only",IF(OR($L214="Yes",$M214="Yes"),"Contacted only","Not yet contacted")))))</f>
        <v>Contacted only</v>
      </c>
      <c r="Y214" s="47" t="n">
        <f aca="false">IF($B214="","",COUNTIF(c_Firm,"&lt;"&amp;$D214)+COUNTIFS(c_Firm,$D214,c_Name,"&lt;"&amp;$B214)+COUNTIFS($D$2:$D214,$D214,$B$2:$B214,$B214))</f>
        <v>213</v>
      </c>
      <c r="Z214" s="47" t="n">
        <f aca="false">IF($B214="","",IF(AND(OR(Contacts!$C$3="(All)",$D214=Contacts!$C$3),OR(Contacts!$E$3="(All)",$G214=Contacts!$E$3),OR(Contacts!$G$3="(All)",ISNUMBER(SEARCH(Contacts!$G$3,$V214))),OR(Contacts!$I$3="(All)",$X214=Contacts!$I$3),OR(Contacts!$K$3="",ISNUMBER(SEARCH(Contacts!$K$3,$B214&amp;" "&amp;$C214&amp;" "&amp;$D214&amp;" "&amp;$S214)))),1,0))</f>
        <v>1</v>
      </c>
      <c r="AA214" s="47" t="n">
        <f aca="false">IF($Z214=1,COUNTIFS(c_Pass,1,c_Sort,"&lt;="&amp;$Y214),"")</f>
        <v>213</v>
      </c>
      <c r="AB214" s="47" t="str">
        <f aca="false">IF(OR($G214&lt;&gt;"Yes",NOT(ISNUMBER($H214))),"",COUNTIFS(c_Met,"Yes",c_Date,"&lt;"&amp;$H214)+COUNTIFS($G$2:$G214,"Yes",$H$2:$H214,$H214))</f>
        <v/>
      </c>
    </row>
    <row r="215" customFormat="false" ht="15" hidden="false" customHeight="false" outlineLevel="0" collapsed="false">
      <c r="A215" s="44" t="n">
        <f aca="false">IF($B215="","",COUNTA($B$2:$B215))</f>
        <v>214</v>
      </c>
      <c r="B215" s="11" t="s">
        <v>589</v>
      </c>
      <c r="C215" s="11" t="s">
        <v>590</v>
      </c>
      <c r="D215" s="11" t="s">
        <v>26</v>
      </c>
      <c r="E215" s="11" t="s">
        <v>131</v>
      </c>
      <c r="F215" s="11" t="s">
        <v>70</v>
      </c>
      <c r="G215" s="34" t="s">
        <v>132</v>
      </c>
      <c r="H215" s="25"/>
      <c r="I215" s="40" t="n">
        <v>0</v>
      </c>
      <c r="J215" s="34" t="s">
        <v>132</v>
      </c>
      <c r="K215" s="45"/>
      <c r="L215" s="34" t="s">
        <v>142</v>
      </c>
      <c r="M215" s="34"/>
      <c r="N215" s="11" t="s">
        <v>133</v>
      </c>
      <c r="O215" s="11" t="s">
        <v>133</v>
      </c>
      <c r="P215" s="11" t="s">
        <v>133</v>
      </c>
      <c r="Q215" s="11" t="s">
        <v>133</v>
      </c>
      <c r="R215" s="11" t="s">
        <v>133</v>
      </c>
      <c r="S215" s="46"/>
      <c r="T215" s="44" t="n">
        <f aca="false">IF($B215="","",COUNTA($N215:$R215)-COUNTIF($N215:$R215,"Not Invited"))</f>
        <v>0</v>
      </c>
      <c r="U215" s="44" t="n">
        <f aca="false">IF($B215="","",COUNTIF($N215:$R215,"Attended"))</f>
        <v>0</v>
      </c>
      <c r="V215" s="47" t="str">
        <f aca="false">IF($B215="","",_xlfn.TEXTJOIN(", ",TRUE(),IF($N215="Attended",Setup!$D$15,""),IF($O215="Attended",Setup!$D$16,""),IF($P215="Attended",Setup!$D$17,""),IF($Q215="Attended",Setup!$D$18,""),IF($R215="Attended",Setup!$D$19,"")))</f>
        <v/>
      </c>
      <c r="W215" s="48" t="str">
        <f aca="true">IF(OR($B215="",NOT(ISNUMBER($H215))),"",TODAY()-$H215)</f>
        <v/>
      </c>
      <c r="X215" s="47" t="str">
        <f aca="false">IF($B215="","",IF($U215&gt;0,"Event attendee",IF($G215="Yes","Met (no event)",IF($T215&gt;0,"Invited only",IF(OR($L215="Yes",$M215="Yes"),"Contacted only","Not yet contacted")))))</f>
        <v>Contacted only</v>
      </c>
      <c r="Y215" s="47" t="n">
        <f aca="false">IF($B215="","",COUNTIF(c_Firm,"&lt;"&amp;$D215)+COUNTIFS(c_Firm,$D215,c_Name,"&lt;"&amp;$B215)+COUNTIFS($D$2:$D215,$D215,$B$2:$B215,$B215))</f>
        <v>214</v>
      </c>
      <c r="Z215" s="47" t="n">
        <f aca="false">IF($B215="","",IF(AND(OR(Contacts!$C$3="(All)",$D215=Contacts!$C$3),OR(Contacts!$E$3="(All)",$G215=Contacts!$E$3),OR(Contacts!$G$3="(All)",ISNUMBER(SEARCH(Contacts!$G$3,$V215))),OR(Contacts!$I$3="(All)",$X215=Contacts!$I$3),OR(Contacts!$K$3="",ISNUMBER(SEARCH(Contacts!$K$3,$B215&amp;" "&amp;$C215&amp;" "&amp;$D215&amp;" "&amp;$S215)))),1,0))</f>
        <v>1</v>
      </c>
      <c r="AA215" s="47" t="n">
        <f aca="false">IF($Z215=1,COUNTIFS(c_Pass,1,c_Sort,"&lt;="&amp;$Y215),"")</f>
        <v>214</v>
      </c>
      <c r="AB215" s="47" t="str">
        <f aca="false">IF(OR($G215&lt;&gt;"Yes",NOT(ISNUMBER($H215))),"",COUNTIFS(c_Met,"Yes",c_Date,"&lt;"&amp;$H215)+COUNTIFS($G$2:$G215,"Yes",$H$2:$H215,$H215))</f>
        <v/>
      </c>
    </row>
    <row r="216" customFormat="false" ht="15" hidden="false" customHeight="false" outlineLevel="0" collapsed="false">
      <c r="A216" s="44" t="n">
        <f aca="false">IF($B216="","",COUNTA($B$2:$B216))</f>
        <v>215</v>
      </c>
      <c r="B216" s="11" t="s">
        <v>591</v>
      </c>
      <c r="C216" s="11" t="s">
        <v>592</v>
      </c>
      <c r="D216" s="11" t="s">
        <v>26</v>
      </c>
      <c r="E216" s="11" t="s">
        <v>131</v>
      </c>
      <c r="F216" s="11" t="s">
        <v>66</v>
      </c>
      <c r="G216" s="34" t="s">
        <v>132</v>
      </c>
      <c r="H216" s="25"/>
      <c r="I216" s="40" t="n">
        <v>0</v>
      </c>
      <c r="J216" s="34" t="s">
        <v>132</v>
      </c>
      <c r="K216" s="45"/>
      <c r="L216" s="34"/>
      <c r="M216" s="34"/>
      <c r="N216" s="11" t="s">
        <v>133</v>
      </c>
      <c r="O216" s="11" t="s">
        <v>55</v>
      </c>
      <c r="P216" s="11" t="s">
        <v>133</v>
      </c>
      <c r="Q216" s="11" t="s">
        <v>133</v>
      </c>
      <c r="R216" s="11" t="s">
        <v>133</v>
      </c>
      <c r="S216" s="46"/>
      <c r="T216" s="44" t="n">
        <f aca="false">IF($B216="","",COUNTA($N216:$R216)-COUNTIF($N216:$R216,"Not Invited"))</f>
        <v>1</v>
      </c>
      <c r="U216" s="44" t="n">
        <f aca="false">IF($B216="","",COUNTIF($N216:$R216,"Attended"))</f>
        <v>1</v>
      </c>
      <c r="V216" s="47" t="str">
        <f aca="false">IF($B216="","",_xlfn.TEXTJOIN(", ",TRUE(),IF($N216="Attended",Setup!$D$15,""),IF($O216="Attended",Setup!$D$16,""),IF($P216="Attended",Setup!$D$17,""),IF($Q216="Attended",Setup!$D$18,""),IF($R216="Attended",Setup!$D$19,"")))</f>
        <v>May-26 Symposium</v>
      </c>
      <c r="W216" s="48" t="str">
        <f aca="true">IF(OR($B216="",NOT(ISNUMBER($H216))),"",TODAY()-$H216)</f>
        <v/>
      </c>
      <c r="X216" s="47" t="str">
        <f aca="false">IF($B216="","",IF($U216&gt;0,"Event attendee",IF($G216="Yes","Met (no event)",IF($T216&gt;0,"Invited only",IF(OR($L216="Yes",$M216="Yes"),"Contacted only","Not yet contacted")))))</f>
        <v>Event attendee</v>
      </c>
      <c r="Y216" s="47" t="n">
        <f aca="false">IF($B216="","",COUNTIF(c_Firm,"&lt;"&amp;$D216)+COUNTIFS(c_Firm,$D216,c_Name,"&lt;"&amp;$B216)+COUNTIFS($D$2:$D216,$D216,$B$2:$B216,$B216))</f>
        <v>215</v>
      </c>
      <c r="Z216" s="47" t="n">
        <f aca="false">IF($B216="","",IF(AND(OR(Contacts!$C$3="(All)",$D216=Contacts!$C$3),OR(Contacts!$E$3="(All)",$G216=Contacts!$E$3),OR(Contacts!$G$3="(All)",ISNUMBER(SEARCH(Contacts!$G$3,$V216))),OR(Contacts!$I$3="(All)",$X216=Contacts!$I$3),OR(Contacts!$K$3="",ISNUMBER(SEARCH(Contacts!$K$3,$B216&amp;" "&amp;$C216&amp;" "&amp;$D216&amp;" "&amp;$S216)))),1,0))</f>
        <v>1</v>
      </c>
      <c r="AA216" s="47" t="n">
        <f aca="false">IF($Z216=1,COUNTIFS(c_Pass,1,c_Sort,"&lt;="&amp;$Y216),"")</f>
        <v>215</v>
      </c>
      <c r="AB216" s="47" t="str">
        <f aca="false">IF(OR($G216&lt;&gt;"Yes",NOT(ISNUMBER($H216))),"",COUNTIFS(c_Met,"Yes",c_Date,"&lt;"&amp;$H216)+COUNTIFS($G$2:$G216,"Yes",$H$2:$H216,$H216))</f>
        <v/>
      </c>
    </row>
    <row r="217" customFormat="false" ht="15" hidden="false" customHeight="false" outlineLevel="0" collapsed="false">
      <c r="A217" s="44" t="n">
        <f aca="false">IF($B217="","",COUNTA($B$2:$B217))</f>
        <v>216</v>
      </c>
      <c r="B217" s="11" t="s">
        <v>593</v>
      </c>
      <c r="C217" s="11" t="s">
        <v>594</v>
      </c>
      <c r="D217" s="11" t="s">
        <v>26</v>
      </c>
      <c r="E217" s="11" t="s">
        <v>131</v>
      </c>
      <c r="F217" s="11" t="s">
        <v>70</v>
      </c>
      <c r="G217" s="34" t="s">
        <v>132</v>
      </c>
      <c r="H217" s="25"/>
      <c r="I217" s="40" t="n">
        <v>0</v>
      </c>
      <c r="J217" s="34" t="s">
        <v>132</v>
      </c>
      <c r="K217" s="45"/>
      <c r="L217" s="34" t="s">
        <v>142</v>
      </c>
      <c r="M217" s="34"/>
      <c r="N217" s="11" t="s">
        <v>133</v>
      </c>
      <c r="O217" s="11" t="s">
        <v>133</v>
      </c>
      <c r="P217" s="11" t="s">
        <v>133</v>
      </c>
      <c r="Q217" s="11" t="s">
        <v>133</v>
      </c>
      <c r="R217" s="11" t="s">
        <v>133</v>
      </c>
      <c r="S217" s="46"/>
      <c r="T217" s="44" t="n">
        <f aca="false">IF($B217="","",COUNTA($N217:$R217)-COUNTIF($N217:$R217,"Not Invited"))</f>
        <v>0</v>
      </c>
      <c r="U217" s="44" t="n">
        <f aca="false">IF($B217="","",COUNTIF($N217:$R217,"Attended"))</f>
        <v>0</v>
      </c>
      <c r="V217" s="47" t="str">
        <f aca="false">IF($B217="","",_xlfn.TEXTJOIN(", ",TRUE(),IF($N217="Attended",Setup!$D$15,""),IF($O217="Attended",Setup!$D$16,""),IF($P217="Attended",Setup!$D$17,""),IF($Q217="Attended",Setup!$D$18,""),IF($R217="Attended",Setup!$D$19,"")))</f>
        <v/>
      </c>
      <c r="W217" s="48" t="str">
        <f aca="true">IF(OR($B217="",NOT(ISNUMBER($H217))),"",TODAY()-$H217)</f>
        <v/>
      </c>
      <c r="X217" s="47" t="str">
        <f aca="false">IF($B217="","",IF($U217&gt;0,"Event attendee",IF($G217="Yes","Met (no event)",IF($T217&gt;0,"Invited only",IF(OR($L217="Yes",$M217="Yes"),"Contacted only","Not yet contacted")))))</f>
        <v>Contacted only</v>
      </c>
      <c r="Y217" s="47" t="n">
        <f aca="false">IF($B217="","",COUNTIF(c_Firm,"&lt;"&amp;$D217)+COUNTIFS(c_Firm,$D217,c_Name,"&lt;"&amp;$B217)+COUNTIFS($D$2:$D217,$D217,$B$2:$B217,$B217))</f>
        <v>216</v>
      </c>
      <c r="Z217" s="47" t="n">
        <f aca="false">IF($B217="","",IF(AND(OR(Contacts!$C$3="(All)",$D217=Contacts!$C$3),OR(Contacts!$E$3="(All)",$G217=Contacts!$E$3),OR(Contacts!$G$3="(All)",ISNUMBER(SEARCH(Contacts!$G$3,$V217))),OR(Contacts!$I$3="(All)",$X217=Contacts!$I$3),OR(Contacts!$K$3="",ISNUMBER(SEARCH(Contacts!$K$3,$B217&amp;" "&amp;$C217&amp;" "&amp;$D217&amp;" "&amp;$S217)))),1,0))</f>
        <v>1</v>
      </c>
      <c r="AA217" s="47" t="n">
        <f aca="false">IF($Z217=1,COUNTIFS(c_Pass,1,c_Sort,"&lt;="&amp;$Y217),"")</f>
        <v>216</v>
      </c>
      <c r="AB217" s="47" t="str">
        <f aca="false">IF(OR($G217&lt;&gt;"Yes",NOT(ISNUMBER($H217))),"",COUNTIFS(c_Met,"Yes",c_Date,"&lt;"&amp;$H217)+COUNTIFS($G$2:$G217,"Yes",$H$2:$H217,$H217))</f>
        <v/>
      </c>
    </row>
    <row r="218" customFormat="false" ht="15" hidden="false" customHeight="false" outlineLevel="0" collapsed="false">
      <c r="A218" s="44" t="n">
        <f aca="false">IF($B218="","",COUNTA($B$2:$B218))</f>
        <v>217</v>
      </c>
      <c r="B218" s="11" t="s">
        <v>595</v>
      </c>
      <c r="C218" s="11" t="s">
        <v>596</v>
      </c>
      <c r="D218" s="11" t="s">
        <v>26</v>
      </c>
      <c r="E218" s="11" t="s">
        <v>131</v>
      </c>
      <c r="F218" s="11" t="s">
        <v>70</v>
      </c>
      <c r="G218" s="34" t="s">
        <v>132</v>
      </c>
      <c r="H218" s="25"/>
      <c r="I218" s="40" t="n">
        <v>0</v>
      </c>
      <c r="J218" s="34" t="s">
        <v>132</v>
      </c>
      <c r="K218" s="45"/>
      <c r="L218" s="34" t="s">
        <v>142</v>
      </c>
      <c r="M218" s="34"/>
      <c r="N218" s="11" t="s">
        <v>133</v>
      </c>
      <c r="O218" s="11" t="s">
        <v>133</v>
      </c>
      <c r="P218" s="11" t="s">
        <v>133</v>
      </c>
      <c r="Q218" s="11" t="s">
        <v>133</v>
      </c>
      <c r="R218" s="11" t="s">
        <v>133</v>
      </c>
      <c r="S218" s="46"/>
      <c r="T218" s="44" t="n">
        <f aca="false">IF($B218="","",COUNTA($N218:$R218)-COUNTIF($N218:$R218,"Not Invited"))</f>
        <v>0</v>
      </c>
      <c r="U218" s="44" t="n">
        <f aca="false">IF($B218="","",COUNTIF($N218:$R218,"Attended"))</f>
        <v>0</v>
      </c>
      <c r="V218" s="47" t="str">
        <f aca="false">IF($B218="","",_xlfn.TEXTJOIN(", ",TRUE(),IF($N218="Attended",Setup!$D$15,""),IF($O218="Attended",Setup!$D$16,""),IF($P218="Attended",Setup!$D$17,""),IF($Q218="Attended",Setup!$D$18,""),IF($R218="Attended",Setup!$D$19,"")))</f>
        <v/>
      </c>
      <c r="W218" s="48" t="str">
        <f aca="true">IF(OR($B218="",NOT(ISNUMBER($H218))),"",TODAY()-$H218)</f>
        <v/>
      </c>
      <c r="X218" s="47" t="str">
        <f aca="false">IF($B218="","",IF($U218&gt;0,"Event attendee",IF($G218="Yes","Met (no event)",IF($T218&gt;0,"Invited only",IF(OR($L218="Yes",$M218="Yes"),"Contacted only","Not yet contacted")))))</f>
        <v>Contacted only</v>
      </c>
      <c r="Y218" s="47" t="n">
        <f aca="false">IF($B218="","",COUNTIF(c_Firm,"&lt;"&amp;$D218)+COUNTIFS(c_Firm,$D218,c_Name,"&lt;"&amp;$B218)+COUNTIFS($D$2:$D218,$D218,$B$2:$B218,$B218))</f>
        <v>217</v>
      </c>
      <c r="Z218" s="47" t="n">
        <f aca="false">IF($B218="","",IF(AND(OR(Contacts!$C$3="(All)",$D218=Contacts!$C$3),OR(Contacts!$E$3="(All)",$G218=Contacts!$E$3),OR(Contacts!$G$3="(All)",ISNUMBER(SEARCH(Contacts!$G$3,$V218))),OR(Contacts!$I$3="(All)",$X218=Contacts!$I$3),OR(Contacts!$K$3="",ISNUMBER(SEARCH(Contacts!$K$3,$B218&amp;" "&amp;$C218&amp;" "&amp;$D218&amp;" "&amp;$S218)))),1,0))</f>
        <v>1</v>
      </c>
      <c r="AA218" s="47" t="n">
        <f aca="false">IF($Z218=1,COUNTIFS(c_Pass,1,c_Sort,"&lt;="&amp;$Y218),"")</f>
        <v>217</v>
      </c>
      <c r="AB218" s="47" t="str">
        <f aca="false">IF(OR($G218&lt;&gt;"Yes",NOT(ISNUMBER($H218))),"",COUNTIFS(c_Met,"Yes",c_Date,"&lt;"&amp;$H218)+COUNTIFS($G$2:$G218,"Yes",$H$2:$H218,$H218))</f>
        <v/>
      </c>
    </row>
    <row r="219" customFormat="false" ht="15" hidden="false" customHeight="false" outlineLevel="0" collapsed="false">
      <c r="A219" s="44" t="n">
        <f aca="false">IF($B219="","",COUNTA($B$2:$B219))</f>
        <v>218</v>
      </c>
      <c r="B219" s="11" t="s">
        <v>597</v>
      </c>
      <c r="C219" s="11"/>
      <c r="D219" s="11" t="s">
        <v>26</v>
      </c>
      <c r="E219" s="11" t="s">
        <v>193</v>
      </c>
      <c r="F219" s="11" t="s">
        <v>68</v>
      </c>
      <c r="G219" s="34" t="s">
        <v>132</v>
      </c>
      <c r="H219" s="25"/>
      <c r="I219" s="40" t="n">
        <v>0</v>
      </c>
      <c r="J219" s="34" t="s">
        <v>132</v>
      </c>
      <c r="K219" s="45"/>
      <c r="L219" s="34"/>
      <c r="M219" s="34" t="s">
        <v>142</v>
      </c>
      <c r="N219" s="11" t="s">
        <v>133</v>
      </c>
      <c r="O219" s="11" t="s">
        <v>133</v>
      </c>
      <c r="P219" s="11" t="s">
        <v>133</v>
      </c>
      <c r="Q219" s="11" t="s">
        <v>133</v>
      </c>
      <c r="R219" s="11" t="s">
        <v>133</v>
      </c>
      <c r="S219" s="46" t="s">
        <v>598</v>
      </c>
      <c r="T219" s="44" t="n">
        <f aca="false">IF($B219="","",COUNTA($N219:$R219)-COUNTIF($N219:$R219,"Not Invited"))</f>
        <v>0</v>
      </c>
      <c r="U219" s="44" t="n">
        <f aca="false">IF($B219="","",COUNTIF($N219:$R219,"Attended"))</f>
        <v>0</v>
      </c>
      <c r="V219" s="47" t="str">
        <f aca="false">IF($B219="","",_xlfn.TEXTJOIN(", ",TRUE(),IF($N219="Attended",Setup!$D$15,""),IF($O219="Attended",Setup!$D$16,""),IF($P219="Attended",Setup!$D$17,""),IF($Q219="Attended",Setup!$D$18,""),IF($R219="Attended",Setup!$D$19,"")))</f>
        <v/>
      </c>
      <c r="W219" s="48" t="str">
        <f aca="true">IF(OR($B219="",NOT(ISNUMBER($H219))),"",TODAY()-$H219)</f>
        <v/>
      </c>
      <c r="X219" s="47" t="str">
        <f aca="false">IF($B219="","",IF($U219&gt;0,"Event attendee",IF($G219="Yes","Met (no event)",IF($T219&gt;0,"Invited only",IF(OR($L219="Yes",$M219="Yes"),"Contacted only","Not yet contacted")))))</f>
        <v>Contacted only</v>
      </c>
      <c r="Y219" s="47" t="n">
        <f aca="false">IF($B219="","",COUNTIF(c_Firm,"&lt;"&amp;$D219)+COUNTIFS(c_Firm,$D219,c_Name,"&lt;"&amp;$B219)+COUNTIFS($D$2:$D219,$D219,$B$2:$B219,$B219))</f>
        <v>218</v>
      </c>
      <c r="Z219" s="47" t="n">
        <f aca="false">IF($B219="","",IF(AND(OR(Contacts!$C$3="(All)",$D219=Contacts!$C$3),OR(Contacts!$E$3="(All)",$G219=Contacts!$E$3),OR(Contacts!$G$3="(All)",ISNUMBER(SEARCH(Contacts!$G$3,$V219))),OR(Contacts!$I$3="(All)",$X219=Contacts!$I$3),OR(Contacts!$K$3="",ISNUMBER(SEARCH(Contacts!$K$3,$B219&amp;" "&amp;$C219&amp;" "&amp;$D219&amp;" "&amp;$S219)))),1,0))</f>
        <v>1</v>
      </c>
      <c r="AA219" s="47" t="n">
        <f aca="false">IF($Z219=1,COUNTIFS(c_Pass,1,c_Sort,"&lt;="&amp;$Y219),"")</f>
        <v>218</v>
      </c>
      <c r="AB219" s="47" t="str">
        <f aca="false">IF(OR($G219&lt;&gt;"Yes",NOT(ISNUMBER($H219))),"",COUNTIFS(c_Met,"Yes",c_Date,"&lt;"&amp;$H219)+COUNTIFS($G$2:$G219,"Yes",$H$2:$H219,$H219))</f>
        <v/>
      </c>
    </row>
    <row r="220" customFormat="false" ht="15" hidden="false" customHeight="false" outlineLevel="0" collapsed="false">
      <c r="A220" s="44" t="n">
        <f aca="false">IF($B220="","",COUNTA($B$2:$B220))</f>
        <v>219</v>
      </c>
      <c r="B220" s="11" t="s">
        <v>599</v>
      </c>
      <c r="C220" s="11" t="s">
        <v>600</v>
      </c>
      <c r="D220" s="11" t="s">
        <v>26</v>
      </c>
      <c r="E220" s="11" t="s">
        <v>131</v>
      </c>
      <c r="F220" s="11" t="s">
        <v>70</v>
      </c>
      <c r="G220" s="34" t="s">
        <v>132</v>
      </c>
      <c r="H220" s="25"/>
      <c r="I220" s="40" t="n">
        <v>0</v>
      </c>
      <c r="J220" s="34" t="s">
        <v>132</v>
      </c>
      <c r="K220" s="45"/>
      <c r="L220" s="34" t="s">
        <v>142</v>
      </c>
      <c r="M220" s="34"/>
      <c r="N220" s="11" t="s">
        <v>133</v>
      </c>
      <c r="O220" s="11" t="s">
        <v>133</v>
      </c>
      <c r="P220" s="11" t="s">
        <v>133</v>
      </c>
      <c r="Q220" s="11" t="s">
        <v>133</v>
      </c>
      <c r="R220" s="11" t="s">
        <v>133</v>
      </c>
      <c r="S220" s="46"/>
      <c r="T220" s="44" t="n">
        <f aca="false">IF($B220="","",COUNTA($N220:$R220)-COUNTIF($N220:$R220,"Not Invited"))</f>
        <v>0</v>
      </c>
      <c r="U220" s="44" t="n">
        <f aca="false">IF($B220="","",COUNTIF($N220:$R220,"Attended"))</f>
        <v>0</v>
      </c>
      <c r="V220" s="47" t="str">
        <f aca="false">IF($B220="","",_xlfn.TEXTJOIN(", ",TRUE(),IF($N220="Attended",Setup!$D$15,""),IF($O220="Attended",Setup!$D$16,""),IF($P220="Attended",Setup!$D$17,""),IF($Q220="Attended",Setup!$D$18,""),IF($R220="Attended",Setup!$D$19,"")))</f>
        <v/>
      </c>
      <c r="W220" s="48" t="str">
        <f aca="true">IF(OR($B220="",NOT(ISNUMBER($H220))),"",TODAY()-$H220)</f>
        <v/>
      </c>
      <c r="X220" s="47" t="str">
        <f aca="false">IF($B220="","",IF($U220&gt;0,"Event attendee",IF($G220="Yes","Met (no event)",IF($T220&gt;0,"Invited only",IF(OR($L220="Yes",$M220="Yes"),"Contacted only","Not yet contacted")))))</f>
        <v>Contacted only</v>
      </c>
      <c r="Y220" s="47" t="n">
        <f aca="false">IF($B220="","",COUNTIF(c_Firm,"&lt;"&amp;$D220)+COUNTIFS(c_Firm,$D220,c_Name,"&lt;"&amp;$B220)+COUNTIFS($D$2:$D220,$D220,$B$2:$B220,$B220))</f>
        <v>219</v>
      </c>
      <c r="Z220" s="47" t="n">
        <f aca="false">IF($B220="","",IF(AND(OR(Contacts!$C$3="(All)",$D220=Contacts!$C$3),OR(Contacts!$E$3="(All)",$G220=Contacts!$E$3),OR(Contacts!$G$3="(All)",ISNUMBER(SEARCH(Contacts!$G$3,$V220))),OR(Contacts!$I$3="(All)",$X220=Contacts!$I$3),OR(Contacts!$K$3="",ISNUMBER(SEARCH(Contacts!$K$3,$B220&amp;" "&amp;$C220&amp;" "&amp;$D220&amp;" "&amp;$S220)))),1,0))</f>
        <v>1</v>
      </c>
      <c r="AA220" s="47" t="n">
        <f aca="false">IF($Z220=1,COUNTIFS(c_Pass,1,c_Sort,"&lt;="&amp;$Y220),"")</f>
        <v>219</v>
      </c>
      <c r="AB220" s="47" t="str">
        <f aca="false">IF(OR($G220&lt;&gt;"Yes",NOT(ISNUMBER($H220))),"",COUNTIFS(c_Met,"Yes",c_Date,"&lt;"&amp;$H220)+COUNTIFS($G$2:$G220,"Yes",$H$2:$H220,$H220))</f>
        <v/>
      </c>
    </row>
    <row r="221" customFormat="false" ht="15" hidden="false" customHeight="false" outlineLevel="0" collapsed="false">
      <c r="A221" s="44" t="n">
        <f aca="false">IF($B221="","",COUNTA($B$2:$B221))</f>
        <v>220</v>
      </c>
      <c r="B221" s="11" t="s">
        <v>601</v>
      </c>
      <c r="C221" s="11" t="s">
        <v>602</v>
      </c>
      <c r="D221" s="11" t="s">
        <v>26</v>
      </c>
      <c r="E221" s="11" t="s">
        <v>131</v>
      </c>
      <c r="F221" s="11" t="s">
        <v>70</v>
      </c>
      <c r="G221" s="34" t="s">
        <v>132</v>
      </c>
      <c r="H221" s="25"/>
      <c r="I221" s="40" t="n">
        <v>0</v>
      </c>
      <c r="J221" s="34" t="s">
        <v>132</v>
      </c>
      <c r="K221" s="45"/>
      <c r="L221" s="34" t="s">
        <v>142</v>
      </c>
      <c r="M221" s="34"/>
      <c r="N221" s="11" t="s">
        <v>133</v>
      </c>
      <c r="O221" s="11" t="s">
        <v>133</v>
      </c>
      <c r="P221" s="11" t="s">
        <v>133</v>
      </c>
      <c r="Q221" s="11" t="s">
        <v>133</v>
      </c>
      <c r="R221" s="11" t="s">
        <v>133</v>
      </c>
      <c r="S221" s="46"/>
      <c r="T221" s="44" t="n">
        <f aca="false">IF($B221="","",COUNTA($N221:$R221)-COUNTIF($N221:$R221,"Not Invited"))</f>
        <v>0</v>
      </c>
      <c r="U221" s="44" t="n">
        <f aca="false">IF($B221="","",COUNTIF($N221:$R221,"Attended"))</f>
        <v>0</v>
      </c>
      <c r="V221" s="47" t="str">
        <f aca="false">IF($B221="","",_xlfn.TEXTJOIN(", ",TRUE(),IF($N221="Attended",Setup!$D$15,""),IF($O221="Attended",Setup!$D$16,""),IF($P221="Attended",Setup!$D$17,""),IF($Q221="Attended",Setup!$D$18,""),IF($R221="Attended",Setup!$D$19,"")))</f>
        <v/>
      </c>
      <c r="W221" s="48" t="str">
        <f aca="true">IF(OR($B221="",NOT(ISNUMBER($H221))),"",TODAY()-$H221)</f>
        <v/>
      </c>
      <c r="X221" s="47" t="str">
        <f aca="false">IF($B221="","",IF($U221&gt;0,"Event attendee",IF($G221="Yes","Met (no event)",IF($T221&gt;0,"Invited only",IF(OR($L221="Yes",$M221="Yes"),"Contacted only","Not yet contacted")))))</f>
        <v>Contacted only</v>
      </c>
      <c r="Y221" s="47" t="n">
        <f aca="false">IF($B221="","",COUNTIF(c_Firm,"&lt;"&amp;$D221)+COUNTIFS(c_Firm,$D221,c_Name,"&lt;"&amp;$B221)+COUNTIFS($D$2:$D221,$D221,$B$2:$B221,$B221))</f>
        <v>220</v>
      </c>
      <c r="Z221" s="47" t="n">
        <f aca="false">IF($B221="","",IF(AND(OR(Contacts!$C$3="(All)",$D221=Contacts!$C$3),OR(Contacts!$E$3="(All)",$G221=Contacts!$E$3),OR(Contacts!$G$3="(All)",ISNUMBER(SEARCH(Contacts!$G$3,$V221))),OR(Contacts!$I$3="(All)",$X221=Contacts!$I$3),OR(Contacts!$K$3="",ISNUMBER(SEARCH(Contacts!$K$3,$B221&amp;" "&amp;$C221&amp;" "&amp;$D221&amp;" "&amp;$S221)))),1,0))</f>
        <v>1</v>
      </c>
      <c r="AA221" s="47" t="n">
        <f aca="false">IF($Z221=1,COUNTIFS(c_Pass,1,c_Sort,"&lt;="&amp;$Y221),"")</f>
        <v>220</v>
      </c>
      <c r="AB221" s="47" t="str">
        <f aca="false">IF(OR($G221&lt;&gt;"Yes",NOT(ISNUMBER($H221))),"",COUNTIFS(c_Met,"Yes",c_Date,"&lt;"&amp;$H221)+COUNTIFS($G$2:$G221,"Yes",$H$2:$H221,$H221))</f>
        <v/>
      </c>
    </row>
    <row r="222" customFormat="false" ht="15" hidden="false" customHeight="false" outlineLevel="0" collapsed="false">
      <c r="A222" s="44" t="n">
        <f aca="false">IF($B222="","",COUNTA($B$2:$B222))</f>
        <v>221</v>
      </c>
      <c r="B222" s="11" t="s">
        <v>603</v>
      </c>
      <c r="C222" s="11"/>
      <c r="D222" s="11" t="s">
        <v>26</v>
      </c>
      <c r="E222" s="11" t="s">
        <v>193</v>
      </c>
      <c r="F222" s="11" t="s">
        <v>68</v>
      </c>
      <c r="G222" s="34" t="s">
        <v>132</v>
      </c>
      <c r="H222" s="25"/>
      <c r="I222" s="40" t="n">
        <v>0</v>
      </c>
      <c r="J222" s="34" t="s">
        <v>132</v>
      </c>
      <c r="K222" s="45"/>
      <c r="L222" s="34"/>
      <c r="M222" s="34" t="s">
        <v>142</v>
      </c>
      <c r="N222" s="11" t="s">
        <v>133</v>
      </c>
      <c r="O222" s="11" t="s">
        <v>133</v>
      </c>
      <c r="P222" s="11" t="s">
        <v>133</v>
      </c>
      <c r="Q222" s="11" t="s">
        <v>133</v>
      </c>
      <c r="R222" s="11" t="s">
        <v>133</v>
      </c>
      <c r="S222" s="46" t="s">
        <v>604</v>
      </c>
      <c r="T222" s="44" t="n">
        <f aca="false">IF($B222="","",COUNTA($N222:$R222)-COUNTIF($N222:$R222,"Not Invited"))</f>
        <v>0</v>
      </c>
      <c r="U222" s="44" t="n">
        <f aca="false">IF($B222="","",COUNTIF($N222:$R222,"Attended"))</f>
        <v>0</v>
      </c>
      <c r="V222" s="47" t="str">
        <f aca="false">IF($B222="","",_xlfn.TEXTJOIN(", ",TRUE(),IF($N222="Attended",Setup!$D$15,""),IF($O222="Attended",Setup!$D$16,""),IF($P222="Attended",Setup!$D$17,""),IF($Q222="Attended",Setup!$D$18,""),IF($R222="Attended",Setup!$D$19,"")))</f>
        <v/>
      </c>
      <c r="W222" s="48" t="str">
        <f aca="true">IF(OR($B222="",NOT(ISNUMBER($H222))),"",TODAY()-$H222)</f>
        <v/>
      </c>
      <c r="X222" s="47" t="str">
        <f aca="false">IF($B222="","",IF($U222&gt;0,"Event attendee",IF($G222="Yes","Met (no event)",IF($T222&gt;0,"Invited only",IF(OR($L222="Yes",$M222="Yes"),"Contacted only","Not yet contacted")))))</f>
        <v>Contacted only</v>
      </c>
      <c r="Y222" s="47" t="n">
        <f aca="false">IF($B222="","",COUNTIF(c_Firm,"&lt;"&amp;$D222)+COUNTIFS(c_Firm,$D222,c_Name,"&lt;"&amp;$B222)+COUNTIFS($D$2:$D222,$D222,$B$2:$B222,$B222))</f>
        <v>221</v>
      </c>
      <c r="Z222" s="47" t="n">
        <f aca="false">IF($B222="","",IF(AND(OR(Contacts!$C$3="(All)",$D222=Contacts!$C$3),OR(Contacts!$E$3="(All)",$G222=Contacts!$E$3),OR(Contacts!$G$3="(All)",ISNUMBER(SEARCH(Contacts!$G$3,$V222))),OR(Contacts!$I$3="(All)",$X222=Contacts!$I$3),OR(Contacts!$K$3="",ISNUMBER(SEARCH(Contacts!$K$3,$B222&amp;" "&amp;$C222&amp;" "&amp;$D222&amp;" "&amp;$S222)))),1,0))</f>
        <v>1</v>
      </c>
      <c r="AA222" s="47" t="n">
        <f aca="false">IF($Z222=1,COUNTIFS(c_Pass,1,c_Sort,"&lt;="&amp;$Y222),"")</f>
        <v>221</v>
      </c>
      <c r="AB222" s="47" t="str">
        <f aca="false">IF(OR($G222&lt;&gt;"Yes",NOT(ISNUMBER($H222))),"",COUNTIFS(c_Met,"Yes",c_Date,"&lt;"&amp;$H222)+COUNTIFS($G$2:$G222,"Yes",$H$2:$H222,$H222))</f>
        <v/>
      </c>
    </row>
    <row r="223" customFormat="false" ht="15" hidden="false" customHeight="false" outlineLevel="0" collapsed="false">
      <c r="A223" s="44" t="n">
        <f aca="false">IF($B223="","",COUNTA($B$2:$B223))</f>
        <v>222</v>
      </c>
      <c r="B223" s="11" t="s">
        <v>605</v>
      </c>
      <c r="C223" s="11" t="s">
        <v>606</v>
      </c>
      <c r="D223" s="11" t="s">
        <v>26</v>
      </c>
      <c r="E223" s="11" t="s">
        <v>131</v>
      </c>
      <c r="F223" s="11" t="s">
        <v>70</v>
      </c>
      <c r="G223" s="34" t="s">
        <v>132</v>
      </c>
      <c r="H223" s="25"/>
      <c r="I223" s="40" t="n">
        <v>0</v>
      </c>
      <c r="J223" s="34" t="s">
        <v>132</v>
      </c>
      <c r="K223" s="45"/>
      <c r="L223" s="34" t="s">
        <v>142</v>
      </c>
      <c r="M223" s="34"/>
      <c r="N223" s="11" t="s">
        <v>133</v>
      </c>
      <c r="O223" s="11" t="s">
        <v>133</v>
      </c>
      <c r="P223" s="11" t="s">
        <v>133</v>
      </c>
      <c r="Q223" s="11" t="s">
        <v>133</v>
      </c>
      <c r="R223" s="11" t="s">
        <v>133</v>
      </c>
      <c r="S223" s="46"/>
      <c r="T223" s="44" t="n">
        <f aca="false">IF($B223="","",COUNTA($N223:$R223)-COUNTIF($N223:$R223,"Not Invited"))</f>
        <v>0</v>
      </c>
      <c r="U223" s="44" t="n">
        <f aca="false">IF($B223="","",COUNTIF($N223:$R223,"Attended"))</f>
        <v>0</v>
      </c>
      <c r="V223" s="47" t="str">
        <f aca="false">IF($B223="","",_xlfn.TEXTJOIN(", ",TRUE(),IF($N223="Attended",Setup!$D$15,""),IF($O223="Attended",Setup!$D$16,""),IF($P223="Attended",Setup!$D$17,""),IF($Q223="Attended",Setup!$D$18,""),IF($R223="Attended",Setup!$D$19,"")))</f>
        <v/>
      </c>
      <c r="W223" s="48" t="str">
        <f aca="true">IF(OR($B223="",NOT(ISNUMBER($H223))),"",TODAY()-$H223)</f>
        <v/>
      </c>
      <c r="X223" s="47" t="str">
        <f aca="false">IF($B223="","",IF($U223&gt;0,"Event attendee",IF($G223="Yes","Met (no event)",IF($T223&gt;0,"Invited only",IF(OR($L223="Yes",$M223="Yes"),"Contacted only","Not yet contacted")))))</f>
        <v>Contacted only</v>
      </c>
      <c r="Y223" s="47" t="n">
        <f aca="false">IF($B223="","",COUNTIF(c_Firm,"&lt;"&amp;$D223)+COUNTIFS(c_Firm,$D223,c_Name,"&lt;"&amp;$B223)+COUNTIFS($D$2:$D223,$D223,$B$2:$B223,$B223))</f>
        <v>222</v>
      </c>
      <c r="Z223" s="47" t="n">
        <f aca="false">IF($B223="","",IF(AND(OR(Contacts!$C$3="(All)",$D223=Contacts!$C$3),OR(Contacts!$E$3="(All)",$G223=Contacts!$E$3),OR(Contacts!$G$3="(All)",ISNUMBER(SEARCH(Contacts!$G$3,$V223))),OR(Contacts!$I$3="(All)",$X223=Contacts!$I$3),OR(Contacts!$K$3="",ISNUMBER(SEARCH(Contacts!$K$3,$B223&amp;" "&amp;$C223&amp;" "&amp;$D223&amp;" "&amp;$S223)))),1,0))</f>
        <v>1</v>
      </c>
      <c r="AA223" s="47" t="n">
        <f aca="false">IF($Z223=1,COUNTIFS(c_Pass,1,c_Sort,"&lt;="&amp;$Y223),"")</f>
        <v>222</v>
      </c>
      <c r="AB223" s="47" t="str">
        <f aca="false">IF(OR($G223&lt;&gt;"Yes",NOT(ISNUMBER($H223))),"",COUNTIFS(c_Met,"Yes",c_Date,"&lt;"&amp;$H223)+COUNTIFS($G$2:$G223,"Yes",$H$2:$H223,$H223))</f>
        <v/>
      </c>
    </row>
    <row r="224" customFormat="false" ht="15" hidden="false" customHeight="false" outlineLevel="0" collapsed="false">
      <c r="A224" s="44" t="n">
        <f aca="false">IF($B224="","",COUNTA($B$2:$B224))</f>
        <v>223</v>
      </c>
      <c r="B224" s="11" t="s">
        <v>607</v>
      </c>
      <c r="C224" s="11" t="s">
        <v>608</v>
      </c>
      <c r="D224" s="11" t="s">
        <v>26</v>
      </c>
      <c r="E224" s="11" t="s">
        <v>131</v>
      </c>
      <c r="F224" s="11" t="s">
        <v>70</v>
      </c>
      <c r="G224" s="34" t="s">
        <v>132</v>
      </c>
      <c r="H224" s="25"/>
      <c r="I224" s="40" t="n">
        <v>0</v>
      </c>
      <c r="J224" s="34" t="s">
        <v>132</v>
      </c>
      <c r="K224" s="45"/>
      <c r="L224" s="34" t="s">
        <v>142</v>
      </c>
      <c r="M224" s="34"/>
      <c r="N224" s="11" t="s">
        <v>133</v>
      </c>
      <c r="O224" s="11" t="s">
        <v>133</v>
      </c>
      <c r="P224" s="11" t="s">
        <v>133</v>
      </c>
      <c r="Q224" s="11" t="s">
        <v>133</v>
      </c>
      <c r="R224" s="11" t="s">
        <v>133</v>
      </c>
      <c r="S224" s="46"/>
      <c r="T224" s="44" t="n">
        <f aca="false">IF($B224="","",COUNTA($N224:$R224)-COUNTIF($N224:$R224,"Not Invited"))</f>
        <v>0</v>
      </c>
      <c r="U224" s="44" t="n">
        <f aca="false">IF($B224="","",COUNTIF($N224:$R224,"Attended"))</f>
        <v>0</v>
      </c>
      <c r="V224" s="47" t="str">
        <f aca="false">IF($B224="","",_xlfn.TEXTJOIN(", ",TRUE(),IF($N224="Attended",Setup!$D$15,""),IF($O224="Attended",Setup!$D$16,""),IF($P224="Attended",Setup!$D$17,""),IF($Q224="Attended",Setup!$D$18,""),IF($R224="Attended",Setup!$D$19,"")))</f>
        <v/>
      </c>
      <c r="W224" s="48" t="str">
        <f aca="true">IF(OR($B224="",NOT(ISNUMBER($H224))),"",TODAY()-$H224)</f>
        <v/>
      </c>
      <c r="X224" s="47" t="str">
        <f aca="false">IF($B224="","",IF($U224&gt;0,"Event attendee",IF($G224="Yes","Met (no event)",IF($T224&gt;0,"Invited only",IF(OR($L224="Yes",$M224="Yes"),"Contacted only","Not yet contacted")))))</f>
        <v>Contacted only</v>
      </c>
      <c r="Y224" s="47" t="n">
        <f aca="false">IF($B224="","",COUNTIF(c_Firm,"&lt;"&amp;$D224)+COUNTIFS(c_Firm,$D224,c_Name,"&lt;"&amp;$B224)+COUNTIFS($D$2:$D224,$D224,$B$2:$B224,$B224))</f>
        <v>223</v>
      </c>
      <c r="Z224" s="47" t="n">
        <f aca="false">IF($B224="","",IF(AND(OR(Contacts!$C$3="(All)",$D224=Contacts!$C$3),OR(Contacts!$E$3="(All)",$G224=Contacts!$E$3),OR(Contacts!$G$3="(All)",ISNUMBER(SEARCH(Contacts!$G$3,$V224))),OR(Contacts!$I$3="(All)",$X224=Contacts!$I$3),OR(Contacts!$K$3="",ISNUMBER(SEARCH(Contacts!$K$3,$B224&amp;" "&amp;$C224&amp;" "&amp;$D224&amp;" "&amp;$S224)))),1,0))</f>
        <v>1</v>
      </c>
      <c r="AA224" s="47" t="n">
        <f aca="false">IF($Z224=1,COUNTIFS(c_Pass,1,c_Sort,"&lt;="&amp;$Y224),"")</f>
        <v>223</v>
      </c>
      <c r="AB224" s="47" t="str">
        <f aca="false">IF(OR($G224&lt;&gt;"Yes",NOT(ISNUMBER($H224))),"",COUNTIFS(c_Met,"Yes",c_Date,"&lt;"&amp;$H224)+COUNTIFS($G$2:$G224,"Yes",$H$2:$H224,$H224))</f>
        <v/>
      </c>
    </row>
    <row r="225" customFormat="false" ht="15" hidden="false" customHeight="false" outlineLevel="0" collapsed="false">
      <c r="A225" s="44" t="n">
        <f aca="false">IF($B225="","",COUNTA($B$2:$B225))</f>
        <v>224</v>
      </c>
      <c r="B225" s="11" t="s">
        <v>609</v>
      </c>
      <c r="C225" s="11" t="s">
        <v>610</v>
      </c>
      <c r="D225" s="11" t="s">
        <v>26</v>
      </c>
      <c r="E225" s="11" t="s">
        <v>131</v>
      </c>
      <c r="F225" s="11" t="s">
        <v>70</v>
      </c>
      <c r="G225" s="34" t="s">
        <v>132</v>
      </c>
      <c r="H225" s="25"/>
      <c r="I225" s="40" t="n">
        <v>0</v>
      </c>
      <c r="J225" s="34" t="s">
        <v>132</v>
      </c>
      <c r="K225" s="45"/>
      <c r="L225" s="34" t="s">
        <v>142</v>
      </c>
      <c r="M225" s="34"/>
      <c r="N225" s="11" t="s">
        <v>133</v>
      </c>
      <c r="O225" s="11" t="s">
        <v>133</v>
      </c>
      <c r="P225" s="11" t="s">
        <v>133</v>
      </c>
      <c r="Q225" s="11" t="s">
        <v>133</v>
      </c>
      <c r="R225" s="11" t="s">
        <v>133</v>
      </c>
      <c r="S225" s="46"/>
      <c r="T225" s="44" t="n">
        <f aca="false">IF($B225="","",COUNTA($N225:$R225)-COUNTIF($N225:$R225,"Not Invited"))</f>
        <v>0</v>
      </c>
      <c r="U225" s="44" t="n">
        <f aca="false">IF($B225="","",COUNTIF($N225:$R225,"Attended"))</f>
        <v>0</v>
      </c>
      <c r="V225" s="47" t="str">
        <f aca="false">IF($B225="","",_xlfn.TEXTJOIN(", ",TRUE(),IF($N225="Attended",Setup!$D$15,""),IF($O225="Attended",Setup!$D$16,""),IF($P225="Attended",Setup!$D$17,""),IF($Q225="Attended",Setup!$D$18,""),IF($R225="Attended",Setup!$D$19,"")))</f>
        <v/>
      </c>
      <c r="W225" s="48" t="str">
        <f aca="true">IF(OR($B225="",NOT(ISNUMBER($H225))),"",TODAY()-$H225)</f>
        <v/>
      </c>
      <c r="X225" s="47" t="str">
        <f aca="false">IF($B225="","",IF($U225&gt;0,"Event attendee",IF($G225="Yes","Met (no event)",IF($T225&gt;0,"Invited only",IF(OR($L225="Yes",$M225="Yes"),"Contacted only","Not yet contacted")))))</f>
        <v>Contacted only</v>
      </c>
      <c r="Y225" s="47" t="n">
        <f aca="false">IF($B225="","",COUNTIF(c_Firm,"&lt;"&amp;$D225)+COUNTIFS(c_Firm,$D225,c_Name,"&lt;"&amp;$B225)+COUNTIFS($D$2:$D225,$D225,$B$2:$B225,$B225))</f>
        <v>224</v>
      </c>
      <c r="Z225" s="47" t="n">
        <f aca="false">IF($B225="","",IF(AND(OR(Contacts!$C$3="(All)",$D225=Contacts!$C$3),OR(Contacts!$E$3="(All)",$G225=Contacts!$E$3),OR(Contacts!$G$3="(All)",ISNUMBER(SEARCH(Contacts!$G$3,$V225))),OR(Contacts!$I$3="(All)",$X225=Contacts!$I$3),OR(Contacts!$K$3="",ISNUMBER(SEARCH(Contacts!$K$3,$B225&amp;" "&amp;$C225&amp;" "&amp;$D225&amp;" "&amp;$S225)))),1,0))</f>
        <v>1</v>
      </c>
      <c r="AA225" s="47" t="n">
        <f aca="false">IF($Z225=1,COUNTIFS(c_Pass,1,c_Sort,"&lt;="&amp;$Y225),"")</f>
        <v>224</v>
      </c>
      <c r="AB225" s="47" t="str">
        <f aca="false">IF(OR($G225&lt;&gt;"Yes",NOT(ISNUMBER($H225))),"",COUNTIFS(c_Met,"Yes",c_Date,"&lt;"&amp;$H225)+COUNTIFS($G$2:$G225,"Yes",$H$2:$H225,$H225))</f>
        <v/>
      </c>
    </row>
    <row r="226" customFormat="false" ht="15" hidden="false" customHeight="false" outlineLevel="0" collapsed="false">
      <c r="A226" s="44" t="n">
        <f aca="false">IF($B226="","",COUNTA($B$2:$B226))</f>
        <v>225</v>
      </c>
      <c r="B226" s="11" t="s">
        <v>611</v>
      </c>
      <c r="C226" s="11" t="s">
        <v>612</v>
      </c>
      <c r="D226" s="11" t="s">
        <v>26</v>
      </c>
      <c r="E226" s="11" t="s">
        <v>131</v>
      </c>
      <c r="F226" s="11" t="s">
        <v>573</v>
      </c>
      <c r="G226" s="34" t="s">
        <v>132</v>
      </c>
      <c r="H226" s="25"/>
      <c r="I226" s="40" t="n">
        <v>0</v>
      </c>
      <c r="J226" s="34" t="s">
        <v>132</v>
      </c>
      <c r="K226" s="45"/>
      <c r="L226" s="34" t="s">
        <v>132</v>
      </c>
      <c r="M226" s="34"/>
      <c r="N226" s="11" t="s">
        <v>133</v>
      </c>
      <c r="O226" s="11" t="s">
        <v>133</v>
      </c>
      <c r="P226" s="11" t="s">
        <v>133</v>
      </c>
      <c r="Q226" s="11" t="s">
        <v>133</v>
      </c>
      <c r="R226" s="11" t="s">
        <v>133</v>
      </c>
      <c r="S226" s="46" t="s">
        <v>613</v>
      </c>
      <c r="T226" s="44" t="n">
        <f aca="false">IF($B226="","",COUNTA($N226:$R226)-COUNTIF($N226:$R226,"Not Invited"))</f>
        <v>0</v>
      </c>
      <c r="U226" s="44" t="n">
        <f aca="false">IF($B226="","",COUNTIF($N226:$R226,"Attended"))</f>
        <v>0</v>
      </c>
      <c r="V226" s="47" t="str">
        <f aca="false">IF($B226="","",_xlfn.TEXTJOIN(", ",TRUE(),IF($N226="Attended",Setup!$D$15,""),IF($O226="Attended",Setup!$D$16,""),IF($P226="Attended",Setup!$D$17,""),IF($Q226="Attended",Setup!$D$18,""),IF($R226="Attended",Setup!$D$19,"")))</f>
        <v/>
      </c>
      <c r="W226" s="48" t="str">
        <f aca="true">IF(OR($B226="",NOT(ISNUMBER($H226))),"",TODAY()-$H226)</f>
        <v/>
      </c>
      <c r="X226" s="47" t="str">
        <f aca="false">IF($B226="","",IF($U226&gt;0,"Event attendee",IF($G226="Yes","Met (no event)",IF($T226&gt;0,"Invited only",IF(OR($L226="Yes",$M226="Yes"),"Contacted only","Not yet contacted")))))</f>
        <v>Not yet contacted</v>
      </c>
      <c r="Y226" s="47" t="n">
        <f aca="false">IF($B226="","",COUNTIF(c_Firm,"&lt;"&amp;$D226)+COUNTIFS(c_Firm,$D226,c_Name,"&lt;"&amp;$B226)+COUNTIFS($D$2:$D226,$D226,$B$2:$B226,$B226))</f>
        <v>225</v>
      </c>
      <c r="Z226" s="47" t="n">
        <f aca="false">IF($B226="","",IF(AND(OR(Contacts!$C$3="(All)",$D226=Contacts!$C$3),OR(Contacts!$E$3="(All)",$G226=Contacts!$E$3),OR(Contacts!$G$3="(All)",ISNUMBER(SEARCH(Contacts!$G$3,$V226))),OR(Contacts!$I$3="(All)",$X226=Contacts!$I$3),OR(Contacts!$K$3="",ISNUMBER(SEARCH(Contacts!$K$3,$B226&amp;" "&amp;$C226&amp;" "&amp;$D226&amp;" "&amp;$S226)))),1,0))</f>
        <v>1</v>
      </c>
      <c r="AA226" s="47" t="n">
        <f aca="false">IF($Z226=1,COUNTIFS(c_Pass,1,c_Sort,"&lt;="&amp;$Y226),"")</f>
        <v>225</v>
      </c>
      <c r="AB226" s="47" t="str">
        <f aca="false">IF(OR($G226&lt;&gt;"Yes",NOT(ISNUMBER($H226))),"",COUNTIFS(c_Met,"Yes",c_Date,"&lt;"&amp;$H226)+COUNTIFS($G$2:$G226,"Yes",$H$2:$H226,$H226))</f>
        <v/>
      </c>
    </row>
    <row r="227" customFormat="false" ht="15" hidden="false" customHeight="false" outlineLevel="0" collapsed="false">
      <c r="A227" s="44" t="n">
        <f aca="false">IF($B227="","",COUNTA($B$2:$B227))</f>
        <v>226</v>
      </c>
      <c r="B227" s="11" t="s">
        <v>614</v>
      </c>
      <c r="C227" s="11" t="s">
        <v>615</v>
      </c>
      <c r="D227" s="11" t="s">
        <v>26</v>
      </c>
      <c r="E227" s="11" t="s">
        <v>131</v>
      </c>
      <c r="F227" s="11" t="s">
        <v>70</v>
      </c>
      <c r="G227" s="34" t="s">
        <v>132</v>
      </c>
      <c r="H227" s="25"/>
      <c r="I227" s="40" t="n">
        <v>0</v>
      </c>
      <c r="J227" s="34" t="s">
        <v>132</v>
      </c>
      <c r="K227" s="45"/>
      <c r="L227" s="34" t="s">
        <v>142</v>
      </c>
      <c r="M227" s="34"/>
      <c r="N227" s="11" t="s">
        <v>133</v>
      </c>
      <c r="O227" s="11" t="s">
        <v>133</v>
      </c>
      <c r="P227" s="11" t="s">
        <v>133</v>
      </c>
      <c r="Q227" s="11" t="s">
        <v>133</v>
      </c>
      <c r="R227" s="11" t="s">
        <v>133</v>
      </c>
      <c r="S227" s="46"/>
      <c r="T227" s="44" t="n">
        <f aca="false">IF($B227="","",COUNTA($N227:$R227)-COUNTIF($N227:$R227,"Not Invited"))</f>
        <v>0</v>
      </c>
      <c r="U227" s="44" t="n">
        <f aca="false">IF($B227="","",COUNTIF($N227:$R227,"Attended"))</f>
        <v>0</v>
      </c>
      <c r="V227" s="47" t="str">
        <f aca="false">IF($B227="","",_xlfn.TEXTJOIN(", ",TRUE(),IF($N227="Attended",Setup!$D$15,""),IF($O227="Attended",Setup!$D$16,""),IF($P227="Attended",Setup!$D$17,""),IF($Q227="Attended",Setup!$D$18,""),IF($R227="Attended",Setup!$D$19,"")))</f>
        <v/>
      </c>
      <c r="W227" s="48" t="str">
        <f aca="true">IF(OR($B227="",NOT(ISNUMBER($H227))),"",TODAY()-$H227)</f>
        <v/>
      </c>
      <c r="X227" s="47" t="str">
        <f aca="false">IF($B227="","",IF($U227&gt;0,"Event attendee",IF($G227="Yes","Met (no event)",IF($T227&gt;0,"Invited only",IF(OR($L227="Yes",$M227="Yes"),"Contacted only","Not yet contacted")))))</f>
        <v>Contacted only</v>
      </c>
      <c r="Y227" s="47" t="n">
        <f aca="false">IF($B227="","",COUNTIF(c_Firm,"&lt;"&amp;$D227)+COUNTIFS(c_Firm,$D227,c_Name,"&lt;"&amp;$B227)+COUNTIFS($D$2:$D227,$D227,$B$2:$B227,$B227))</f>
        <v>226</v>
      </c>
      <c r="Z227" s="47" t="n">
        <f aca="false">IF($B227="","",IF(AND(OR(Contacts!$C$3="(All)",$D227=Contacts!$C$3),OR(Contacts!$E$3="(All)",$G227=Contacts!$E$3),OR(Contacts!$G$3="(All)",ISNUMBER(SEARCH(Contacts!$G$3,$V227))),OR(Contacts!$I$3="(All)",$X227=Contacts!$I$3),OR(Contacts!$K$3="",ISNUMBER(SEARCH(Contacts!$K$3,$B227&amp;" "&amp;$C227&amp;" "&amp;$D227&amp;" "&amp;$S227)))),1,0))</f>
        <v>1</v>
      </c>
      <c r="AA227" s="47" t="n">
        <f aca="false">IF($Z227=1,COUNTIFS(c_Pass,1,c_Sort,"&lt;="&amp;$Y227),"")</f>
        <v>226</v>
      </c>
      <c r="AB227" s="47" t="str">
        <f aca="false">IF(OR($G227&lt;&gt;"Yes",NOT(ISNUMBER($H227))),"",COUNTIFS(c_Met,"Yes",c_Date,"&lt;"&amp;$H227)+COUNTIFS($G$2:$G227,"Yes",$H$2:$H227,$H227))</f>
        <v/>
      </c>
    </row>
    <row r="228" customFormat="false" ht="15" hidden="false" customHeight="false" outlineLevel="0" collapsed="false">
      <c r="A228" s="44" t="n">
        <f aca="false">IF($B228="","",COUNTA($B$2:$B228))</f>
        <v>227</v>
      </c>
      <c r="B228" s="11" t="s">
        <v>616</v>
      </c>
      <c r="C228" s="11" t="s">
        <v>617</v>
      </c>
      <c r="D228" s="11" t="s">
        <v>26</v>
      </c>
      <c r="E228" s="11" t="s">
        <v>131</v>
      </c>
      <c r="F228" s="11" t="s">
        <v>70</v>
      </c>
      <c r="G228" s="34" t="s">
        <v>132</v>
      </c>
      <c r="H228" s="25"/>
      <c r="I228" s="40" t="n">
        <v>0</v>
      </c>
      <c r="J228" s="34" t="s">
        <v>132</v>
      </c>
      <c r="K228" s="45"/>
      <c r="L228" s="34" t="s">
        <v>142</v>
      </c>
      <c r="M228" s="34"/>
      <c r="N228" s="11" t="s">
        <v>133</v>
      </c>
      <c r="O228" s="11" t="s">
        <v>133</v>
      </c>
      <c r="P228" s="11" t="s">
        <v>133</v>
      </c>
      <c r="Q228" s="11" t="s">
        <v>133</v>
      </c>
      <c r="R228" s="11" t="s">
        <v>133</v>
      </c>
      <c r="S228" s="46"/>
      <c r="T228" s="44" t="n">
        <f aca="false">IF($B228="","",COUNTA($N228:$R228)-COUNTIF($N228:$R228,"Not Invited"))</f>
        <v>0</v>
      </c>
      <c r="U228" s="44" t="n">
        <f aca="false">IF($B228="","",COUNTIF($N228:$R228,"Attended"))</f>
        <v>0</v>
      </c>
      <c r="V228" s="47" t="str">
        <f aca="false">IF($B228="","",_xlfn.TEXTJOIN(", ",TRUE(),IF($N228="Attended",Setup!$D$15,""),IF($O228="Attended",Setup!$D$16,""),IF($P228="Attended",Setup!$D$17,""),IF($Q228="Attended",Setup!$D$18,""),IF($R228="Attended",Setup!$D$19,"")))</f>
        <v/>
      </c>
      <c r="W228" s="48" t="str">
        <f aca="true">IF(OR($B228="",NOT(ISNUMBER($H228))),"",TODAY()-$H228)</f>
        <v/>
      </c>
      <c r="X228" s="47" t="str">
        <f aca="false">IF($B228="","",IF($U228&gt;0,"Event attendee",IF($G228="Yes","Met (no event)",IF($T228&gt;0,"Invited only",IF(OR($L228="Yes",$M228="Yes"),"Contacted only","Not yet contacted")))))</f>
        <v>Contacted only</v>
      </c>
      <c r="Y228" s="47" t="n">
        <f aca="false">IF($B228="","",COUNTIF(c_Firm,"&lt;"&amp;$D228)+COUNTIFS(c_Firm,$D228,c_Name,"&lt;"&amp;$B228)+COUNTIFS($D$2:$D228,$D228,$B$2:$B228,$B228))</f>
        <v>227</v>
      </c>
      <c r="Z228" s="47" t="n">
        <f aca="false">IF($B228="","",IF(AND(OR(Contacts!$C$3="(All)",$D228=Contacts!$C$3),OR(Contacts!$E$3="(All)",$G228=Contacts!$E$3),OR(Contacts!$G$3="(All)",ISNUMBER(SEARCH(Contacts!$G$3,$V228))),OR(Contacts!$I$3="(All)",$X228=Contacts!$I$3),OR(Contacts!$K$3="",ISNUMBER(SEARCH(Contacts!$K$3,$B228&amp;" "&amp;$C228&amp;" "&amp;$D228&amp;" "&amp;$S228)))),1,0))</f>
        <v>1</v>
      </c>
      <c r="AA228" s="47" t="n">
        <f aca="false">IF($Z228=1,COUNTIFS(c_Pass,1,c_Sort,"&lt;="&amp;$Y228),"")</f>
        <v>227</v>
      </c>
      <c r="AB228" s="47" t="str">
        <f aca="false">IF(OR($G228&lt;&gt;"Yes",NOT(ISNUMBER($H228))),"",COUNTIFS(c_Met,"Yes",c_Date,"&lt;"&amp;$H228)+COUNTIFS($G$2:$G228,"Yes",$H$2:$H228,$H228))</f>
        <v/>
      </c>
    </row>
    <row r="229" customFormat="false" ht="15" hidden="false" customHeight="false" outlineLevel="0" collapsed="false">
      <c r="A229" s="44" t="n">
        <f aca="false">IF($B229="","",COUNTA($B$2:$B229))</f>
        <v>228</v>
      </c>
      <c r="B229" s="11" t="s">
        <v>618</v>
      </c>
      <c r="C229" s="11"/>
      <c r="D229" s="11" t="s">
        <v>26</v>
      </c>
      <c r="E229" s="11" t="s">
        <v>193</v>
      </c>
      <c r="F229" s="11" t="s">
        <v>68</v>
      </c>
      <c r="G229" s="34" t="s">
        <v>132</v>
      </c>
      <c r="H229" s="25"/>
      <c r="I229" s="40" t="n">
        <v>0</v>
      </c>
      <c r="J229" s="34" t="s">
        <v>132</v>
      </c>
      <c r="K229" s="45"/>
      <c r="L229" s="34"/>
      <c r="M229" s="34" t="s">
        <v>142</v>
      </c>
      <c r="N229" s="11" t="s">
        <v>133</v>
      </c>
      <c r="O229" s="11" t="s">
        <v>133</v>
      </c>
      <c r="P229" s="11" t="s">
        <v>133</v>
      </c>
      <c r="Q229" s="11" t="s">
        <v>133</v>
      </c>
      <c r="R229" s="11" t="s">
        <v>133</v>
      </c>
      <c r="S229" s="46" t="s">
        <v>619</v>
      </c>
      <c r="T229" s="44" t="n">
        <f aca="false">IF($B229="","",COUNTA($N229:$R229)-COUNTIF($N229:$R229,"Not Invited"))</f>
        <v>0</v>
      </c>
      <c r="U229" s="44" t="n">
        <f aca="false">IF($B229="","",COUNTIF($N229:$R229,"Attended"))</f>
        <v>0</v>
      </c>
      <c r="V229" s="47" t="str">
        <f aca="false">IF($B229="","",_xlfn.TEXTJOIN(", ",TRUE(),IF($N229="Attended",Setup!$D$15,""),IF($O229="Attended",Setup!$D$16,""),IF($P229="Attended",Setup!$D$17,""),IF($Q229="Attended",Setup!$D$18,""),IF($R229="Attended",Setup!$D$19,"")))</f>
        <v/>
      </c>
      <c r="W229" s="48" t="str">
        <f aca="true">IF(OR($B229="",NOT(ISNUMBER($H229))),"",TODAY()-$H229)</f>
        <v/>
      </c>
      <c r="X229" s="47" t="str">
        <f aca="false">IF($B229="","",IF($U229&gt;0,"Event attendee",IF($G229="Yes","Met (no event)",IF($T229&gt;0,"Invited only",IF(OR($L229="Yes",$M229="Yes"),"Contacted only","Not yet contacted")))))</f>
        <v>Contacted only</v>
      </c>
      <c r="Y229" s="47" t="n">
        <f aca="false">IF($B229="","",COUNTIF(c_Firm,"&lt;"&amp;$D229)+COUNTIFS(c_Firm,$D229,c_Name,"&lt;"&amp;$B229)+COUNTIFS($D$2:$D229,$D229,$B$2:$B229,$B229))</f>
        <v>228</v>
      </c>
      <c r="Z229" s="47" t="n">
        <f aca="false">IF($B229="","",IF(AND(OR(Contacts!$C$3="(All)",$D229=Contacts!$C$3),OR(Contacts!$E$3="(All)",$G229=Contacts!$E$3),OR(Contacts!$G$3="(All)",ISNUMBER(SEARCH(Contacts!$G$3,$V229))),OR(Contacts!$I$3="(All)",$X229=Contacts!$I$3),OR(Contacts!$K$3="",ISNUMBER(SEARCH(Contacts!$K$3,$B229&amp;" "&amp;$C229&amp;" "&amp;$D229&amp;" "&amp;$S229)))),1,0))</f>
        <v>1</v>
      </c>
      <c r="AA229" s="47" t="n">
        <f aca="false">IF($Z229=1,COUNTIFS(c_Pass,1,c_Sort,"&lt;="&amp;$Y229),"")</f>
        <v>228</v>
      </c>
      <c r="AB229" s="47" t="str">
        <f aca="false">IF(OR($G229&lt;&gt;"Yes",NOT(ISNUMBER($H229))),"",COUNTIFS(c_Met,"Yes",c_Date,"&lt;"&amp;$H229)+COUNTIFS($G$2:$G229,"Yes",$H$2:$H229,$H229))</f>
        <v/>
      </c>
    </row>
    <row r="230" customFormat="false" ht="15" hidden="false" customHeight="false" outlineLevel="0" collapsed="false">
      <c r="A230" s="44" t="n">
        <f aca="false">IF($B230="","",COUNTA($B$2:$B230))</f>
        <v>229</v>
      </c>
      <c r="B230" s="11" t="s">
        <v>620</v>
      </c>
      <c r="C230" s="11" t="s">
        <v>621</v>
      </c>
      <c r="D230" s="11" t="s">
        <v>26</v>
      </c>
      <c r="E230" s="11" t="s">
        <v>131</v>
      </c>
      <c r="F230" s="11" t="s">
        <v>70</v>
      </c>
      <c r="G230" s="34" t="s">
        <v>132</v>
      </c>
      <c r="H230" s="25"/>
      <c r="I230" s="40" t="n">
        <v>0</v>
      </c>
      <c r="J230" s="34" t="s">
        <v>132</v>
      </c>
      <c r="K230" s="45"/>
      <c r="L230" s="34" t="s">
        <v>142</v>
      </c>
      <c r="M230" s="34"/>
      <c r="N230" s="11" t="s">
        <v>133</v>
      </c>
      <c r="O230" s="11" t="s">
        <v>133</v>
      </c>
      <c r="P230" s="11" t="s">
        <v>133</v>
      </c>
      <c r="Q230" s="11" t="s">
        <v>133</v>
      </c>
      <c r="R230" s="11" t="s">
        <v>133</v>
      </c>
      <c r="S230" s="46"/>
      <c r="T230" s="44" t="n">
        <f aca="false">IF($B230="","",COUNTA($N230:$R230)-COUNTIF($N230:$R230,"Not Invited"))</f>
        <v>0</v>
      </c>
      <c r="U230" s="44" t="n">
        <f aca="false">IF($B230="","",COUNTIF($N230:$R230,"Attended"))</f>
        <v>0</v>
      </c>
      <c r="V230" s="47" t="str">
        <f aca="false">IF($B230="","",_xlfn.TEXTJOIN(", ",TRUE(),IF($N230="Attended",Setup!$D$15,""),IF($O230="Attended",Setup!$D$16,""),IF($P230="Attended",Setup!$D$17,""),IF($Q230="Attended",Setup!$D$18,""),IF($R230="Attended",Setup!$D$19,"")))</f>
        <v/>
      </c>
      <c r="W230" s="48" t="str">
        <f aca="true">IF(OR($B230="",NOT(ISNUMBER($H230))),"",TODAY()-$H230)</f>
        <v/>
      </c>
      <c r="X230" s="47" t="str">
        <f aca="false">IF($B230="","",IF($U230&gt;0,"Event attendee",IF($G230="Yes","Met (no event)",IF($T230&gt;0,"Invited only",IF(OR($L230="Yes",$M230="Yes"),"Contacted only","Not yet contacted")))))</f>
        <v>Contacted only</v>
      </c>
      <c r="Y230" s="47" t="n">
        <f aca="false">IF($B230="","",COUNTIF(c_Firm,"&lt;"&amp;$D230)+COUNTIFS(c_Firm,$D230,c_Name,"&lt;"&amp;$B230)+COUNTIFS($D$2:$D230,$D230,$B$2:$B230,$B230))</f>
        <v>229</v>
      </c>
      <c r="Z230" s="47" t="n">
        <f aca="false">IF($B230="","",IF(AND(OR(Contacts!$C$3="(All)",$D230=Contacts!$C$3),OR(Contacts!$E$3="(All)",$G230=Contacts!$E$3),OR(Contacts!$G$3="(All)",ISNUMBER(SEARCH(Contacts!$G$3,$V230))),OR(Contacts!$I$3="(All)",$X230=Contacts!$I$3),OR(Contacts!$K$3="",ISNUMBER(SEARCH(Contacts!$K$3,$B230&amp;" "&amp;$C230&amp;" "&amp;$D230&amp;" "&amp;$S230)))),1,0))</f>
        <v>1</v>
      </c>
      <c r="AA230" s="47" t="n">
        <f aca="false">IF($Z230=1,COUNTIFS(c_Pass,1,c_Sort,"&lt;="&amp;$Y230),"")</f>
        <v>229</v>
      </c>
      <c r="AB230" s="47" t="str">
        <f aca="false">IF(OR($G230&lt;&gt;"Yes",NOT(ISNUMBER($H230))),"",COUNTIFS(c_Met,"Yes",c_Date,"&lt;"&amp;$H230)+COUNTIFS($G$2:$G230,"Yes",$H$2:$H230,$H230))</f>
        <v/>
      </c>
    </row>
    <row r="231" customFormat="false" ht="15" hidden="false" customHeight="false" outlineLevel="0" collapsed="false">
      <c r="A231" s="44" t="n">
        <f aca="false">IF($B231="","",COUNTA($B$2:$B231))</f>
        <v>230</v>
      </c>
      <c r="B231" s="11" t="s">
        <v>622</v>
      </c>
      <c r="C231" s="11" t="s">
        <v>623</v>
      </c>
      <c r="D231" s="11" t="s">
        <v>26</v>
      </c>
      <c r="E231" s="11" t="s">
        <v>131</v>
      </c>
      <c r="F231" s="11" t="s">
        <v>70</v>
      </c>
      <c r="G231" s="34" t="s">
        <v>132</v>
      </c>
      <c r="H231" s="25"/>
      <c r="I231" s="40" t="n">
        <v>0</v>
      </c>
      <c r="J231" s="34" t="s">
        <v>132</v>
      </c>
      <c r="K231" s="45"/>
      <c r="L231" s="34" t="s">
        <v>142</v>
      </c>
      <c r="M231" s="34"/>
      <c r="N231" s="11" t="s">
        <v>133</v>
      </c>
      <c r="O231" s="11" t="s">
        <v>133</v>
      </c>
      <c r="P231" s="11" t="s">
        <v>133</v>
      </c>
      <c r="Q231" s="11" t="s">
        <v>133</v>
      </c>
      <c r="R231" s="11" t="s">
        <v>133</v>
      </c>
      <c r="S231" s="46"/>
      <c r="T231" s="44" t="n">
        <f aca="false">IF($B231="","",COUNTA($N231:$R231)-COUNTIF($N231:$R231,"Not Invited"))</f>
        <v>0</v>
      </c>
      <c r="U231" s="44" t="n">
        <f aca="false">IF($B231="","",COUNTIF($N231:$R231,"Attended"))</f>
        <v>0</v>
      </c>
      <c r="V231" s="47" t="str">
        <f aca="false">IF($B231="","",_xlfn.TEXTJOIN(", ",TRUE(),IF($N231="Attended",Setup!$D$15,""),IF($O231="Attended",Setup!$D$16,""),IF($P231="Attended",Setup!$D$17,""),IF($Q231="Attended",Setup!$D$18,""),IF($R231="Attended",Setup!$D$19,"")))</f>
        <v/>
      </c>
      <c r="W231" s="48" t="str">
        <f aca="true">IF(OR($B231="",NOT(ISNUMBER($H231))),"",TODAY()-$H231)</f>
        <v/>
      </c>
      <c r="X231" s="47" t="str">
        <f aca="false">IF($B231="","",IF($U231&gt;0,"Event attendee",IF($G231="Yes","Met (no event)",IF($T231&gt;0,"Invited only",IF(OR($L231="Yes",$M231="Yes"),"Contacted only","Not yet contacted")))))</f>
        <v>Contacted only</v>
      </c>
      <c r="Y231" s="47" t="n">
        <f aca="false">IF($B231="","",COUNTIF(c_Firm,"&lt;"&amp;$D231)+COUNTIFS(c_Firm,$D231,c_Name,"&lt;"&amp;$B231)+COUNTIFS($D$2:$D231,$D231,$B$2:$B231,$B231))</f>
        <v>230</v>
      </c>
      <c r="Z231" s="47" t="n">
        <f aca="false">IF($B231="","",IF(AND(OR(Contacts!$C$3="(All)",$D231=Contacts!$C$3),OR(Contacts!$E$3="(All)",$G231=Contacts!$E$3),OR(Contacts!$G$3="(All)",ISNUMBER(SEARCH(Contacts!$G$3,$V231))),OR(Contacts!$I$3="(All)",$X231=Contacts!$I$3),OR(Contacts!$K$3="",ISNUMBER(SEARCH(Contacts!$K$3,$B231&amp;" "&amp;$C231&amp;" "&amp;$D231&amp;" "&amp;$S231)))),1,0))</f>
        <v>1</v>
      </c>
      <c r="AA231" s="47" t="n">
        <f aca="false">IF($Z231=1,COUNTIFS(c_Pass,1,c_Sort,"&lt;="&amp;$Y231),"")</f>
        <v>230</v>
      </c>
      <c r="AB231" s="47" t="str">
        <f aca="false">IF(OR($G231&lt;&gt;"Yes",NOT(ISNUMBER($H231))),"",COUNTIFS(c_Met,"Yes",c_Date,"&lt;"&amp;$H231)+COUNTIFS($G$2:$G231,"Yes",$H$2:$H231,$H231))</f>
        <v/>
      </c>
    </row>
    <row r="232" customFormat="false" ht="15" hidden="false" customHeight="false" outlineLevel="0" collapsed="false">
      <c r="A232" s="44" t="n">
        <f aca="false">IF($B232="","",COUNTA($B$2:$B232))</f>
        <v>231</v>
      </c>
      <c r="B232" s="11" t="s">
        <v>624</v>
      </c>
      <c r="C232" s="11" t="s">
        <v>625</v>
      </c>
      <c r="D232" s="11" t="s">
        <v>26</v>
      </c>
      <c r="E232" s="11" t="s">
        <v>131</v>
      </c>
      <c r="F232" s="11" t="s">
        <v>70</v>
      </c>
      <c r="G232" s="34" t="s">
        <v>132</v>
      </c>
      <c r="H232" s="25"/>
      <c r="I232" s="40" t="n">
        <v>0</v>
      </c>
      <c r="J232" s="34" t="s">
        <v>132</v>
      </c>
      <c r="K232" s="45"/>
      <c r="L232" s="34" t="s">
        <v>142</v>
      </c>
      <c r="M232" s="34"/>
      <c r="N232" s="11" t="s">
        <v>133</v>
      </c>
      <c r="O232" s="11" t="s">
        <v>133</v>
      </c>
      <c r="P232" s="11" t="s">
        <v>133</v>
      </c>
      <c r="Q232" s="11" t="s">
        <v>133</v>
      </c>
      <c r="R232" s="11" t="s">
        <v>133</v>
      </c>
      <c r="S232" s="46"/>
      <c r="T232" s="44" t="n">
        <f aca="false">IF($B232="","",COUNTA($N232:$R232)-COUNTIF($N232:$R232,"Not Invited"))</f>
        <v>0</v>
      </c>
      <c r="U232" s="44" t="n">
        <f aca="false">IF($B232="","",COUNTIF($N232:$R232,"Attended"))</f>
        <v>0</v>
      </c>
      <c r="V232" s="47" t="str">
        <f aca="false">IF($B232="","",_xlfn.TEXTJOIN(", ",TRUE(),IF($N232="Attended",Setup!$D$15,""),IF($O232="Attended",Setup!$D$16,""),IF($P232="Attended",Setup!$D$17,""),IF($Q232="Attended",Setup!$D$18,""),IF($R232="Attended",Setup!$D$19,"")))</f>
        <v/>
      </c>
      <c r="W232" s="48" t="str">
        <f aca="true">IF(OR($B232="",NOT(ISNUMBER($H232))),"",TODAY()-$H232)</f>
        <v/>
      </c>
      <c r="X232" s="47" t="str">
        <f aca="false">IF($B232="","",IF($U232&gt;0,"Event attendee",IF($G232="Yes","Met (no event)",IF($T232&gt;0,"Invited only",IF(OR($L232="Yes",$M232="Yes"),"Contacted only","Not yet contacted")))))</f>
        <v>Contacted only</v>
      </c>
      <c r="Y232" s="47" t="n">
        <f aca="false">IF($B232="","",COUNTIF(c_Firm,"&lt;"&amp;$D232)+COUNTIFS(c_Firm,$D232,c_Name,"&lt;"&amp;$B232)+COUNTIFS($D$2:$D232,$D232,$B$2:$B232,$B232))</f>
        <v>231</v>
      </c>
      <c r="Z232" s="47" t="n">
        <f aca="false">IF($B232="","",IF(AND(OR(Contacts!$C$3="(All)",$D232=Contacts!$C$3),OR(Contacts!$E$3="(All)",$G232=Contacts!$E$3),OR(Contacts!$G$3="(All)",ISNUMBER(SEARCH(Contacts!$G$3,$V232))),OR(Contacts!$I$3="(All)",$X232=Contacts!$I$3),OR(Contacts!$K$3="",ISNUMBER(SEARCH(Contacts!$K$3,$B232&amp;" "&amp;$C232&amp;" "&amp;$D232&amp;" "&amp;$S232)))),1,0))</f>
        <v>1</v>
      </c>
      <c r="AA232" s="47" t="n">
        <f aca="false">IF($Z232=1,COUNTIFS(c_Pass,1,c_Sort,"&lt;="&amp;$Y232),"")</f>
        <v>231</v>
      </c>
      <c r="AB232" s="47" t="str">
        <f aca="false">IF(OR($G232&lt;&gt;"Yes",NOT(ISNUMBER($H232))),"",COUNTIFS(c_Met,"Yes",c_Date,"&lt;"&amp;$H232)+COUNTIFS($G$2:$G232,"Yes",$H$2:$H232,$H232))</f>
        <v/>
      </c>
    </row>
    <row r="233" customFormat="false" ht="15" hidden="false" customHeight="false" outlineLevel="0" collapsed="false">
      <c r="A233" s="44" t="n">
        <f aca="false">IF($B233="","",COUNTA($B$2:$B233))</f>
        <v>232</v>
      </c>
      <c r="B233" s="11" t="s">
        <v>626</v>
      </c>
      <c r="C233" s="11" t="s">
        <v>627</v>
      </c>
      <c r="D233" s="11" t="s">
        <v>26</v>
      </c>
      <c r="E233" s="11" t="s">
        <v>131</v>
      </c>
      <c r="F233" s="11" t="s">
        <v>70</v>
      </c>
      <c r="G233" s="34" t="s">
        <v>132</v>
      </c>
      <c r="H233" s="25"/>
      <c r="I233" s="40" t="n">
        <v>0</v>
      </c>
      <c r="J233" s="34" t="s">
        <v>132</v>
      </c>
      <c r="K233" s="45"/>
      <c r="L233" s="34" t="s">
        <v>142</v>
      </c>
      <c r="M233" s="34"/>
      <c r="N233" s="11" t="s">
        <v>133</v>
      </c>
      <c r="O233" s="11" t="s">
        <v>133</v>
      </c>
      <c r="P233" s="11" t="s">
        <v>133</v>
      </c>
      <c r="Q233" s="11" t="s">
        <v>133</v>
      </c>
      <c r="R233" s="11" t="s">
        <v>133</v>
      </c>
      <c r="S233" s="46"/>
      <c r="T233" s="44" t="n">
        <f aca="false">IF($B233="","",COUNTA($N233:$R233)-COUNTIF($N233:$R233,"Not Invited"))</f>
        <v>0</v>
      </c>
      <c r="U233" s="44" t="n">
        <f aca="false">IF($B233="","",COUNTIF($N233:$R233,"Attended"))</f>
        <v>0</v>
      </c>
      <c r="V233" s="47" t="str">
        <f aca="false">IF($B233="","",_xlfn.TEXTJOIN(", ",TRUE(),IF($N233="Attended",Setup!$D$15,""),IF($O233="Attended",Setup!$D$16,""),IF($P233="Attended",Setup!$D$17,""),IF($Q233="Attended",Setup!$D$18,""),IF($R233="Attended",Setup!$D$19,"")))</f>
        <v/>
      </c>
      <c r="W233" s="48" t="str">
        <f aca="true">IF(OR($B233="",NOT(ISNUMBER($H233))),"",TODAY()-$H233)</f>
        <v/>
      </c>
      <c r="X233" s="47" t="str">
        <f aca="false">IF($B233="","",IF($U233&gt;0,"Event attendee",IF($G233="Yes","Met (no event)",IF($T233&gt;0,"Invited only",IF(OR($L233="Yes",$M233="Yes"),"Contacted only","Not yet contacted")))))</f>
        <v>Contacted only</v>
      </c>
      <c r="Y233" s="47" t="n">
        <f aca="false">IF($B233="","",COUNTIF(c_Firm,"&lt;"&amp;$D233)+COUNTIFS(c_Firm,$D233,c_Name,"&lt;"&amp;$B233)+COUNTIFS($D$2:$D233,$D233,$B$2:$B233,$B233))</f>
        <v>232</v>
      </c>
      <c r="Z233" s="47" t="n">
        <f aca="false">IF($B233="","",IF(AND(OR(Contacts!$C$3="(All)",$D233=Contacts!$C$3),OR(Contacts!$E$3="(All)",$G233=Contacts!$E$3),OR(Contacts!$G$3="(All)",ISNUMBER(SEARCH(Contacts!$G$3,$V233))),OR(Contacts!$I$3="(All)",$X233=Contacts!$I$3),OR(Contacts!$K$3="",ISNUMBER(SEARCH(Contacts!$K$3,$B233&amp;" "&amp;$C233&amp;" "&amp;$D233&amp;" "&amp;$S233)))),1,0))</f>
        <v>1</v>
      </c>
      <c r="AA233" s="47" t="n">
        <f aca="false">IF($Z233=1,COUNTIFS(c_Pass,1,c_Sort,"&lt;="&amp;$Y233),"")</f>
        <v>232</v>
      </c>
      <c r="AB233" s="47" t="str">
        <f aca="false">IF(OR($G233&lt;&gt;"Yes",NOT(ISNUMBER($H233))),"",COUNTIFS(c_Met,"Yes",c_Date,"&lt;"&amp;$H233)+COUNTIFS($G$2:$G233,"Yes",$H$2:$H233,$H233))</f>
        <v/>
      </c>
    </row>
    <row r="234" customFormat="false" ht="15" hidden="false" customHeight="false" outlineLevel="0" collapsed="false">
      <c r="A234" s="44" t="n">
        <f aca="false">IF($B234="","",COUNTA($B$2:$B234))</f>
        <v>233</v>
      </c>
      <c r="B234" s="11" t="s">
        <v>628</v>
      </c>
      <c r="C234" s="11" t="s">
        <v>629</v>
      </c>
      <c r="D234" s="11" t="s">
        <v>26</v>
      </c>
      <c r="E234" s="11" t="s">
        <v>131</v>
      </c>
      <c r="F234" s="11" t="s">
        <v>70</v>
      </c>
      <c r="G234" s="34" t="s">
        <v>132</v>
      </c>
      <c r="H234" s="25"/>
      <c r="I234" s="40" t="n">
        <v>0</v>
      </c>
      <c r="J234" s="34" t="s">
        <v>132</v>
      </c>
      <c r="K234" s="45"/>
      <c r="L234" s="34" t="s">
        <v>142</v>
      </c>
      <c r="M234" s="34"/>
      <c r="N234" s="11" t="s">
        <v>133</v>
      </c>
      <c r="O234" s="11" t="s">
        <v>133</v>
      </c>
      <c r="P234" s="11" t="s">
        <v>133</v>
      </c>
      <c r="Q234" s="11" t="s">
        <v>133</v>
      </c>
      <c r="R234" s="11" t="s">
        <v>133</v>
      </c>
      <c r="S234" s="46"/>
      <c r="T234" s="44" t="n">
        <f aca="false">IF($B234="","",COUNTA($N234:$R234)-COUNTIF($N234:$R234,"Not Invited"))</f>
        <v>0</v>
      </c>
      <c r="U234" s="44" t="n">
        <f aca="false">IF($B234="","",COUNTIF($N234:$R234,"Attended"))</f>
        <v>0</v>
      </c>
      <c r="V234" s="47" t="str">
        <f aca="false">IF($B234="","",_xlfn.TEXTJOIN(", ",TRUE(),IF($N234="Attended",Setup!$D$15,""),IF($O234="Attended",Setup!$D$16,""),IF($P234="Attended",Setup!$D$17,""),IF($Q234="Attended",Setup!$D$18,""),IF($R234="Attended",Setup!$D$19,"")))</f>
        <v/>
      </c>
      <c r="W234" s="48" t="str">
        <f aca="true">IF(OR($B234="",NOT(ISNUMBER($H234))),"",TODAY()-$H234)</f>
        <v/>
      </c>
      <c r="X234" s="47" t="str">
        <f aca="false">IF($B234="","",IF($U234&gt;0,"Event attendee",IF($G234="Yes","Met (no event)",IF($T234&gt;0,"Invited only",IF(OR($L234="Yes",$M234="Yes"),"Contacted only","Not yet contacted")))))</f>
        <v>Contacted only</v>
      </c>
      <c r="Y234" s="47" t="n">
        <f aca="false">IF($B234="","",COUNTIF(c_Firm,"&lt;"&amp;$D234)+COUNTIFS(c_Firm,$D234,c_Name,"&lt;"&amp;$B234)+COUNTIFS($D$2:$D234,$D234,$B$2:$B234,$B234))</f>
        <v>233</v>
      </c>
      <c r="Z234" s="47" t="n">
        <f aca="false">IF($B234="","",IF(AND(OR(Contacts!$C$3="(All)",$D234=Contacts!$C$3),OR(Contacts!$E$3="(All)",$G234=Contacts!$E$3),OR(Contacts!$G$3="(All)",ISNUMBER(SEARCH(Contacts!$G$3,$V234))),OR(Contacts!$I$3="(All)",$X234=Contacts!$I$3),OR(Contacts!$K$3="",ISNUMBER(SEARCH(Contacts!$K$3,$B234&amp;" "&amp;$C234&amp;" "&amp;$D234&amp;" "&amp;$S234)))),1,0))</f>
        <v>1</v>
      </c>
      <c r="AA234" s="47" t="n">
        <f aca="false">IF($Z234=1,COUNTIFS(c_Pass,1,c_Sort,"&lt;="&amp;$Y234),"")</f>
        <v>233</v>
      </c>
      <c r="AB234" s="47" t="str">
        <f aca="false">IF(OR($G234&lt;&gt;"Yes",NOT(ISNUMBER($H234))),"",COUNTIFS(c_Met,"Yes",c_Date,"&lt;"&amp;$H234)+COUNTIFS($G$2:$G234,"Yes",$H$2:$H234,$H234))</f>
        <v/>
      </c>
    </row>
    <row r="235" customFormat="false" ht="15" hidden="false" customHeight="false" outlineLevel="0" collapsed="false">
      <c r="A235" s="44" t="n">
        <f aca="false">IF($B235="","",COUNTA($B$2:$B235))</f>
        <v>234</v>
      </c>
      <c r="B235" s="11" t="s">
        <v>630</v>
      </c>
      <c r="C235" s="11" t="s">
        <v>631</v>
      </c>
      <c r="D235" s="11" t="s">
        <v>26</v>
      </c>
      <c r="E235" s="11" t="s">
        <v>131</v>
      </c>
      <c r="F235" s="11" t="s">
        <v>70</v>
      </c>
      <c r="G235" s="34" t="s">
        <v>132</v>
      </c>
      <c r="H235" s="25"/>
      <c r="I235" s="40" t="n">
        <v>0</v>
      </c>
      <c r="J235" s="34" t="s">
        <v>132</v>
      </c>
      <c r="K235" s="45"/>
      <c r="L235" s="34" t="s">
        <v>142</v>
      </c>
      <c r="M235" s="34"/>
      <c r="N235" s="11" t="s">
        <v>133</v>
      </c>
      <c r="O235" s="11" t="s">
        <v>133</v>
      </c>
      <c r="P235" s="11" t="s">
        <v>133</v>
      </c>
      <c r="Q235" s="11" t="s">
        <v>133</v>
      </c>
      <c r="R235" s="11" t="s">
        <v>133</v>
      </c>
      <c r="S235" s="46"/>
      <c r="T235" s="44" t="n">
        <f aca="false">IF($B235="","",COUNTA($N235:$R235)-COUNTIF($N235:$R235,"Not Invited"))</f>
        <v>0</v>
      </c>
      <c r="U235" s="44" t="n">
        <f aca="false">IF($B235="","",COUNTIF($N235:$R235,"Attended"))</f>
        <v>0</v>
      </c>
      <c r="V235" s="47" t="str">
        <f aca="false">IF($B235="","",_xlfn.TEXTJOIN(", ",TRUE(),IF($N235="Attended",Setup!$D$15,""),IF($O235="Attended",Setup!$D$16,""),IF($P235="Attended",Setup!$D$17,""),IF($Q235="Attended",Setup!$D$18,""),IF($R235="Attended",Setup!$D$19,"")))</f>
        <v/>
      </c>
      <c r="W235" s="48" t="str">
        <f aca="true">IF(OR($B235="",NOT(ISNUMBER($H235))),"",TODAY()-$H235)</f>
        <v/>
      </c>
      <c r="X235" s="47" t="str">
        <f aca="false">IF($B235="","",IF($U235&gt;0,"Event attendee",IF($G235="Yes","Met (no event)",IF($T235&gt;0,"Invited only",IF(OR($L235="Yes",$M235="Yes"),"Contacted only","Not yet contacted")))))</f>
        <v>Contacted only</v>
      </c>
      <c r="Y235" s="47" t="n">
        <f aca="false">IF($B235="","",COUNTIF(c_Firm,"&lt;"&amp;$D235)+COUNTIFS(c_Firm,$D235,c_Name,"&lt;"&amp;$B235)+COUNTIFS($D$2:$D235,$D235,$B$2:$B235,$B235))</f>
        <v>234</v>
      </c>
      <c r="Z235" s="47" t="n">
        <f aca="false">IF($B235="","",IF(AND(OR(Contacts!$C$3="(All)",$D235=Contacts!$C$3),OR(Contacts!$E$3="(All)",$G235=Contacts!$E$3),OR(Contacts!$G$3="(All)",ISNUMBER(SEARCH(Contacts!$G$3,$V235))),OR(Contacts!$I$3="(All)",$X235=Contacts!$I$3),OR(Contacts!$K$3="",ISNUMBER(SEARCH(Contacts!$K$3,$B235&amp;" "&amp;$C235&amp;" "&amp;$D235&amp;" "&amp;$S235)))),1,0))</f>
        <v>1</v>
      </c>
      <c r="AA235" s="47" t="n">
        <f aca="false">IF($Z235=1,COUNTIFS(c_Pass,1,c_Sort,"&lt;="&amp;$Y235),"")</f>
        <v>234</v>
      </c>
      <c r="AB235" s="47" t="str">
        <f aca="false">IF(OR($G235&lt;&gt;"Yes",NOT(ISNUMBER($H235))),"",COUNTIFS(c_Met,"Yes",c_Date,"&lt;"&amp;$H235)+COUNTIFS($G$2:$G235,"Yes",$H$2:$H235,$H235))</f>
        <v/>
      </c>
    </row>
    <row r="236" customFormat="false" ht="15" hidden="false" customHeight="false" outlineLevel="0" collapsed="false">
      <c r="A236" s="44" t="n">
        <f aca="false">IF($B236="","",COUNTA($B$2:$B236))</f>
        <v>235</v>
      </c>
      <c r="B236" s="11" t="s">
        <v>632</v>
      </c>
      <c r="C236" s="11" t="s">
        <v>633</v>
      </c>
      <c r="D236" s="11" t="s">
        <v>26</v>
      </c>
      <c r="E236" s="11" t="s">
        <v>131</v>
      </c>
      <c r="F236" s="11" t="s">
        <v>70</v>
      </c>
      <c r="G236" s="34" t="s">
        <v>132</v>
      </c>
      <c r="H236" s="25"/>
      <c r="I236" s="40" t="n">
        <v>0</v>
      </c>
      <c r="J236" s="34" t="s">
        <v>132</v>
      </c>
      <c r="K236" s="45"/>
      <c r="L236" s="34" t="s">
        <v>142</v>
      </c>
      <c r="M236" s="34"/>
      <c r="N236" s="11" t="s">
        <v>133</v>
      </c>
      <c r="O236" s="11" t="s">
        <v>133</v>
      </c>
      <c r="P236" s="11" t="s">
        <v>133</v>
      </c>
      <c r="Q236" s="11" t="s">
        <v>133</v>
      </c>
      <c r="R236" s="11" t="s">
        <v>133</v>
      </c>
      <c r="S236" s="46"/>
      <c r="T236" s="44" t="n">
        <f aca="false">IF($B236="","",COUNTA($N236:$R236)-COUNTIF($N236:$R236,"Not Invited"))</f>
        <v>0</v>
      </c>
      <c r="U236" s="44" t="n">
        <f aca="false">IF($B236="","",COUNTIF($N236:$R236,"Attended"))</f>
        <v>0</v>
      </c>
      <c r="V236" s="47" t="str">
        <f aca="false">IF($B236="","",_xlfn.TEXTJOIN(", ",TRUE(),IF($N236="Attended",Setup!$D$15,""),IF($O236="Attended",Setup!$D$16,""),IF($P236="Attended",Setup!$D$17,""),IF($Q236="Attended",Setup!$D$18,""),IF($R236="Attended",Setup!$D$19,"")))</f>
        <v/>
      </c>
      <c r="W236" s="48" t="str">
        <f aca="true">IF(OR($B236="",NOT(ISNUMBER($H236))),"",TODAY()-$H236)</f>
        <v/>
      </c>
      <c r="X236" s="47" t="str">
        <f aca="false">IF($B236="","",IF($U236&gt;0,"Event attendee",IF($G236="Yes","Met (no event)",IF($T236&gt;0,"Invited only",IF(OR($L236="Yes",$M236="Yes"),"Contacted only","Not yet contacted")))))</f>
        <v>Contacted only</v>
      </c>
      <c r="Y236" s="47" t="n">
        <f aca="false">IF($B236="","",COUNTIF(c_Firm,"&lt;"&amp;$D236)+COUNTIFS(c_Firm,$D236,c_Name,"&lt;"&amp;$B236)+COUNTIFS($D$2:$D236,$D236,$B$2:$B236,$B236))</f>
        <v>235</v>
      </c>
      <c r="Z236" s="47" t="n">
        <f aca="false">IF($B236="","",IF(AND(OR(Contacts!$C$3="(All)",$D236=Contacts!$C$3),OR(Contacts!$E$3="(All)",$G236=Contacts!$E$3),OR(Contacts!$G$3="(All)",ISNUMBER(SEARCH(Contacts!$G$3,$V236))),OR(Contacts!$I$3="(All)",$X236=Contacts!$I$3),OR(Contacts!$K$3="",ISNUMBER(SEARCH(Contacts!$K$3,$B236&amp;" "&amp;$C236&amp;" "&amp;$D236&amp;" "&amp;$S236)))),1,0))</f>
        <v>1</v>
      </c>
      <c r="AA236" s="47" t="n">
        <f aca="false">IF($Z236=1,COUNTIFS(c_Pass,1,c_Sort,"&lt;="&amp;$Y236),"")</f>
        <v>235</v>
      </c>
      <c r="AB236" s="47" t="str">
        <f aca="false">IF(OR($G236&lt;&gt;"Yes",NOT(ISNUMBER($H236))),"",COUNTIFS(c_Met,"Yes",c_Date,"&lt;"&amp;$H236)+COUNTIFS($G$2:$G236,"Yes",$H$2:$H236,$H236))</f>
        <v/>
      </c>
    </row>
    <row r="237" customFormat="false" ht="15" hidden="false" customHeight="false" outlineLevel="0" collapsed="false">
      <c r="A237" s="44" t="n">
        <f aca="false">IF($B237="","",COUNTA($B$2:$B237))</f>
        <v>236</v>
      </c>
      <c r="B237" s="11" t="s">
        <v>634</v>
      </c>
      <c r="C237" s="11"/>
      <c r="D237" s="11" t="s">
        <v>26</v>
      </c>
      <c r="E237" s="11" t="s">
        <v>193</v>
      </c>
      <c r="F237" s="11" t="s">
        <v>68</v>
      </c>
      <c r="G237" s="34" t="s">
        <v>132</v>
      </c>
      <c r="H237" s="25"/>
      <c r="I237" s="40" t="n">
        <v>0</v>
      </c>
      <c r="J237" s="34" t="s">
        <v>132</v>
      </c>
      <c r="K237" s="45"/>
      <c r="L237" s="34"/>
      <c r="M237" s="34" t="s">
        <v>142</v>
      </c>
      <c r="N237" s="11" t="s">
        <v>133</v>
      </c>
      <c r="O237" s="11" t="s">
        <v>133</v>
      </c>
      <c r="P237" s="11" t="s">
        <v>133</v>
      </c>
      <c r="Q237" s="11" t="s">
        <v>133</v>
      </c>
      <c r="R237" s="11" t="s">
        <v>133</v>
      </c>
      <c r="S237" s="46" t="s">
        <v>635</v>
      </c>
      <c r="T237" s="44" t="n">
        <f aca="false">IF($B237="","",COUNTA($N237:$R237)-COUNTIF($N237:$R237,"Not Invited"))</f>
        <v>0</v>
      </c>
      <c r="U237" s="44" t="n">
        <f aca="false">IF($B237="","",COUNTIF($N237:$R237,"Attended"))</f>
        <v>0</v>
      </c>
      <c r="V237" s="47" t="str">
        <f aca="false">IF($B237="","",_xlfn.TEXTJOIN(", ",TRUE(),IF($N237="Attended",Setup!$D$15,""),IF($O237="Attended",Setup!$D$16,""),IF($P237="Attended",Setup!$D$17,""),IF($Q237="Attended",Setup!$D$18,""),IF($R237="Attended",Setup!$D$19,"")))</f>
        <v/>
      </c>
      <c r="W237" s="48" t="str">
        <f aca="true">IF(OR($B237="",NOT(ISNUMBER($H237))),"",TODAY()-$H237)</f>
        <v/>
      </c>
      <c r="X237" s="47" t="str">
        <f aca="false">IF($B237="","",IF($U237&gt;0,"Event attendee",IF($G237="Yes","Met (no event)",IF($T237&gt;0,"Invited only",IF(OR($L237="Yes",$M237="Yes"),"Contacted only","Not yet contacted")))))</f>
        <v>Contacted only</v>
      </c>
      <c r="Y237" s="47" t="n">
        <f aca="false">IF($B237="","",COUNTIF(c_Firm,"&lt;"&amp;$D237)+COUNTIFS(c_Firm,$D237,c_Name,"&lt;"&amp;$B237)+COUNTIFS($D$2:$D237,$D237,$B$2:$B237,$B237))</f>
        <v>236</v>
      </c>
      <c r="Z237" s="47" t="n">
        <f aca="false">IF($B237="","",IF(AND(OR(Contacts!$C$3="(All)",$D237=Contacts!$C$3),OR(Contacts!$E$3="(All)",$G237=Contacts!$E$3),OR(Contacts!$G$3="(All)",ISNUMBER(SEARCH(Contacts!$G$3,$V237))),OR(Contacts!$I$3="(All)",$X237=Contacts!$I$3),OR(Contacts!$K$3="",ISNUMBER(SEARCH(Contacts!$K$3,$B237&amp;" "&amp;$C237&amp;" "&amp;$D237&amp;" "&amp;$S237)))),1,0))</f>
        <v>1</v>
      </c>
      <c r="AA237" s="47" t="n">
        <f aca="false">IF($Z237=1,COUNTIFS(c_Pass,1,c_Sort,"&lt;="&amp;$Y237),"")</f>
        <v>236</v>
      </c>
      <c r="AB237" s="47" t="str">
        <f aca="false">IF(OR($G237&lt;&gt;"Yes",NOT(ISNUMBER($H237))),"",COUNTIFS(c_Met,"Yes",c_Date,"&lt;"&amp;$H237)+COUNTIFS($G$2:$G237,"Yes",$H$2:$H237,$H237))</f>
        <v/>
      </c>
    </row>
    <row r="238" customFormat="false" ht="15" hidden="false" customHeight="false" outlineLevel="0" collapsed="false">
      <c r="A238" s="44" t="n">
        <f aca="false">IF($B238="","",COUNTA($B$2:$B238))</f>
        <v>237</v>
      </c>
      <c r="B238" s="11" t="s">
        <v>636</v>
      </c>
      <c r="C238" s="11" t="s">
        <v>637</v>
      </c>
      <c r="D238" s="11" t="s">
        <v>26</v>
      </c>
      <c r="E238" s="11" t="s">
        <v>131</v>
      </c>
      <c r="F238" s="11" t="s">
        <v>70</v>
      </c>
      <c r="G238" s="34" t="s">
        <v>132</v>
      </c>
      <c r="H238" s="25"/>
      <c r="I238" s="40" t="n">
        <v>0</v>
      </c>
      <c r="J238" s="34" t="s">
        <v>132</v>
      </c>
      <c r="K238" s="45"/>
      <c r="L238" s="34" t="s">
        <v>142</v>
      </c>
      <c r="M238" s="34"/>
      <c r="N238" s="11" t="s">
        <v>133</v>
      </c>
      <c r="O238" s="11" t="s">
        <v>133</v>
      </c>
      <c r="P238" s="11" t="s">
        <v>133</v>
      </c>
      <c r="Q238" s="11" t="s">
        <v>133</v>
      </c>
      <c r="R238" s="11" t="s">
        <v>133</v>
      </c>
      <c r="S238" s="46"/>
      <c r="T238" s="44" t="n">
        <f aca="false">IF($B238="","",COUNTA($N238:$R238)-COUNTIF($N238:$R238,"Not Invited"))</f>
        <v>0</v>
      </c>
      <c r="U238" s="44" t="n">
        <f aca="false">IF($B238="","",COUNTIF($N238:$R238,"Attended"))</f>
        <v>0</v>
      </c>
      <c r="V238" s="47" t="str">
        <f aca="false">IF($B238="","",_xlfn.TEXTJOIN(", ",TRUE(),IF($N238="Attended",Setup!$D$15,""),IF($O238="Attended",Setup!$D$16,""),IF($P238="Attended",Setup!$D$17,""),IF($Q238="Attended",Setup!$D$18,""),IF($R238="Attended",Setup!$D$19,"")))</f>
        <v/>
      </c>
      <c r="W238" s="48" t="str">
        <f aca="true">IF(OR($B238="",NOT(ISNUMBER($H238))),"",TODAY()-$H238)</f>
        <v/>
      </c>
      <c r="X238" s="47" t="str">
        <f aca="false">IF($B238="","",IF($U238&gt;0,"Event attendee",IF($G238="Yes","Met (no event)",IF($T238&gt;0,"Invited only",IF(OR($L238="Yes",$M238="Yes"),"Contacted only","Not yet contacted")))))</f>
        <v>Contacted only</v>
      </c>
      <c r="Y238" s="47" t="n">
        <f aca="false">IF($B238="","",COUNTIF(c_Firm,"&lt;"&amp;$D238)+COUNTIFS(c_Firm,$D238,c_Name,"&lt;"&amp;$B238)+COUNTIFS($D$2:$D238,$D238,$B$2:$B238,$B238))</f>
        <v>237</v>
      </c>
      <c r="Z238" s="47" t="n">
        <f aca="false">IF($B238="","",IF(AND(OR(Contacts!$C$3="(All)",$D238=Contacts!$C$3),OR(Contacts!$E$3="(All)",$G238=Contacts!$E$3),OR(Contacts!$G$3="(All)",ISNUMBER(SEARCH(Contacts!$G$3,$V238))),OR(Contacts!$I$3="(All)",$X238=Contacts!$I$3),OR(Contacts!$K$3="",ISNUMBER(SEARCH(Contacts!$K$3,$B238&amp;" "&amp;$C238&amp;" "&amp;$D238&amp;" "&amp;$S238)))),1,0))</f>
        <v>1</v>
      </c>
      <c r="AA238" s="47" t="n">
        <f aca="false">IF($Z238=1,COUNTIFS(c_Pass,1,c_Sort,"&lt;="&amp;$Y238),"")</f>
        <v>237</v>
      </c>
      <c r="AB238" s="47" t="str">
        <f aca="false">IF(OR($G238&lt;&gt;"Yes",NOT(ISNUMBER($H238))),"",COUNTIFS(c_Met,"Yes",c_Date,"&lt;"&amp;$H238)+COUNTIFS($G$2:$G238,"Yes",$H$2:$H238,$H238))</f>
        <v/>
      </c>
    </row>
    <row r="239" customFormat="false" ht="15" hidden="false" customHeight="false" outlineLevel="0" collapsed="false">
      <c r="A239" s="44" t="n">
        <f aca="false">IF($B239="","",COUNTA($B$2:$B239))</f>
        <v>238</v>
      </c>
      <c r="B239" s="11" t="s">
        <v>638</v>
      </c>
      <c r="C239" s="11" t="s">
        <v>639</v>
      </c>
      <c r="D239" s="11" t="s">
        <v>26</v>
      </c>
      <c r="E239" s="11" t="s">
        <v>131</v>
      </c>
      <c r="F239" s="11" t="s">
        <v>141</v>
      </c>
      <c r="G239" s="34" t="s">
        <v>142</v>
      </c>
      <c r="H239" s="25" t="n">
        <v>45924</v>
      </c>
      <c r="I239" s="40" t="n">
        <v>1</v>
      </c>
      <c r="J239" s="34" t="s">
        <v>132</v>
      </c>
      <c r="K239" s="45" t="n">
        <v>3000000</v>
      </c>
      <c r="L239" s="34"/>
      <c r="M239" s="34"/>
      <c r="N239" s="11" t="s">
        <v>57</v>
      </c>
      <c r="O239" s="11" t="s">
        <v>143</v>
      </c>
      <c r="P239" s="11" t="s">
        <v>133</v>
      </c>
      <c r="Q239" s="11" t="s">
        <v>133</v>
      </c>
      <c r="R239" s="11" t="s">
        <v>133</v>
      </c>
      <c r="S239" s="46"/>
      <c r="T239" s="44" t="n">
        <f aca="false">IF($B239="","",COUNTA($N239:$R239)-COUNTIF($N239:$R239,"Not Invited"))</f>
        <v>2</v>
      </c>
      <c r="U239" s="44" t="n">
        <f aca="false">IF($B239="","",COUNTIF($N239:$R239,"Attended"))</f>
        <v>0</v>
      </c>
      <c r="V239" s="47" t="str">
        <f aca="false">IF($B239="","",_xlfn.TEXTJOIN(", ",TRUE(),IF($N239="Attended",Setup!$D$15,""),IF($O239="Attended",Setup!$D$16,""),IF($P239="Attended",Setup!$D$17,""),IF($Q239="Attended",Setup!$D$18,""),IF($R239="Attended",Setup!$D$19,"")))</f>
        <v/>
      </c>
      <c r="W239" s="48" t="n">
        <f aca="true">IF(OR($B239="",NOT(ISNUMBER($H239))),"",TODAY()-$H239)</f>
        <v>317</v>
      </c>
      <c r="X239" s="47" t="str">
        <f aca="false">IF($B239="","",IF($U239&gt;0,"Event attendee",IF($G239="Yes","Met (no event)",IF($T239&gt;0,"Invited only",IF(OR($L239="Yes",$M239="Yes"),"Contacted only","Not yet contacted")))))</f>
        <v>Met (no event)</v>
      </c>
      <c r="Y239" s="47" t="n">
        <f aca="false">IF($B239="","",COUNTIF(c_Firm,"&lt;"&amp;$D239)+COUNTIFS(c_Firm,$D239,c_Name,"&lt;"&amp;$B239)+COUNTIFS($D$2:$D239,$D239,$B$2:$B239,$B239))</f>
        <v>238</v>
      </c>
      <c r="Z239" s="47" t="n">
        <f aca="false">IF($B239="","",IF(AND(OR(Contacts!$C$3="(All)",$D239=Contacts!$C$3),OR(Contacts!$E$3="(All)",$G239=Contacts!$E$3),OR(Contacts!$G$3="(All)",ISNUMBER(SEARCH(Contacts!$G$3,$V239))),OR(Contacts!$I$3="(All)",$X239=Contacts!$I$3),OR(Contacts!$K$3="",ISNUMBER(SEARCH(Contacts!$K$3,$B239&amp;" "&amp;$C239&amp;" "&amp;$D239&amp;" "&amp;$S239)))),1,0))</f>
        <v>1</v>
      </c>
      <c r="AA239" s="47" t="n">
        <f aca="false">IF($Z239=1,COUNTIFS(c_Pass,1,c_Sort,"&lt;="&amp;$Y239),"")</f>
        <v>238</v>
      </c>
      <c r="AB239" s="47" t="n">
        <f aca="false">IF(OR($G239&lt;&gt;"Yes",NOT(ISNUMBER($H239))),"",COUNTIFS(c_Met,"Yes",c_Date,"&lt;"&amp;$H239)+COUNTIFS($G$2:$G239,"Yes",$H$2:$H239,$H239))</f>
        <v>20</v>
      </c>
    </row>
    <row r="240" customFormat="false" ht="15" hidden="false" customHeight="false" outlineLevel="0" collapsed="false">
      <c r="A240" s="44" t="n">
        <f aca="false">IF($B240="","",COUNTA($B$2:$B240))</f>
        <v>239</v>
      </c>
      <c r="B240" s="11" t="s">
        <v>640</v>
      </c>
      <c r="C240" s="11" t="s">
        <v>641</v>
      </c>
      <c r="D240" s="11" t="s">
        <v>26</v>
      </c>
      <c r="E240" s="11" t="s">
        <v>131</v>
      </c>
      <c r="F240" s="11" t="s">
        <v>70</v>
      </c>
      <c r="G240" s="34" t="s">
        <v>132</v>
      </c>
      <c r="H240" s="25"/>
      <c r="I240" s="40" t="n">
        <v>0</v>
      </c>
      <c r="J240" s="34" t="s">
        <v>132</v>
      </c>
      <c r="K240" s="45"/>
      <c r="L240" s="34" t="s">
        <v>142</v>
      </c>
      <c r="M240" s="34"/>
      <c r="N240" s="11" t="s">
        <v>133</v>
      </c>
      <c r="O240" s="11" t="s">
        <v>133</v>
      </c>
      <c r="P240" s="11" t="s">
        <v>133</v>
      </c>
      <c r="Q240" s="11" t="s">
        <v>133</v>
      </c>
      <c r="R240" s="11" t="s">
        <v>133</v>
      </c>
      <c r="S240" s="46"/>
      <c r="T240" s="44" t="n">
        <f aca="false">IF($B240="","",COUNTA($N240:$R240)-COUNTIF($N240:$R240,"Not Invited"))</f>
        <v>0</v>
      </c>
      <c r="U240" s="44" t="n">
        <f aca="false">IF($B240="","",COUNTIF($N240:$R240,"Attended"))</f>
        <v>0</v>
      </c>
      <c r="V240" s="47" t="str">
        <f aca="false">IF($B240="","",_xlfn.TEXTJOIN(", ",TRUE(),IF($N240="Attended",Setup!$D$15,""),IF($O240="Attended",Setup!$D$16,""),IF($P240="Attended",Setup!$D$17,""),IF($Q240="Attended",Setup!$D$18,""),IF($R240="Attended",Setup!$D$19,"")))</f>
        <v/>
      </c>
      <c r="W240" s="48" t="str">
        <f aca="true">IF(OR($B240="",NOT(ISNUMBER($H240))),"",TODAY()-$H240)</f>
        <v/>
      </c>
      <c r="X240" s="47" t="str">
        <f aca="false">IF($B240="","",IF($U240&gt;0,"Event attendee",IF($G240="Yes","Met (no event)",IF($T240&gt;0,"Invited only",IF(OR($L240="Yes",$M240="Yes"),"Contacted only","Not yet contacted")))))</f>
        <v>Contacted only</v>
      </c>
      <c r="Y240" s="47" t="n">
        <f aca="false">IF($B240="","",COUNTIF(c_Firm,"&lt;"&amp;$D240)+COUNTIFS(c_Firm,$D240,c_Name,"&lt;"&amp;$B240)+COUNTIFS($D$2:$D240,$D240,$B$2:$B240,$B240))</f>
        <v>239</v>
      </c>
      <c r="Z240" s="47" t="n">
        <f aca="false">IF($B240="","",IF(AND(OR(Contacts!$C$3="(All)",$D240=Contacts!$C$3),OR(Contacts!$E$3="(All)",$G240=Contacts!$E$3),OR(Contacts!$G$3="(All)",ISNUMBER(SEARCH(Contacts!$G$3,$V240))),OR(Contacts!$I$3="(All)",$X240=Contacts!$I$3),OR(Contacts!$K$3="",ISNUMBER(SEARCH(Contacts!$K$3,$B240&amp;" "&amp;$C240&amp;" "&amp;$D240&amp;" "&amp;$S240)))),1,0))</f>
        <v>1</v>
      </c>
      <c r="AA240" s="47" t="n">
        <f aca="false">IF($Z240=1,COUNTIFS(c_Pass,1,c_Sort,"&lt;="&amp;$Y240),"")</f>
        <v>239</v>
      </c>
      <c r="AB240" s="47" t="str">
        <f aca="false">IF(OR($G240&lt;&gt;"Yes",NOT(ISNUMBER($H240))),"",COUNTIFS(c_Met,"Yes",c_Date,"&lt;"&amp;$H240)+COUNTIFS($G$2:$G240,"Yes",$H$2:$H240,$H240))</f>
        <v/>
      </c>
    </row>
    <row r="241" customFormat="false" ht="15" hidden="false" customHeight="false" outlineLevel="0" collapsed="false">
      <c r="A241" s="44" t="n">
        <f aca="false">IF($B241="","",COUNTA($B$2:$B241))</f>
        <v>240</v>
      </c>
      <c r="B241" s="11" t="s">
        <v>642</v>
      </c>
      <c r="C241" s="11" t="s">
        <v>643</v>
      </c>
      <c r="D241" s="11" t="s">
        <v>26</v>
      </c>
      <c r="E241" s="11" t="s">
        <v>131</v>
      </c>
      <c r="F241" s="11" t="s">
        <v>70</v>
      </c>
      <c r="G241" s="34" t="s">
        <v>132</v>
      </c>
      <c r="H241" s="25"/>
      <c r="I241" s="40" t="n">
        <v>0</v>
      </c>
      <c r="J241" s="34" t="s">
        <v>132</v>
      </c>
      <c r="K241" s="45"/>
      <c r="L241" s="34" t="s">
        <v>142</v>
      </c>
      <c r="M241" s="34"/>
      <c r="N241" s="11" t="s">
        <v>133</v>
      </c>
      <c r="O241" s="11" t="s">
        <v>133</v>
      </c>
      <c r="P241" s="11" t="s">
        <v>133</v>
      </c>
      <c r="Q241" s="11" t="s">
        <v>133</v>
      </c>
      <c r="R241" s="11" t="s">
        <v>133</v>
      </c>
      <c r="S241" s="46"/>
      <c r="T241" s="44" t="n">
        <f aca="false">IF($B241="","",COUNTA($N241:$R241)-COUNTIF($N241:$R241,"Not Invited"))</f>
        <v>0</v>
      </c>
      <c r="U241" s="44" t="n">
        <f aca="false">IF($B241="","",COUNTIF($N241:$R241,"Attended"))</f>
        <v>0</v>
      </c>
      <c r="V241" s="47" t="str">
        <f aca="false">IF($B241="","",_xlfn.TEXTJOIN(", ",TRUE(),IF($N241="Attended",Setup!$D$15,""),IF($O241="Attended",Setup!$D$16,""),IF($P241="Attended",Setup!$D$17,""),IF($Q241="Attended",Setup!$D$18,""),IF($R241="Attended",Setup!$D$19,"")))</f>
        <v/>
      </c>
      <c r="W241" s="48" t="str">
        <f aca="true">IF(OR($B241="",NOT(ISNUMBER($H241))),"",TODAY()-$H241)</f>
        <v/>
      </c>
      <c r="X241" s="47" t="str">
        <f aca="false">IF($B241="","",IF($U241&gt;0,"Event attendee",IF($G241="Yes","Met (no event)",IF($T241&gt;0,"Invited only",IF(OR($L241="Yes",$M241="Yes"),"Contacted only","Not yet contacted")))))</f>
        <v>Contacted only</v>
      </c>
      <c r="Y241" s="47" t="n">
        <f aca="false">IF($B241="","",COUNTIF(c_Firm,"&lt;"&amp;$D241)+COUNTIFS(c_Firm,$D241,c_Name,"&lt;"&amp;$B241)+COUNTIFS($D$2:$D241,$D241,$B$2:$B241,$B241))</f>
        <v>240</v>
      </c>
      <c r="Z241" s="47" t="n">
        <f aca="false">IF($B241="","",IF(AND(OR(Contacts!$C$3="(All)",$D241=Contacts!$C$3),OR(Contacts!$E$3="(All)",$G241=Contacts!$E$3),OR(Contacts!$G$3="(All)",ISNUMBER(SEARCH(Contacts!$G$3,$V241))),OR(Contacts!$I$3="(All)",$X241=Contacts!$I$3),OR(Contacts!$K$3="",ISNUMBER(SEARCH(Contacts!$K$3,$B241&amp;" "&amp;$C241&amp;" "&amp;$D241&amp;" "&amp;$S241)))),1,0))</f>
        <v>1</v>
      </c>
      <c r="AA241" s="47" t="n">
        <f aca="false">IF($Z241=1,COUNTIFS(c_Pass,1,c_Sort,"&lt;="&amp;$Y241),"")</f>
        <v>240</v>
      </c>
      <c r="AB241" s="47" t="str">
        <f aca="false">IF(OR($G241&lt;&gt;"Yes",NOT(ISNUMBER($H241))),"",COUNTIFS(c_Met,"Yes",c_Date,"&lt;"&amp;$H241)+COUNTIFS($G$2:$G241,"Yes",$H$2:$H241,$H241))</f>
        <v/>
      </c>
    </row>
    <row r="242" customFormat="false" ht="15" hidden="false" customHeight="false" outlineLevel="0" collapsed="false">
      <c r="A242" s="44" t="n">
        <f aca="false">IF($B242="","",COUNTA($B$2:$B242))</f>
        <v>241</v>
      </c>
      <c r="B242" s="11" t="s">
        <v>644</v>
      </c>
      <c r="C242" s="11" t="s">
        <v>645</v>
      </c>
      <c r="D242" s="11" t="s">
        <v>26</v>
      </c>
      <c r="E242" s="11" t="s">
        <v>131</v>
      </c>
      <c r="F242" s="11" t="s">
        <v>70</v>
      </c>
      <c r="G242" s="34" t="s">
        <v>132</v>
      </c>
      <c r="H242" s="25"/>
      <c r="I242" s="40" t="n">
        <v>0</v>
      </c>
      <c r="J242" s="34" t="s">
        <v>132</v>
      </c>
      <c r="K242" s="45"/>
      <c r="L242" s="34" t="s">
        <v>142</v>
      </c>
      <c r="M242" s="34"/>
      <c r="N242" s="11" t="s">
        <v>133</v>
      </c>
      <c r="O242" s="11" t="s">
        <v>133</v>
      </c>
      <c r="P242" s="11" t="s">
        <v>133</v>
      </c>
      <c r="Q242" s="11" t="s">
        <v>133</v>
      </c>
      <c r="R242" s="11" t="s">
        <v>133</v>
      </c>
      <c r="S242" s="46"/>
      <c r="T242" s="44" t="n">
        <f aca="false">IF($B242="","",COUNTA($N242:$R242)-COUNTIF($N242:$R242,"Not Invited"))</f>
        <v>0</v>
      </c>
      <c r="U242" s="44" t="n">
        <f aca="false">IF($B242="","",COUNTIF($N242:$R242,"Attended"))</f>
        <v>0</v>
      </c>
      <c r="V242" s="47" t="str">
        <f aca="false">IF($B242="","",_xlfn.TEXTJOIN(", ",TRUE(),IF($N242="Attended",Setup!$D$15,""),IF($O242="Attended",Setup!$D$16,""),IF($P242="Attended",Setup!$D$17,""),IF($Q242="Attended",Setup!$D$18,""),IF($R242="Attended",Setup!$D$19,"")))</f>
        <v/>
      </c>
      <c r="W242" s="48" t="str">
        <f aca="true">IF(OR($B242="",NOT(ISNUMBER($H242))),"",TODAY()-$H242)</f>
        <v/>
      </c>
      <c r="X242" s="47" t="str">
        <f aca="false">IF($B242="","",IF($U242&gt;0,"Event attendee",IF($G242="Yes","Met (no event)",IF($T242&gt;0,"Invited only",IF(OR($L242="Yes",$M242="Yes"),"Contacted only","Not yet contacted")))))</f>
        <v>Contacted only</v>
      </c>
      <c r="Y242" s="47" t="n">
        <f aca="false">IF($B242="","",COUNTIF(c_Firm,"&lt;"&amp;$D242)+COUNTIFS(c_Firm,$D242,c_Name,"&lt;"&amp;$B242)+COUNTIFS($D$2:$D242,$D242,$B$2:$B242,$B242))</f>
        <v>241</v>
      </c>
      <c r="Z242" s="47" t="n">
        <f aca="false">IF($B242="","",IF(AND(OR(Contacts!$C$3="(All)",$D242=Contacts!$C$3),OR(Contacts!$E$3="(All)",$G242=Contacts!$E$3),OR(Contacts!$G$3="(All)",ISNUMBER(SEARCH(Contacts!$G$3,$V242))),OR(Contacts!$I$3="(All)",$X242=Contacts!$I$3),OR(Contacts!$K$3="",ISNUMBER(SEARCH(Contacts!$K$3,$B242&amp;" "&amp;$C242&amp;" "&amp;$D242&amp;" "&amp;$S242)))),1,0))</f>
        <v>1</v>
      </c>
      <c r="AA242" s="47" t="n">
        <f aca="false">IF($Z242=1,COUNTIFS(c_Pass,1,c_Sort,"&lt;="&amp;$Y242),"")</f>
        <v>241</v>
      </c>
      <c r="AB242" s="47" t="str">
        <f aca="false">IF(OR($G242&lt;&gt;"Yes",NOT(ISNUMBER($H242))),"",COUNTIFS(c_Met,"Yes",c_Date,"&lt;"&amp;$H242)+COUNTIFS($G$2:$G242,"Yes",$H$2:$H242,$H242))</f>
        <v/>
      </c>
    </row>
    <row r="243" customFormat="false" ht="15" hidden="false" customHeight="false" outlineLevel="0" collapsed="false">
      <c r="A243" s="44" t="n">
        <f aca="false">IF($B243="","",COUNTA($B$2:$B243))</f>
        <v>242</v>
      </c>
      <c r="B243" s="11" t="s">
        <v>646</v>
      </c>
      <c r="C243" s="11"/>
      <c r="D243" s="11" t="s">
        <v>26</v>
      </c>
      <c r="E243" s="11" t="s">
        <v>193</v>
      </c>
      <c r="F243" s="11" t="s">
        <v>68</v>
      </c>
      <c r="G243" s="34" t="s">
        <v>132</v>
      </c>
      <c r="H243" s="25"/>
      <c r="I243" s="40" t="n">
        <v>0</v>
      </c>
      <c r="J243" s="34" t="s">
        <v>132</v>
      </c>
      <c r="K243" s="45"/>
      <c r="L243" s="34"/>
      <c r="M243" s="34" t="s">
        <v>142</v>
      </c>
      <c r="N243" s="11" t="s">
        <v>133</v>
      </c>
      <c r="O243" s="11" t="s">
        <v>133</v>
      </c>
      <c r="P243" s="11" t="s">
        <v>133</v>
      </c>
      <c r="Q243" s="11" t="s">
        <v>133</v>
      </c>
      <c r="R243" s="11" t="s">
        <v>133</v>
      </c>
      <c r="S243" s="46" t="s">
        <v>647</v>
      </c>
      <c r="T243" s="44" t="n">
        <f aca="false">IF($B243="","",COUNTA($N243:$R243)-COUNTIF($N243:$R243,"Not Invited"))</f>
        <v>0</v>
      </c>
      <c r="U243" s="44" t="n">
        <f aca="false">IF($B243="","",COUNTIF($N243:$R243,"Attended"))</f>
        <v>0</v>
      </c>
      <c r="V243" s="47" t="str">
        <f aca="false">IF($B243="","",_xlfn.TEXTJOIN(", ",TRUE(),IF($N243="Attended",Setup!$D$15,""),IF($O243="Attended",Setup!$D$16,""),IF($P243="Attended",Setup!$D$17,""),IF($Q243="Attended",Setup!$D$18,""),IF($R243="Attended",Setup!$D$19,"")))</f>
        <v/>
      </c>
      <c r="W243" s="48" t="str">
        <f aca="true">IF(OR($B243="",NOT(ISNUMBER($H243))),"",TODAY()-$H243)</f>
        <v/>
      </c>
      <c r="X243" s="47" t="str">
        <f aca="false">IF($B243="","",IF($U243&gt;0,"Event attendee",IF($G243="Yes","Met (no event)",IF($T243&gt;0,"Invited only",IF(OR($L243="Yes",$M243="Yes"),"Contacted only","Not yet contacted")))))</f>
        <v>Contacted only</v>
      </c>
      <c r="Y243" s="47" t="n">
        <f aca="false">IF($B243="","",COUNTIF(c_Firm,"&lt;"&amp;$D243)+COUNTIFS(c_Firm,$D243,c_Name,"&lt;"&amp;$B243)+COUNTIFS($D$2:$D243,$D243,$B$2:$B243,$B243))</f>
        <v>242</v>
      </c>
      <c r="Z243" s="47" t="n">
        <f aca="false">IF($B243="","",IF(AND(OR(Contacts!$C$3="(All)",$D243=Contacts!$C$3),OR(Contacts!$E$3="(All)",$G243=Contacts!$E$3),OR(Contacts!$G$3="(All)",ISNUMBER(SEARCH(Contacts!$G$3,$V243))),OR(Contacts!$I$3="(All)",$X243=Contacts!$I$3),OR(Contacts!$K$3="",ISNUMBER(SEARCH(Contacts!$K$3,$B243&amp;" "&amp;$C243&amp;" "&amp;$D243&amp;" "&amp;$S243)))),1,0))</f>
        <v>1</v>
      </c>
      <c r="AA243" s="47" t="n">
        <f aca="false">IF($Z243=1,COUNTIFS(c_Pass,1,c_Sort,"&lt;="&amp;$Y243),"")</f>
        <v>242</v>
      </c>
      <c r="AB243" s="47" t="str">
        <f aca="false">IF(OR($G243&lt;&gt;"Yes",NOT(ISNUMBER($H243))),"",COUNTIFS(c_Met,"Yes",c_Date,"&lt;"&amp;$H243)+COUNTIFS($G$2:$G243,"Yes",$H$2:$H243,$H243))</f>
        <v/>
      </c>
    </row>
    <row r="244" customFormat="false" ht="15" hidden="false" customHeight="false" outlineLevel="0" collapsed="false">
      <c r="A244" s="44" t="n">
        <f aca="false">IF($B244="","",COUNTA($B$2:$B244))</f>
        <v>243</v>
      </c>
      <c r="B244" s="11" t="s">
        <v>648</v>
      </c>
      <c r="C244" s="11" t="s">
        <v>649</v>
      </c>
      <c r="D244" s="11" t="s">
        <v>26</v>
      </c>
      <c r="E244" s="11" t="s">
        <v>131</v>
      </c>
      <c r="F244" s="11" t="s">
        <v>70</v>
      </c>
      <c r="G244" s="34" t="s">
        <v>132</v>
      </c>
      <c r="H244" s="25"/>
      <c r="I244" s="40" t="n">
        <v>0</v>
      </c>
      <c r="J244" s="34" t="s">
        <v>132</v>
      </c>
      <c r="K244" s="45"/>
      <c r="L244" s="34" t="s">
        <v>142</v>
      </c>
      <c r="M244" s="34"/>
      <c r="N244" s="11" t="s">
        <v>133</v>
      </c>
      <c r="O244" s="11" t="s">
        <v>133</v>
      </c>
      <c r="P244" s="11" t="s">
        <v>133</v>
      </c>
      <c r="Q244" s="11" t="s">
        <v>133</v>
      </c>
      <c r="R244" s="11" t="s">
        <v>133</v>
      </c>
      <c r="S244" s="46"/>
      <c r="T244" s="44" t="n">
        <f aca="false">IF($B244="","",COUNTA($N244:$R244)-COUNTIF($N244:$R244,"Not Invited"))</f>
        <v>0</v>
      </c>
      <c r="U244" s="44" t="n">
        <f aca="false">IF($B244="","",COUNTIF($N244:$R244,"Attended"))</f>
        <v>0</v>
      </c>
      <c r="V244" s="47" t="str">
        <f aca="false">IF($B244="","",_xlfn.TEXTJOIN(", ",TRUE(),IF($N244="Attended",Setup!$D$15,""),IF($O244="Attended",Setup!$D$16,""),IF($P244="Attended",Setup!$D$17,""),IF($Q244="Attended",Setup!$D$18,""),IF($R244="Attended",Setup!$D$19,"")))</f>
        <v/>
      </c>
      <c r="W244" s="48" t="str">
        <f aca="true">IF(OR($B244="",NOT(ISNUMBER($H244))),"",TODAY()-$H244)</f>
        <v/>
      </c>
      <c r="X244" s="47" t="str">
        <f aca="false">IF($B244="","",IF($U244&gt;0,"Event attendee",IF($G244="Yes","Met (no event)",IF($T244&gt;0,"Invited only",IF(OR($L244="Yes",$M244="Yes"),"Contacted only","Not yet contacted")))))</f>
        <v>Contacted only</v>
      </c>
      <c r="Y244" s="47" t="n">
        <f aca="false">IF($B244="","",COUNTIF(c_Firm,"&lt;"&amp;$D244)+COUNTIFS(c_Firm,$D244,c_Name,"&lt;"&amp;$B244)+COUNTIFS($D$2:$D244,$D244,$B$2:$B244,$B244))</f>
        <v>243</v>
      </c>
      <c r="Z244" s="47" t="n">
        <f aca="false">IF($B244="","",IF(AND(OR(Contacts!$C$3="(All)",$D244=Contacts!$C$3),OR(Contacts!$E$3="(All)",$G244=Contacts!$E$3),OR(Contacts!$G$3="(All)",ISNUMBER(SEARCH(Contacts!$G$3,$V244))),OR(Contacts!$I$3="(All)",$X244=Contacts!$I$3),OR(Contacts!$K$3="",ISNUMBER(SEARCH(Contacts!$K$3,$B244&amp;" "&amp;$C244&amp;" "&amp;$D244&amp;" "&amp;$S244)))),1,0))</f>
        <v>1</v>
      </c>
      <c r="AA244" s="47" t="n">
        <f aca="false">IF($Z244=1,COUNTIFS(c_Pass,1,c_Sort,"&lt;="&amp;$Y244),"")</f>
        <v>243</v>
      </c>
      <c r="AB244" s="47" t="str">
        <f aca="false">IF(OR($G244&lt;&gt;"Yes",NOT(ISNUMBER($H244))),"",COUNTIFS(c_Met,"Yes",c_Date,"&lt;"&amp;$H244)+COUNTIFS($G$2:$G244,"Yes",$H$2:$H244,$H244))</f>
        <v/>
      </c>
    </row>
    <row r="245" customFormat="false" ht="15" hidden="false" customHeight="false" outlineLevel="0" collapsed="false">
      <c r="A245" s="44" t="n">
        <f aca="false">IF($B245="","",COUNTA($B$2:$B245))</f>
        <v>244</v>
      </c>
      <c r="B245" s="11" t="s">
        <v>650</v>
      </c>
      <c r="C245" s="11" t="s">
        <v>651</v>
      </c>
      <c r="D245" s="11" t="s">
        <v>26</v>
      </c>
      <c r="E245" s="11" t="s">
        <v>131</v>
      </c>
      <c r="F245" s="11" t="s">
        <v>70</v>
      </c>
      <c r="G245" s="34" t="s">
        <v>132</v>
      </c>
      <c r="H245" s="25"/>
      <c r="I245" s="40" t="n">
        <v>0</v>
      </c>
      <c r="J245" s="34" t="s">
        <v>132</v>
      </c>
      <c r="K245" s="45"/>
      <c r="L245" s="34" t="s">
        <v>142</v>
      </c>
      <c r="M245" s="34"/>
      <c r="N245" s="11" t="s">
        <v>133</v>
      </c>
      <c r="O245" s="11" t="s">
        <v>133</v>
      </c>
      <c r="P245" s="11" t="s">
        <v>133</v>
      </c>
      <c r="Q245" s="11" t="s">
        <v>133</v>
      </c>
      <c r="R245" s="11" t="s">
        <v>133</v>
      </c>
      <c r="S245" s="46"/>
      <c r="T245" s="44" t="n">
        <f aca="false">IF($B245="","",COUNTA($N245:$R245)-COUNTIF($N245:$R245,"Not Invited"))</f>
        <v>0</v>
      </c>
      <c r="U245" s="44" t="n">
        <f aca="false">IF($B245="","",COUNTIF($N245:$R245,"Attended"))</f>
        <v>0</v>
      </c>
      <c r="V245" s="47" t="str">
        <f aca="false">IF($B245="","",_xlfn.TEXTJOIN(", ",TRUE(),IF($N245="Attended",Setup!$D$15,""),IF($O245="Attended",Setup!$D$16,""),IF($P245="Attended",Setup!$D$17,""),IF($Q245="Attended",Setup!$D$18,""),IF($R245="Attended",Setup!$D$19,"")))</f>
        <v/>
      </c>
      <c r="W245" s="48" t="str">
        <f aca="true">IF(OR($B245="",NOT(ISNUMBER($H245))),"",TODAY()-$H245)</f>
        <v/>
      </c>
      <c r="X245" s="47" t="str">
        <f aca="false">IF($B245="","",IF($U245&gt;0,"Event attendee",IF($G245="Yes","Met (no event)",IF($T245&gt;0,"Invited only",IF(OR($L245="Yes",$M245="Yes"),"Contacted only","Not yet contacted")))))</f>
        <v>Contacted only</v>
      </c>
      <c r="Y245" s="47" t="n">
        <f aca="false">IF($B245="","",COUNTIF(c_Firm,"&lt;"&amp;$D245)+COUNTIFS(c_Firm,$D245,c_Name,"&lt;"&amp;$B245)+COUNTIFS($D$2:$D245,$D245,$B$2:$B245,$B245))</f>
        <v>244</v>
      </c>
      <c r="Z245" s="47" t="n">
        <f aca="false">IF($B245="","",IF(AND(OR(Contacts!$C$3="(All)",$D245=Contacts!$C$3),OR(Contacts!$E$3="(All)",$G245=Contacts!$E$3),OR(Contacts!$G$3="(All)",ISNUMBER(SEARCH(Contacts!$G$3,$V245))),OR(Contacts!$I$3="(All)",$X245=Contacts!$I$3),OR(Contacts!$K$3="",ISNUMBER(SEARCH(Contacts!$K$3,$B245&amp;" "&amp;$C245&amp;" "&amp;$D245&amp;" "&amp;$S245)))),1,0))</f>
        <v>1</v>
      </c>
      <c r="AA245" s="47" t="n">
        <f aca="false">IF($Z245=1,COUNTIFS(c_Pass,1,c_Sort,"&lt;="&amp;$Y245),"")</f>
        <v>244</v>
      </c>
      <c r="AB245" s="47" t="str">
        <f aca="false">IF(OR($G245&lt;&gt;"Yes",NOT(ISNUMBER($H245))),"",COUNTIFS(c_Met,"Yes",c_Date,"&lt;"&amp;$H245)+COUNTIFS($G$2:$G245,"Yes",$H$2:$H245,$H245))</f>
        <v/>
      </c>
    </row>
    <row r="246" customFormat="false" ht="15" hidden="false" customHeight="false" outlineLevel="0" collapsed="false">
      <c r="A246" s="44" t="n">
        <f aca="false">IF($B246="","",COUNTA($B$2:$B246))</f>
        <v>245</v>
      </c>
      <c r="B246" s="11" t="s">
        <v>652</v>
      </c>
      <c r="C246" s="11" t="s">
        <v>653</v>
      </c>
      <c r="D246" s="11" t="s">
        <v>26</v>
      </c>
      <c r="E246" s="11" t="s">
        <v>131</v>
      </c>
      <c r="F246" s="11" t="s">
        <v>70</v>
      </c>
      <c r="G246" s="34" t="s">
        <v>132</v>
      </c>
      <c r="H246" s="25"/>
      <c r="I246" s="40" t="n">
        <v>0</v>
      </c>
      <c r="J246" s="34" t="s">
        <v>132</v>
      </c>
      <c r="K246" s="45"/>
      <c r="L246" s="34" t="s">
        <v>142</v>
      </c>
      <c r="M246" s="34"/>
      <c r="N246" s="11" t="s">
        <v>133</v>
      </c>
      <c r="O246" s="11" t="s">
        <v>133</v>
      </c>
      <c r="P246" s="11" t="s">
        <v>133</v>
      </c>
      <c r="Q246" s="11" t="s">
        <v>133</v>
      </c>
      <c r="R246" s="11" t="s">
        <v>133</v>
      </c>
      <c r="S246" s="46"/>
      <c r="T246" s="44" t="n">
        <f aca="false">IF($B246="","",COUNTA($N246:$R246)-COUNTIF($N246:$R246,"Not Invited"))</f>
        <v>0</v>
      </c>
      <c r="U246" s="44" t="n">
        <f aca="false">IF($B246="","",COUNTIF($N246:$R246,"Attended"))</f>
        <v>0</v>
      </c>
      <c r="V246" s="47" t="str">
        <f aca="false">IF($B246="","",_xlfn.TEXTJOIN(", ",TRUE(),IF($N246="Attended",Setup!$D$15,""),IF($O246="Attended",Setup!$D$16,""),IF($P246="Attended",Setup!$D$17,""),IF($Q246="Attended",Setup!$D$18,""),IF($R246="Attended",Setup!$D$19,"")))</f>
        <v/>
      </c>
      <c r="W246" s="48" t="str">
        <f aca="true">IF(OR($B246="",NOT(ISNUMBER($H246))),"",TODAY()-$H246)</f>
        <v/>
      </c>
      <c r="X246" s="47" t="str">
        <f aca="false">IF($B246="","",IF($U246&gt;0,"Event attendee",IF($G246="Yes","Met (no event)",IF($T246&gt;0,"Invited only",IF(OR($L246="Yes",$M246="Yes"),"Contacted only","Not yet contacted")))))</f>
        <v>Contacted only</v>
      </c>
      <c r="Y246" s="47" t="n">
        <f aca="false">IF($B246="","",COUNTIF(c_Firm,"&lt;"&amp;$D246)+COUNTIFS(c_Firm,$D246,c_Name,"&lt;"&amp;$B246)+COUNTIFS($D$2:$D246,$D246,$B$2:$B246,$B246))</f>
        <v>245</v>
      </c>
      <c r="Z246" s="47" t="n">
        <f aca="false">IF($B246="","",IF(AND(OR(Contacts!$C$3="(All)",$D246=Contacts!$C$3),OR(Contacts!$E$3="(All)",$G246=Contacts!$E$3),OR(Contacts!$G$3="(All)",ISNUMBER(SEARCH(Contacts!$G$3,$V246))),OR(Contacts!$I$3="(All)",$X246=Contacts!$I$3),OR(Contacts!$K$3="",ISNUMBER(SEARCH(Contacts!$K$3,$B246&amp;" "&amp;$C246&amp;" "&amp;$D246&amp;" "&amp;$S246)))),1,0))</f>
        <v>1</v>
      </c>
      <c r="AA246" s="47" t="n">
        <f aca="false">IF($Z246=1,COUNTIFS(c_Pass,1,c_Sort,"&lt;="&amp;$Y246),"")</f>
        <v>245</v>
      </c>
      <c r="AB246" s="47" t="str">
        <f aca="false">IF(OR($G246&lt;&gt;"Yes",NOT(ISNUMBER($H246))),"",COUNTIFS(c_Met,"Yes",c_Date,"&lt;"&amp;$H246)+COUNTIFS($G$2:$G246,"Yes",$H$2:$H246,$H246))</f>
        <v/>
      </c>
    </row>
    <row r="247" customFormat="false" ht="15" hidden="false" customHeight="false" outlineLevel="0" collapsed="false">
      <c r="A247" s="44" t="n">
        <f aca="false">IF($B247="","",COUNTA($B$2:$B247))</f>
        <v>246</v>
      </c>
      <c r="B247" s="11" t="s">
        <v>654</v>
      </c>
      <c r="C247" s="11" t="s">
        <v>655</v>
      </c>
      <c r="D247" s="11" t="s">
        <v>26</v>
      </c>
      <c r="E247" s="11" t="s">
        <v>131</v>
      </c>
      <c r="F247" s="11" t="s">
        <v>70</v>
      </c>
      <c r="G247" s="34" t="s">
        <v>132</v>
      </c>
      <c r="H247" s="25"/>
      <c r="I247" s="40" t="n">
        <v>0</v>
      </c>
      <c r="J247" s="34" t="s">
        <v>132</v>
      </c>
      <c r="K247" s="45"/>
      <c r="L247" s="34" t="s">
        <v>142</v>
      </c>
      <c r="M247" s="34"/>
      <c r="N247" s="11" t="s">
        <v>133</v>
      </c>
      <c r="O247" s="11" t="s">
        <v>133</v>
      </c>
      <c r="P247" s="11" t="s">
        <v>133</v>
      </c>
      <c r="Q247" s="11" t="s">
        <v>133</v>
      </c>
      <c r="R247" s="11" t="s">
        <v>133</v>
      </c>
      <c r="S247" s="46"/>
      <c r="T247" s="44" t="n">
        <f aca="false">IF($B247="","",COUNTA($N247:$R247)-COUNTIF($N247:$R247,"Not Invited"))</f>
        <v>0</v>
      </c>
      <c r="U247" s="44" t="n">
        <f aca="false">IF($B247="","",COUNTIF($N247:$R247,"Attended"))</f>
        <v>0</v>
      </c>
      <c r="V247" s="47" t="str">
        <f aca="false">IF($B247="","",_xlfn.TEXTJOIN(", ",TRUE(),IF($N247="Attended",Setup!$D$15,""),IF($O247="Attended",Setup!$D$16,""),IF($P247="Attended",Setup!$D$17,""),IF($Q247="Attended",Setup!$D$18,""),IF($R247="Attended",Setup!$D$19,"")))</f>
        <v/>
      </c>
      <c r="W247" s="48" t="str">
        <f aca="true">IF(OR($B247="",NOT(ISNUMBER($H247))),"",TODAY()-$H247)</f>
        <v/>
      </c>
      <c r="X247" s="47" t="str">
        <f aca="false">IF($B247="","",IF($U247&gt;0,"Event attendee",IF($G247="Yes","Met (no event)",IF($T247&gt;0,"Invited only",IF(OR($L247="Yes",$M247="Yes"),"Contacted only","Not yet contacted")))))</f>
        <v>Contacted only</v>
      </c>
      <c r="Y247" s="47" t="n">
        <f aca="false">IF($B247="","",COUNTIF(c_Firm,"&lt;"&amp;$D247)+COUNTIFS(c_Firm,$D247,c_Name,"&lt;"&amp;$B247)+COUNTIFS($D$2:$D247,$D247,$B$2:$B247,$B247))</f>
        <v>246</v>
      </c>
      <c r="Z247" s="47" t="n">
        <f aca="false">IF($B247="","",IF(AND(OR(Contacts!$C$3="(All)",$D247=Contacts!$C$3),OR(Contacts!$E$3="(All)",$G247=Contacts!$E$3),OR(Contacts!$G$3="(All)",ISNUMBER(SEARCH(Contacts!$G$3,$V247))),OR(Contacts!$I$3="(All)",$X247=Contacts!$I$3),OR(Contacts!$K$3="",ISNUMBER(SEARCH(Contacts!$K$3,$B247&amp;" "&amp;$C247&amp;" "&amp;$D247&amp;" "&amp;$S247)))),1,0))</f>
        <v>1</v>
      </c>
      <c r="AA247" s="47" t="n">
        <f aca="false">IF($Z247=1,COUNTIFS(c_Pass,1,c_Sort,"&lt;="&amp;$Y247),"")</f>
        <v>246</v>
      </c>
      <c r="AB247" s="47" t="str">
        <f aca="false">IF(OR($G247&lt;&gt;"Yes",NOT(ISNUMBER($H247))),"",COUNTIFS(c_Met,"Yes",c_Date,"&lt;"&amp;$H247)+COUNTIFS($G$2:$G247,"Yes",$H$2:$H247,$H247))</f>
        <v/>
      </c>
    </row>
    <row r="248" customFormat="false" ht="15" hidden="false" customHeight="false" outlineLevel="0" collapsed="false">
      <c r="A248" s="44" t="n">
        <f aca="false">IF($B248="","",COUNTA($B$2:$B248))</f>
        <v>247</v>
      </c>
      <c r="B248" s="11" t="s">
        <v>656</v>
      </c>
      <c r="C248" s="11" t="s">
        <v>657</v>
      </c>
      <c r="D248" s="11" t="s">
        <v>26</v>
      </c>
      <c r="E248" s="11" t="s">
        <v>131</v>
      </c>
      <c r="F248" s="11" t="s">
        <v>207</v>
      </c>
      <c r="G248" s="34" t="s">
        <v>142</v>
      </c>
      <c r="H248" s="25" t="n">
        <v>45960</v>
      </c>
      <c r="I248" s="40" t="n">
        <v>1</v>
      </c>
      <c r="J248" s="34" t="s">
        <v>142</v>
      </c>
      <c r="K248" s="45" t="n">
        <v>30000000</v>
      </c>
      <c r="L248" s="34"/>
      <c r="M248" s="34"/>
      <c r="N248" s="11" t="s">
        <v>55</v>
      </c>
      <c r="O248" s="11" t="s">
        <v>55</v>
      </c>
      <c r="P248" s="11" t="s">
        <v>133</v>
      </c>
      <c r="Q248" s="11" t="s">
        <v>133</v>
      </c>
      <c r="R248" s="11" t="s">
        <v>133</v>
      </c>
      <c r="S248" s="46" t="s">
        <v>658</v>
      </c>
      <c r="T248" s="44" t="n">
        <f aca="false">IF($B248="","",COUNTA($N248:$R248)-COUNTIF($N248:$R248,"Not Invited"))</f>
        <v>2</v>
      </c>
      <c r="U248" s="44" t="n">
        <f aca="false">IF($B248="","",COUNTIF($N248:$R248,"Attended"))</f>
        <v>2</v>
      </c>
      <c r="V248" s="47" t="str">
        <f aca="false">IF($B248="","",_xlfn.TEXTJOIN(", ",TRUE(),IF($N248="Attended",Setup!$D$15,""),IF($O248="Attended",Setup!$D$16,""),IF($P248="Attended",Setup!$D$17,""),IF($Q248="Attended",Setup!$D$18,""),IF($R248="Attended",Setup!$D$19,"")))</f>
        <v>Oct-25 Symposium, May-26 Symposium</v>
      </c>
      <c r="W248" s="48" t="n">
        <f aca="true">IF(OR($B248="",NOT(ISNUMBER($H248))),"",TODAY()-$H248)</f>
        <v>281</v>
      </c>
      <c r="X248" s="47" t="str">
        <f aca="false">IF($B248="","",IF($U248&gt;0,"Event attendee",IF($G248="Yes","Met (no event)",IF($T248&gt;0,"Invited only",IF(OR($L248="Yes",$M248="Yes"),"Contacted only","Not yet contacted")))))</f>
        <v>Event attendee</v>
      </c>
      <c r="Y248" s="47" t="n">
        <f aca="false">IF($B248="","",COUNTIF(c_Firm,"&lt;"&amp;$D248)+COUNTIFS(c_Firm,$D248,c_Name,"&lt;"&amp;$B248)+COUNTIFS($D$2:$D248,$D248,$B$2:$B248,$B248))</f>
        <v>247</v>
      </c>
      <c r="Z248" s="47" t="n">
        <f aca="false">IF($B248="","",IF(AND(OR(Contacts!$C$3="(All)",$D248=Contacts!$C$3),OR(Contacts!$E$3="(All)",$G248=Contacts!$E$3),OR(Contacts!$G$3="(All)",ISNUMBER(SEARCH(Contacts!$G$3,$V248))),OR(Contacts!$I$3="(All)",$X248=Contacts!$I$3),OR(Contacts!$K$3="",ISNUMBER(SEARCH(Contacts!$K$3,$B248&amp;" "&amp;$C248&amp;" "&amp;$D248&amp;" "&amp;$S248)))),1,0))</f>
        <v>1</v>
      </c>
      <c r="AA248" s="47" t="n">
        <f aca="false">IF($Z248=1,COUNTIFS(c_Pass,1,c_Sort,"&lt;="&amp;$Y248),"")</f>
        <v>247</v>
      </c>
      <c r="AB248" s="47" t="n">
        <f aca="false">IF(OR($G248&lt;&gt;"Yes",NOT(ISNUMBER($H248))),"",COUNTIFS(c_Met,"Yes",c_Date,"&lt;"&amp;$H248)+COUNTIFS($G$2:$G248,"Yes",$H$2:$H248,$H248))</f>
        <v>30</v>
      </c>
    </row>
    <row r="249" customFormat="false" ht="15" hidden="false" customHeight="false" outlineLevel="0" collapsed="false">
      <c r="A249" s="44" t="n">
        <f aca="false">IF($B249="","",COUNTA($B$2:$B249))</f>
        <v>248</v>
      </c>
      <c r="B249" s="11" t="s">
        <v>659</v>
      </c>
      <c r="C249" s="11"/>
      <c r="D249" s="11" t="s">
        <v>26</v>
      </c>
      <c r="E249" s="11" t="s">
        <v>193</v>
      </c>
      <c r="F249" s="11" t="s">
        <v>68</v>
      </c>
      <c r="G249" s="34" t="s">
        <v>132</v>
      </c>
      <c r="H249" s="25"/>
      <c r="I249" s="40" t="n">
        <v>0</v>
      </c>
      <c r="J249" s="34" t="s">
        <v>132</v>
      </c>
      <c r="K249" s="45"/>
      <c r="L249" s="34"/>
      <c r="M249" s="34" t="s">
        <v>142</v>
      </c>
      <c r="N249" s="11" t="s">
        <v>133</v>
      </c>
      <c r="O249" s="11" t="s">
        <v>133</v>
      </c>
      <c r="P249" s="11" t="s">
        <v>133</v>
      </c>
      <c r="Q249" s="11" t="s">
        <v>133</v>
      </c>
      <c r="R249" s="11" t="s">
        <v>133</v>
      </c>
      <c r="S249" s="46" t="s">
        <v>660</v>
      </c>
      <c r="T249" s="44" t="n">
        <f aca="false">IF($B249="","",COUNTA($N249:$R249)-COUNTIF($N249:$R249,"Not Invited"))</f>
        <v>0</v>
      </c>
      <c r="U249" s="44" t="n">
        <f aca="false">IF($B249="","",COUNTIF($N249:$R249,"Attended"))</f>
        <v>0</v>
      </c>
      <c r="V249" s="47" t="str">
        <f aca="false">IF($B249="","",_xlfn.TEXTJOIN(", ",TRUE(),IF($N249="Attended",Setup!$D$15,""),IF($O249="Attended",Setup!$D$16,""),IF($P249="Attended",Setup!$D$17,""),IF($Q249="Attended",Setup!$D$18,""),IF($R249="Attended",Setup!$D$19,"")))</f>
        <v/>
      </c>
      <c r="W249" s="48" t="str">
        <f aca="true">IF(OR($B249="",NOT(ISNUMBER($H249))),"",TODAY()-$H249)</f>
        <v/>
      </c>
      <c r="X249" s="47" t="str">
        <f aca="false">IF($B249="","",IF($U249&gt;0,"Event attendee",IF($G249="Yes","Met (no event)",IF($T249&gt;0,"Invited only",IF(OR($L249="Yes",$M249="Yes"),"Contacted only","Not yet contacted")))))</f>
        <v>Contacted only</v>
      </c>
      <c r="Y249" s="47" t="n">
        <f aca="false">IF($B249="","",COUNTIF(c_Firm,"&lt;"&amp;$D249)+COUNTIFS(c_Firm,$D249,c_Name,"&lt;"&amp;$B249)+COUNTIFS($D$2:$D249,$D249,$B$2:$B249,$B249))</f>
        <v>248</v>
      </c>
      <c r="Z249" s="47" t="n">
        <f aca="false">IF($B249="","",IF(AND(OR(Contacts!$C$3="(All)",$D249=Contacts!$C$3),OR(Contacts!$E$3="(All)",$G249=Contacts!$E$3),OR(Contacts!$G$3="(All)",ISNUMBER(SEARCH(Contacts!$G$3,$V249))),OR(Contacts!$I$3="(All)",$X249=Contacts!$I$3),OR(Contacts!$K$3="",ISNUMBER(SEARCH(Contacts!$K$3,$B249&amp;" "&amp;$C249&amp;" "&amp;$D249&amp;" "&amp;$S249)))),1,0))</f>
        <v>1</v>
      </c>
      <c r="AA249" s="47" t="n">
        <f aca="false">IF($Z249=1,COUNTIFS(c_Pass,1,c_Sort,"&lt;="&amp;$Y249),"")</f>
        <v>248</v>
      </c>
      <c r="AB249" s="47" t="str">
        <f aca="false">IF(OR($G249&lt;&gt;"Yes",NOT(ISNUMBER($H249))),"",COUNTIFS(c_Met,"Yes",c_Date,"&lt;"&amp;$H249)+COUNTIFS($G$2:$G249,"Yes",$H$2:$H249,$H249))</f>
        <v/>
      </c>
    </row>
    <row r="250" customFormat="false" ht="15" hidden="false" customHeight="false" outlineLevel="0" collapsed="false">
      <c r="A250" s="44" t="n">
        <f aca="false">IF($B250="","",COUNTA($B$2:$B250))</f>
        <v>249</v>
      </c>
      <c r="B250" s="11" t="s">
        <v>661</v>
      </c>
      <c r="C250" s="11"/>
      <c r="D250" s="11" t="s">
        <v>26</v>
      </c>
      <c r="E250" s="11" t="s">
        <v>193</v>
      </c>
      <c r="F250" s="11" t="s">
        <v>68</v>
      </c>
      <c r="G250" s="34" t="s">
        <v>132</v>
      </c>
      <c r="H250" s="25"/>
      <c r="I250" s="40" t="n">
        <v>0</v>
      </c>
      <c r="J250" s="34" t="s">
        <v>132</v>
      </c>
      <c r="K250" s="45"/>
      <c r="L250" s="34"/>
      <c r="M250" s="34" t="s">
        <v>142</v>
      </c>
      <c r="N250" s="11" t="s">
        <v>133</v>
      </c>
      <c r="O250" s="11" t="s">
        <v>133</v>
      </c>
      <c r="P250" s="11" t="s">
        <v>133</v>
      </c>
      <c r="Q250" s="11" t="s">
        <v>133</v>
      </c>
      <c r="R250" s="11" t="s">
        <v>133</v>
      </c>
      <c r="S250" s="46" t="s">
        <v>662</v>
      </c>
      <c r="T250" s="44" t="n">
        <f aca="false">IF($B250="","",COUNTA($N250:$R250)-COUNTIF($N250:$R250,"Not Invited"))</f>
        <v>0</v>
      </c>
      <c r="U250" s="44" t="n">
        <f aca="false">IF($B250="","",COUNTIF($N250:$R250,"Attended"))</f>
        <v>0</v>
      </c>
      <c r="V250" s="47" t="str">
        <f aca="false">IF($B250="","",_xlfn.TEXTJOIN(", ",TRUE(),IF($N250="Attended",Setup!$D$15,""),IF($O250="Attended",Setup!$D$16,""),IF($P250="Attended",Setup!$D$17,""),IF($Q250="Attended",Setup!$D$18,""),IF($R250="Attended",Setup!$D$19,"")))</f>
        <v/>
      </c>
      <c r="W250" s="48" t="str">
        <f aca="true">IF(OR($B250="",NOT(ISNUMBER($H250))),"",TODAY()-$H250)</f>
        <v/>
      </c>
      <c r="X250" s="47" t="str">
        <f aca="false">IF($B250="","",IF($U250&gt;0,"Event attendee",IF($G250="Yes","Met (no event)",IF($T250&gt;0,"Invited only",IF(OR($L250="Yes",$M250="Yes"),"Contacted only","Not yet contacted")))))</f>
        <v>Contacted only</v>
      </c>
      <c r="Y250" s="47" t="n">
        <f aca="false">IF($B250="","",COUNTIF(c_Firm,"&lt;"&amp;$D250)+COUNTIFS(c_Firm,$D250,c_Name,"&lt;"&amp;$B250)+COUNTIFS($D$2:$D250,$D250,$B$2:$B250,$B250))</f>
        <v>249</v>
      </c>
      <c r="Z250" s="47" t="n">
        <f aca="false">IF($B250="","",IF(AND(OR(Contacts!$C$3="(All)",$D250=Contacts!$C$3),OR(Contacts!$E$3="(All)",$G250=Contacts!$E$3),OR(Contacts!$G$3="(All)",ISNUMBER(SEARCH(Contacts!$G$3,$V250))),OR(Contacts!$I$3="(All)",$X250=Contacts!$I$3),OR(Contacts!$K$3="",ISNUMBER(SEARCH(Contacts!$K$3,$B250&amp;" "&amp;$C250&amp;" "&amp;$D250&amp;" "&amp;$S250)))),1,0))</f>
        <v>1</v>
      </c>
      <c r="AA250" s="47" t="n">
        <f aca="false">IF($Z250=1,COUNTIFS(c_Pass,1,c_Sort,"&lt;="&amp;$Y250),"")</f>
        <v>249</v>
      </c>
      <c r="AB250" s="47" t="str">
        <f aca="false">IF(OR($G250&lt;&gt;"Yes",NOT(ISNUMBER($H250))),"",COUNTIFS(c_Met,"Yes",c_Date,"&lt;"&amp;$H250)+COUNTIFS($G$2:$G250,"Yes",$H$2:$H250,$H250))</f>
        <v/>
      </c>
    </row>
    <row r="251" customFormat="false" ht="15" hidden="false" customHeight="false" outlineLevel="0" collapsed="false">
      <c r="A251" s="44" t="n">
        <f aca="false">IF($B251="","",COUNTA($B$2:$B251))</f>
        <v>250</v>
      </c>
      <c r="B251" s="11" t="s">
        <v>663</v>
      </c>
      <c r="C251" s="11" t="s">
        <v>664</v>
      </c>
      <c r="D251" s="11" t="s">
        <v>26</v>
      </c>
      <c r="E251" s="11" t="s">
        <v>131</v>
      </c>
      <c r="F251" s="11" t="s">
        <v>70</v>
      </c>
      <c r="G251" s="34" t="s">
        <v>132</v>
      </c>
      <c r="H251" s="25"/>
      <c r="I251" s="40" t="n">
        <v>0</v>
      </c>
      <c r="J251" s="34" t="s">
        <v>132</v>
      </c>
      <c r="K251" s="45"/>
      <c r="L251" s="34" t="s">
        <v>142</v>
      </c>
      <c r="M251" s="34"/>
      <c r="N251" s="11" t="s">
        <v>133</v>
      </c>
      <c r="O251" s="11" t="s">
        <v>133</v>
      </c>
      <c r="P251" s="11" t="s">
        <v>133</v>
      </c>
      <c r="Q251" s="11" t="s">
        <v>133</v>
      </c>
      <c r="R251" s="11" t="s">
        <v>133</v>
      </c>
      <c r="S251" s="46"/>
      <c r="T251" s="44" t="n">
        <f aca="false">IF($B251="","",COUNTA($N251:$R251)-COUNTIF($N251:$R251,"Not Invited"))</f>
        <v>0</v>
      </c>
      <c r="U251" s="44" t="n">
        <f aca="false">IF($B251="","",COUNTIF($N251:$R251,"Attended"))</f>
        <v>0</v>
      </c>
      <c r="V251" s="47" t="str">
        <f aca="false">IF($B251="","",_xlfn.TEXTJOIN(", ",TRUE(),IF($N251="Attended",Setup!$D$15,""),IF($O251="Attended",Setup!$D$16,""),IF($P251="Attended",Setup!$D$17,""),IF($Q251="Attended",Setup!$D$18,""),IF($R251="Attended",Setup!$D$19,"")))</f>
        <v/>
      </c>
      <c r="W251" s="48" t="str">
        <f aca="true">IF(OR($B251="",NOT(ISNUMBER($H251))),"",TODAY()-$H251)</f>
        <v/>
      </c>
      <c r="X251" s="47" t="str">
        <f aca="false">IF($B251="","",IF($U251&gt;0,"Event attendee",IF($G251="Yes","Met (no event)",IF($T251&gt;0,"Invited only",IF(OR($L251="Yes",$M251="Yes"),"Contacted only","Not yet contacted")))))</f>
        <v>Contacted only</v>
      </c>
      <c r="Y251" s="47" t="n">
        <f aca="false">IF($B251="","",COUNTIF(c_Firm,"&lt;"&amp;$D251)+COUNTIFS(c_Firm,$D251,c_Name,"&lt;"&amp;$B251)+COUNTIFS($D$2:$D251,$D251,$B$2:$B251,$B251))</f>
        <v>250</v>
      </c>
      <c r="Z251" s="47" t="n">
        <f aca="false">IF($B251="","",IF(AND(OR(Contacts!$C$3="(All)",$D251=Contacts!$C$3),OR(Contacts!$E$3="(All)",$G251=Contacts!$E$3),OR(Contacts!$G$3="(All)",ISNUMBER(SEARCH(Contacts!$G$3,$V251))),OR(Contacts!$I$3="(All)",$X251=Contacts!$I$3),OR(Contacts!$K$3="",ISNUMBER(SEARCH(Contacts!$K$3,$B251&amp;" "&amp;$C251&amp;" "&amp;$D251&amp;" "&amp;$S251)))),1,0))</f>
        <v>1</v>
      </c>
      <c r="AA251" s="47" t="n">
        <f aca="false">IF($Z251=1,COUNTIFS(c_Pass,1,c_Sort,"&lt;="&amp;$Y251),"")</f>
        <v>250</v>
      </c>
      <c r="AB251" s="47" t="str">
        <f aca="false">IF(OR($G251&lt;&gt;"Yes",NOT(ISNUMBER($H251))),"",COUNTIFS(c_Met,"Yes",c_Date,"&lt;"&amp;$H251)+COUNTIFS($G$2:$G251,"Yes",$H$2:$H251,$H251))</f>
        <v/>
      </c>
    </row>
    <row r="252" customFormat="false" ht="15" hidden="false" customHeight="false" outlineLevel="0" collapsed="false">
      <c r="A252" s="44" t="n">
        <f aca="false">IF($B252="","",COUNTA($B$2:$B252))</f>
        <v>251</v>
      </c>
      <c r="B252" s="11" t="s">
        <v>665</v>
      </c>
      <c r="C252" s="11" t="s">
        <v>666</v>
      </c>
      <c r="D252" s="11" t="s">
        <v>26</v>
      </c>
      <c r="E252" s="11" t="s">
        <v>131</v>
      </c>
      <c r="F252" s="11" t="s">
        <v>70</v>
      </c>
      <c r="G252" s="34" t="s">
        <v>132</v>
      </c>
      <c r="H252" s="25"/>
      <c r="I252" s="40" t="n">
        <v>0</v>
      </c>
      <c r="J252" s="34" t="s">
        <v>132</v>
      </c>
      <c r="K252" s="45"/>
      <c r="L252" s="34" t="s">
        <v>142</v>
      </c>
      <c r="M252" s="34"/>
      <c r="N252" s="11" t="s">
        <v>133</v>
      </c>
      <c r="O252" s="11" t="s">
        <v>133</v>
      </c>
      <c r="P252" s="11" t="s">
        <v>133</v>
      </c>
      <c r="Q252" s="11" t="s">
        <v>133</v>
      </c>
      <c r="R252" s="11" t="s">
        <v>133</v>
      </c>
      <c r="S252" s="46"/>
      <c r="T252" s="44" t="n">
        <f aca="false">IF($B252="","",COUNTA($N252:$R252)-COUNTIF($N252:$R252,"Not Invited"))</f>
        <v>0</v>
      </c>
      <c r="U252" s="44" t="n">
        <f aca="false">IF($B252="","",COUNTIF($N252:$R252,"Attended"))</f>
        <v>0</v>
      </c>
      <c r="V252" s="47" t="str">
        <f aca="false">IF($B252="","",_xlfn.TEXTJOIN(", ",TRUE(),IF($N252="Attended",Setup!$D$15,""),IF($O252="Attended",Setup!$D$16,""),IF($P252="Attended",Setup!$D$17,""),IF($Q252="Attended",Setup!$D$18,""),IF($R252="Attended",Setup!$D$19,"")))</f>
        <v/>
      </c>
      <c r="W252" s="48" t="str">
        <f aca="true">IF(OR($B252="",NOT(ISNUMBER($H252))),"",TODAY()-$H252)</f>
        <v/>
      </c>
      <c r="X252" s="47" t="str">
        <f aca="false">IF($B252="","",IF($U252&gt;0,"Event attendee",IF($G252="Yes","Met (no event)",IF($T252&gt;0,"Invited only",IF(OR($L252="Yes",$M252="Yes"),"Contacted only","Not yet contacted")))))</f>
        <v>Contacted only</v>
      </c>
      <c r="Y252" s="47" t="n">
        <f aca="false">IF($B252="","",COUNTIF(c_Firm,"&lt;"&amp;$D252)+COUNTIFS(c_Firm,$D252,c_Name,"&lt;"&amp;$B252)+COUNTIFS($D$2:$D252,$D252,$B$2:$B252,$B252))</f>
        <v>251</v>
      </c>
      <c r="Z252" s="47" t="n">
        <f aca="false">IF($B252="","",IF(AND(OR(Contacts!$C$3="(All)",$D252=Contacts!$C$3),OR(Contacts!$E$3="(All)",$G252=Contacts!$E$3),OR(Contacts!$G$3="(All)",ISNUMBER(SEARCH(Contacts!$G$3,$V252))),OR(Contacts!$I$3="(All)",$X252=Contacts!$I$3),OR(Contacts!$K$3="",ISNUMBER(SEARCH(Contacts!$K$3,$B252&amp;" "&amp;$C252&amp;" "&amp;$D252&amp;" "&amp;$S252)))),1,0))</f>
        <v>1</v>
      </c>
      <c r="AA252" s="47" t="n">
        <f aca="false">IF($Z252=1,COUNTIFS(c_Pass,1,c_Sort,"&lt;="&amp;$Y252),"")</f>
        <v>251</v>
      </c>
      <c r="AB252" s="47" t="str">
        <f aca="false">IF(OR($G252&lt;&gt;"Yes",NOT(ISNUMBER($H252))),"",COUNTIFS(c_Met,"Yes",c_Date,"&lt;"&amp;$H252)+COUNTIFS($G$2:$G252,"Yes",$H$2:$H252,$H252))</f>
        <v/>
      </c>
    </row>
    <row r="253" customFormat="false" ht="15" hidden="false" customHeight="false" outlineLevel="0" collapsed="false">
      <c r="A253" s="44" t="n">
        <f aca="false">IF($B253="","",COUNTA($B$2:$B253))</f>
        <v>252</v>
      </c>
      <c r="B253" s="11" t="s">
        <v>667</v>
      </c>
      <c r="C253" s="11" t="s">
        <v>668</v>
      </c>
      <c r="D253" s="11" t="s">
        <v>26</v>
      </c>
      <c r="E253" s="11" t="s">
        <v>131</v>
      </c>
      <c r="F253" s="11" t="s">
        <v>70</v>
      </c>
      <c r="G253" s="34" t="s">
        <v>132</v>
      </c>
      <c r="H253" s="25"/>
      <c r="I253" s="40" t="n">
        <v>0</v>
      </c>
      <c r="J253" s="34" t="s">
        <v>132</v>
      </c>
      <c r="K253" s="45"/>
      <c r="L253" s="34" t="s">
        <v>142</v>
      </c>
      <c r="M253" s="34"/>
      <c r="N253" s="11" t="s">
        <v>133</v>
      </c>
      <c r="O253" s="11" t="s">
        <v>133</v>
      </c>
      <c r="P253" s="11" t="s">
        <v>133</v>
      </c>
      <c r="Q253" s="11" t="s">
        <v>133</v>
      </c>
      <c r="R253" s="11" t="s">
        <v>133</v>
      </c>
      <c r="S253" s="46"/>
      <c r="T253" s="44" t="n">
        <f aca="false">IF($B253="","",COUNTA($N253:$R253)-COUNTIF($N253:$R253,"Not Invited"))</f>
        <v>0</v>
      </c>
      <c r="U253" s="44" t="n">
        <f aca="false">IF($B253="","",COUNTIF($N253:$R253,"Attended"))</f>
        <v>0</v>
      </c>
      <c r="V253" s="47" t="str">
        <f aca="false">IF($B253="","",_xlfn.TEXTJOIN(", ",TRUE(),IF($N253="Attended",Setup!$D$15,""),IF($O253="Attended",Setup!$D$16,""),IF($P253="Attended",Setup!$D$17,""),IF($Q253="Attended",Setup!$D$18,""),IF($R253="Attended",Setup!$D$19,"")))</f>
        <v/>
      </c>
      <c r="W253" s="48" t="str">
        <f aca="true">IF(OR($B253="",NOT(ISNUMBER($H253))),"",TODAY()-$H253)</f>
        <v/>
      </c>
      <c r="X253" s="47" t="str">
        <f aca="false">IF($B253="","",IF($U253&gt;0,"Event attendee",IF($G253="Yes","Met (no event)",IF($T253&gt;0,"Invited only",IF(OR($L253="Yes",$M253="Yes"),"Contacted only","Not yet contacted")))))</f>
        <v>Contacted only</v>
      </c>
      <c r="Y253" s="47" t="n">
        <f aca="false">IF($B253="","",COUNTIF(c_Firm,"&lt;"&amp;$D253)+COUNTIFS(c_Firm,$D253,c_Name,"&lt;"&amp;$B253)+COUNTIFS($D$2:$D253,$D253,$B$2:$B253,$B253))</f>
        <v>252</v>
      </c>
      <c r="Z253" s="47" t="n">
        <f aca="false">IF($B253="","",IF(AND(OR(Contacts!$C$3="(All)",$D253=Contacts!$C$3),OR(Contacts!$E$3="(All)",$G253=Contacts!$E$3),OR(Contacts!$G$3="(All)",ISNUMBER(SEARCH(Contacts!$G$3,$V253))),OR(Contacts!$I$3="(All)",$X253=Contacts!$I$3),OR(Contacts!$K$3="",ISNUMBER(SEARCH(Contacts!$K$3,$B253&amp;" "&amp;$C253&amp;" "&amp;$D253&amp;" "&amp;$S253)))),1,0))</f>
        <v>1</v>
      </c>
      <c r="AA253" s="47" t="n">
        <f aca="false">IF($Z253=1,COUNTIFS(c_Pass,1,c_Sort,"&lt;="&amp;$Y253),"")</f>
        <v>252</v>
      </c>
      <c r="AB253" s="47" t="str">
        <f aca="false">IF(OR($G253&lt;&gt;"Yes",NOT(ISNUMBER($H253))),"",COUNTIFS(c_Met,"Yes",c_Date,"&lt;"&amp;$H253)+COUNTIFS($G$2:$G253,"Yes",$H$2:$H253,$H253))</f>
        <v/>
      </c>
    </row>
    <row r="254" customFormat="false" ht="15" hidden="false" customHeight="false" outlineLevel="0" collapsed="false">
      <c r="A254" s="44" t="n">
        <f aca="false">IF($B254="","",COUNTA($B$2:$B254))</f>
        <v>253</v>
      </c>
      <c r="B254" s="11" t="s">
        <v>669</v>
      </c>
      <c r="C254" s="11" t="s">
        <v>670</v>
      </c>
      <c r="D254" s="11" t="s">
        <v>26</v>
      </c>
      <c r="E254" s="11" t="s">
        <v>131</v>
      </c>
      <c r="F254" s="11" t="s">
        <v>70</v>
      </c>
      <c r="G254" s="34" t="s">
        <v>132</v>
      </c>
      <c r="H254" s="25"/>
      <c r="I254" s="40" t="n">
        <v>0</v>
      </c>
      <c r="J254" s="34" t="s">
        <v>132</v>
      </c>
      <c r="K254" s="45"/>
      <c r="L254" s="34" t="s">
        <v>142</v>
      </c>
      <c r="M254" s="34"/>
      <c r="N254" s="11" t="s">
        <v>133</v>
      </c>
      <c r="O254" s="11" t="s">
        <v>133</v>
      </c>
      <c r="P254" s="11" t="s">
        <v>133</v>
      </c>
      <c r="Q254" s="11" t="s">
        <v>133</v>
      </c>
      <c r="R254" s="11" t="s">
        <v>133</v>
      </c>
      <c r="S254" s="46"/>
      <c r="T254" s="44" t="n">
        <f aca="false">IF($B254="","",COUNTA($N254:$R254)-COUNTIF($N254:$R254,"Not Invited"))</f>
        <v>0</v>
      </c>
      <c r="U254" s="44" t="n">
        <f aca="false">IF($B254="","",COUNTIF($N254:$R254,"Attended"))</f>
        <v>0</v>
      </c>
      <c r="V254" s="47" t="str">
        <f aca="false">IF($B254="","",_xlfn.TEXTJOIN(", ",TRUE(),IF($N254="Attended",Setup!$D$15,""),IF($O254="Attended",Setup!$D$16,""),IF($P254="Attended",Setup!$D$17,""),IF($Q254="Attended",Setup!$D$18,""),IF($R254="Attended",Setup!$D$19,"")))</f>
        <v/>
      </c>
      <c r="W254" s="48" t="str">
        <f aca="true">IF(OR($B254="",NOT(ISNUMBER($H254))),"",TODAY()-$H254)</f>
        <v/>
      </c>
      <c r="X254" s="47" t="str">
        <f aca="false">IF($B254="","",IF($U254&gt;0,"Event attendee",IF($G254="Yes","Met (no event)",IF($T254&gt;0,"Invited only",IF(OR($L254="Yes",$M254="Yes"),"Contacted only","Not yet contacted")))))</f>
        <v>Contacted only</v>
      </c>
      <c r="Y254" s="47" t="n">
        <f aca="false">IF($B254="","",COUNTIF(c_Firm,"&lt;"&amp;$D254)+COUNTIFS(c_Firm,$D254,c_Name,"&lt;"&amp;$B254)+COUNTIFS($D$2:$D254,$D254,$B$2:$B254,$B254))</f>
        <v>253</v>
      </c>
      <c r="Z254" s="47" t="n">
        <f aca="false">IF($B254="","",IF(AND(OR(Contacts!$C$3="(All)",$D254=Contacts!$C$3),OR(Contacts!$E$3="(All)",$G254=Contacts!$E$3),OR(Contacts!$G$3="(All)",ISNUMBER(SEARCH(Contacts!$G$3,$V254))),OR(Contacts!$I$3="(All)",$X254=Contacts!$I$3),OR(Contacts!$K$3="",ISNUMBER(SEARCH(Contacts!$K$3,$B254&amp;" "&amp;$C254&amp;" "&amp;$D254&amp;" "&amp;$S254)))),1,0))</f>
        <v>1</v>
      </c>
      <c r="AA254" s="47" t="n">
        <f aca="false">IF($Z254=1,COUNTIFS(c_Pass,1,c_Sort,"&lt;="&amp;$Y254),"")</f>
        <v>253</v>
      </c>
      <c r="AB254" s="47" t="str">
        <f aca="false">IF(OR($G254&lt;&gt;"Yes",NOT(ISNUMBER($H254))),"",COUNTIFS(c_Met,"Yes",c_Date,"&lt;"&amp;$H254)+COUNTIFS($G$2:$G254,"Yes",$H$2:$H254,$H254))</f>
        <v/>
      </c>
    </row>
    <row r="255" customFormat="false" ht="15" hidden="false" customHeight="false" outlineLevel="0" collapsed="false">
      <c r="A255" s="44" t="n">
        <f aca="false">IF($B255="","",COUNTA($B$2:$B255))</f>
        <v>254</v>
      </c>
      <c r="B255" s="11" t="s">
        <v>671</v>
      </c>
      <c r="C255" s="11" t="s">
        <v>672</v>
      </c>
      <c r="D255" s="11" t="s">
        <v>26</v>
      </c>
      <c r="E255" s="11" t="s">
        <v>131</v>
      </c>
      <c r="F255" s="11" t="s">
        <v>70</v>
      </c>
      <c r="G255" s="34" t="s">
        <v>132</v>
      </c>
      <c r="H255" s="25"/>
      <c r="I255" s="40" t="n">
        <v>0</v>
      </c>
      <c r="J255" s="34" t="s">
        <v>132</v>
      </c>
      <c r="K255" s="45"/>
      <c r="L255" s="34" t="s">
        <v>142</v>
      </c>
      <c r="M255" s="34"/>
      <c r="N255" s="11" t="s">
        <v>133</v>
      </c>
      <c r="O255" s="11" t="s">
        <v>133</v>
      </c>
      <c r="P255" s="11" t="s">
        <v>133</v>
      </c>
      <c r="Q255" s="11" t="s">
        <v>133</v>
      </c>
      <c r="R255" s="11" t="s">
        <v>133</v>
      </c>
      <c r="S255" s="46"/>
      <c r="T255" s="44" t="n">
        <f aca="false">IF($B255="","",COUNTA($N255:$R255)-COUNTIF($N255:$R255,"Not Invited"))</f>
        <v>0</v>
      </c>
      <c r="U255" s="44" t="n">
        <f aca="false">IF($B255="","",COUNTIF($N255:$R255,"Attended"))</f>
        <v>0</v>
      </c>
      <c r="V255" s="47" t="str">
        <f aca="false">IF($B255="","",_xlfn.TEXTJOIN(", ",TRUE(),IF($N255="Attended",Setup!$D$15,""),IF($O255="Attended",Setup!$D$16,""),IF($P255="Attended",Setup!$D$17,""),IF($Q255="Attended",Setup!$D$18,""),IF($R255="Attended",Setup!$D$19,"")))</f>
        <v/>
      </c>
      <c r="W255" s="48" t="str">
        <f aca="true">IF(OR($B255="",NOT(ISNUMBER($H255))),"",TODAY()-$H255)</f>
        <v/>
      </c>
      <c r="X255" s="47" t="str">
        <f aca="false">IF($B255="","",IF($U255&gt;0,"Event attendee",IF($G255="Yes","Met (no event)",IF($T255&gt;0,"Invited only",IF(OR($L255="Yes",$M255="Yes"),"Contacted only","Not yet contacted")))))</f>
        <v>Contacted only</v>
      </c>
      <c r="Y255" s="47" t="n">
        <f aca="false">IF($B255="","",COUNTIF(c_Firm,"&lt;"&amp;$D255)+COUNTIFS(c_Firm,$D255,c_Name,"&lt;"&amp;$B255)+COUNTIFS($D$2:$D255,$D255,$B$2:$B255,$B255))</f>
        <v>254</v>
      </c>
      <c r="Z255" s="47" t="n">
        <f aca="false">IF($B255="","",IF(AND(OR(Contacts!$C$3="(All)",$D255=Contacts!$C$3),OR(Contacts!$E$3="(All)",$G255=Contacts!$E$3),OR(Contacts!$G$3="(All)",ISNUMBER(SEARCH(Contacts!$G$3,$V255))),OR(Contacts!$I$3="(All)",$X255=Contacts!$I$3),OR(Contacts!$K$3="",ISNUMBER(SEARCH(Contacts!$K$3,$B255&amp;" "&amp;$C255&amp;" "&amp;$D255&amp;" "&amp;$S255)))),1,0))</f>
        <v>1</v>
      </c>
      <c r="AA255" s="47" t="n">
        <f aca="false">IF($Z255=1,COUNTIFS(c_Pass,1,c_Sort,"&lt;="&amp;$Y255),"")</f>
        <v>254</v>
      </c>
      <c r="AB255" s="47" t="str">
        <f aca="false">IF(OR($G255&lt;&gt;"Yes",NOT(ISNUMBER($H255))),"",COUNTIFS(c_Met,"Yes",c_Date,"&lt;"&amp;$H255)+COUNTIFS($G$2:$G255,"Yes",$H$2:$H255,$H255))</f>
        <v/>
      </c>
    </row>
    <row r="256" customFormat="false" ht="15" hidden="false" customHeight="false" outlineLevel="0" collapsed="false">
      <c r="A256" s="44" t="n">
        <f aca="false">IF($B256="","",COUNTA($B$2:$B256))</f>
        <v>255</v>
      </c>
      <c r="B256" s="11" t="s">
        <v>673</v>
      </c>
      <c r="C256" s="11" t="s">
        <v>674</v>
      </c>
      <c r="D256" s="11" t="s">
        <v>26</v>
      </c>
      <c r="E256" s="11" t="s">
        <v>131</v>
      </c>
      <c r="F256" s="11" t="s">
        <v>70</v>
      </c>
      <c r="G256" s="34" t="s">
        <v>132</v>
      </c>
      <c r="H256" s="25"/>
      <c r="I256" s="40" t="n">
        <v>0</v>
      </c>
      <c r="J256" s="34" t="s">
        <v>132</v>
      </c>
      <c r="K256" s="45"/>
      <c r="L256" s="34" t="s">
        <v>142</v>
      </c>
      <c r="M256" s="34"/>
      <c r="N256" s="11" t="s">
        <v>133</v>
      </c>
      <c r="O256" s="11" t="s">
        <v>133</v>
      </c>
      <c r="P256" s="11" t="s">
        <v>133</v>
      </c>
      <c r="Q256" s="11" t="s">
        <v>133</v>
      </c>
      <c r="R256" s="11" t="s">
        <v>133</v>
      </c>
      <c r="S256" s="46"/>
      <c r="T256" s="44" t="n">
        <f aca="false">IF($B256="","",COUNTA($N256:$R256)-COUNTIF($N256:$R256,"Not Invited"))</f>
        <v>0</v>
      </c>
      <c r="U256" s="44" t="n">
        <f aca="false">IF($B256="","",COUNTIF($N256:$R256,"Attended"))</f>
        <v>0</v>
      </c>
      <c r="V256" s="47" t="str">
        <f aca="false">IF($B256="","",_xlfn.TEXTJOIN(", ",TRUE(),IF($N256="Attended",Setup!$D$15,""),IF($O256="Attended",Setup!$D$16,""),IF($P256="Attended",Setup!$D$17,""),IF($Q256="Attended",Setup!$D$18,""),IF($R256="Attended",Setup!$D$19,"")))</f>
        <v/>
      </c>
      <c r="W256" s="48" t="str">
        <f aca="true">IF(OR($B256="",NOT(ISNUMBER($H256))),"",TODAY()-$H256)</f>
        <v/>
      </c>
      <c r="X256" s="47" t="str">
        <f aca="false">IF($B256="","",IF($U256&gt;0,"Event attendee",IF($G256="Yes","Met (no event)",IF($T256&gt;0,"Invited only",IF(OR($L256="Yes",$M256="Yes"),"Contacted only","Not yet contacted")))))</f>
        <v>Contacted only</v>
      </c>
      <c r="Y256" s="47" t="n">
        <f aca="false">IF($B256="","",COUNTIF(c_Firm,"&lt;"&amp;$D256)+COUNTIFS(c_Firm,$D256,c_Name,"&lt;"&amp;$B256)+COUNTIFS($D$2:$D256,$D256,$B$2:$B256,$B256))</f>
        <v>255</v>
      </c>
      <c r="Z256" s="47" t="n">
        <f aca="false">IF($B256="","",IF(AND(OR(Contacts!$C$3="(All)",$D256=Contacts!$C$3),OR(Contacts!$E$3="(All)",$G256=Contacts!$E$3),OR(Contacts!$G$3="(All)",ISNUMBER(SEARCH(Contacts!$G$3,$V256))),OR(Contacts!$I$3="(All)",$X256=Contacts!$I$3),OR(Contacts!$K$3="",ISNUMBER(SEARCH(Contacts!$K$3,$B256&amp;" "&amp;$C256&amp;" "&amp;$D256&amp;" "&amp;$S256)))),1,0))</f>
        <v>1</v>
      </c>
      <c r="AA256" s="47" t="n">
        <f aca="false">IF($Z256=1,COUNTIFS(c_Pass,1,c_Sort,"&lt;="&amp;$Y256),"")</f>
        <v>255</v>
      </c>
      <c r="AB256" s="47" t="str">
        <f aca="false">IF(OR($G256&lt;&gt;"Yes",NOT(ISNUMBER($H256))),"",COUNTIFS(c_Met,"Yes",c_Date,"&lt;"&amp;$H256)+COUNTIFS($G$2:$G256,"Yes",$H$2:$H256,$H256))</f>
        <v/>
      </c>
    </row>
    <row r="257" customFormat="false" ht="15" hidden="false" customHeight="false" outlineLevel="0" collapsed="false">
      <c r="A257" s="44" t="n">
        <f aca="false">IF($B257="","",COUNTA($B$2:$B257))</f>
        <v>256</v>
      </c>
      <c r="B257" s="11" t="s">
        <v>675</v>
      </c>
      <c r="C257" s="11"/>
      <c r="D257" s="11" t="s">
        <v>26</v>
      </c>
      <c r="E257" s="11" t="s">
        <v>193</v>
      </c>
      <c r="F257" s="11" t="s">
        <v>68</v>
      </c>
      <c r="G257" s="34" t="s">
        <v>132</v>
      </c>
      <c r="H257" s="25"/>
      <c r="I257" s="40" t="n">
        <v>0</v>
      </c>
      <c r="J257" s="34" t="s">
        <v>132</v>
      </c>
      <c r="K257" s="45"/>
      <c r="L257" s="34"/>
      <c r="M257" s="34" t="s">
        <v>142</v>
      </c>
      <c r="N257" s="11" t="s">
        <v>133</v>
      </c>
      <c r="O257" s="11" t="s">
        <v>133</v>
      </c>
      <c r="P257" s="11" t="s">
        <v>133</v>
      </c>
      <c r="Q257" s="11" t="s">
        <v>133</v>
      </c>
      <c r="R257" s="11" t="s">
        <v>133</v>
      </c>
      <c r="S257" s="46" t="s">
        <v>676</v>
      </c>
      <c r="T257" s="44" t="n">
        <f aca="false">IF($B257="","",COUNTA($N257:$R257)-COUNTIF($N257:$R257,"Not Invited"))</f>
        <v>0</v>
      </c>
      <c r="U257" s="44" t="n">
        <f aca="false">IF($B257="","",COUNTIF($N257:$R257,"Attended"))</f>
        <v>0</v>
      </c>
      <c r="V257" s="47" t="str">
        <f aca="false">IF($B257="","",_xlfn.TEXTJOIN(", ",TRUE(),IF($N257="Attended",Setup!$D$15,""),IF($O257="Attended",Setup!$D$16,""),IF($P257="Attended",Setup!$D$17,""),IF($Q257="Attended",Setup!$D$18,""),IF($R257="Attended",Setup!$D$19,"")))</f>
        <v/>
      </c>
      <c r="W257" s="48" t="str">
        <f aca="true">IF(OR($B257="",NOT(ISNUMBER($H257))),"",TODAY()-$H257)</f>
        <v/>
      </c>
      <c r="X257" s="47" t="str">
        <f aca="false">IF($B257="","",IF($U257&gt;0,"Event attendee",IF($G257="Yes","Met (no event)",IF($T257&gt;0,"Invited only",IF(OR($L257="Yes",$M257="Yes"),"Contacted only","Not yet contacted")))))</f>
        <v>Contacted only</v>
      </c>
      <c r="Y257" s="47" t="n">
        <f aca="false">IF($B257="","",COUNTIF(c_Firm,"&lt;"&amp;$D257)+COUNTIFS(c_Firm,$D257,c_Name,"&lt;"&amp;$B257)+COUNTIFS($D$2:$D257,$D257,$B$2:$B257,$B257))</f>
        <v>256</v>
      </c>
      <c r="Z257" s="47" t="n">
        <f aca="false">IF($B257="","",IF(AND(OR(Contacts!$C$3="(All)",$D257=Contacts!$C$3),OR(Contacts!$E$3="(All)",$G257=Contacts!$E$3),OR(Contacts!$G$3="(All)",ISNUMBER(SEARCH(Contacts!$G$3,$V257))),OR(Contacts!$I$3="(All)",$X257=Contacts!$I$3),OR(Contacts!$K$3="",ISNUMBER(SEARCH(Contacts!$K$3,$B257&amp;" "&amp;$C257&amp;" "&amp;$D257&amp;" "&amp;$S257)))),1,0))</f>
        <v>1</v>
      </c>
      <c r="AA257" s="47" t="n">
        <f aca="false">IF($Z257=1,COUNTIFS(c_Pass,1,c_Sort,"&lt;="&amp;$Y257),"")</f>
        <v>256</v>
      </c>
      <c r="AB257" s="47" t="str">
        <f aca="false">IF(OR($G257&lt;&gt;"Yes",NOT(ISNUMBER($H257))),"",COUNTIFS(c_Met,"Yes",c_Date,"&lt;"&amp;$H257)+COUNTIFS($G$2:$G257,"Yes",$H$2:$H257,$H257))</f>
        <v/>
      </c>
    </row>
    <row r="258" customFormat="false" ht="15" hidden="false" customHeight="false" outlineLevel="0" collapsed="false">
      <c r="A258" s="44" t="n">
        <f aca="false">IF($B258="","",COUNTA($B$2:$B258))</f>
        <v>257</v>
      </c>
      <c r="B258" s="11" t="s">
        <v>677</v>
      </c>
      <c r="C258" s="11" t="s">
        <v>678</v>
      </c>
      <c r="D258" s="11" t="s">
        <v>26</v>
      </c>
      <c r="E258" s="11" t="s">
        <v>131</v>
      </c>
      <c r="F258" s="11" t="s">
        <v>70</v>
      </c>
      <c r="G258" s="34" t="s">
        <v>132</v>
      </c>
      <c r="H258" s="25"/>
      <c r="I258" s="40" t="n">
        <v>0</v>
      </c>
      <c r="J258" s="34" t="s">
        <v>132</v>
      </c>
      <c r="K258" s="45"/>
      <c r="L258" s="34" t="s">
        <v>142</v>
      </c>
      <c r="M258" s="34"/>
      <c r="N258" s="11" t="s">
        <v>133</v>
      </c>
      <c r="O258" s="11" t="s">
        <v>133</v>
      </c>
      <c r="P258" s="11" t="s">
        <v>133</v>
      </c>
      <c r="Q258" s="11" t="s">
        <v>133</v>
      </c>
      <c r="R258" s="11" t="s">
        <v>133</v>
      </c>
      <c r="S258" s="46"/>
      <c r="T258" s="44" t="n">
        <f aca="false">IF($B258="","",COUNTA($N258:$R258)-COUNTIF($N258:$R258,"Not Invited"))</f>
        <v>0</v>
      </c>
      <c r="U258" s="44" t="n">
        <f aca="false">IF($B258="","",COUNTIF($N258:$R258,"Attended"))</f>
        <v>0</v>
      </c>
      <c r="V258" s="47" t="str">
        <f aca="false">IF($B258="","",_xlfn.TEXTJOIN(", ",TRUE(),IF($N258="Attended",Setup!$D$15,""),IF($O258="Attended",Setup!$D$16,""),IF($P258="Attended",Setup!$D$17,""),IF($Q258="Attended",Setup!$D$18,""),IF($R258="Attended",Setup!$D$19,"")))</f>
        <v/>
      </c>
      <c r="W258" s="48" t="str">
        <f aca="true">IF(OR($B258="",NOT(ISNUMBER($H258))),"",TODAY()-$H258)</f>
        <v/>
      </c>
      <c r="X258" s="47" t="str">
        <f aca="false">IF($B258="","",IF($U258&gt;0,"Event attendee",IF($G258="Yes","Met (no event)",IF($T258&gt;0,"Invited only",IF(OR($L258="Yes",$M258="Yes"),"Contacted only","Not yet contacted")))))</f>
        <v>Contacted only</v>
      </c>
      <c r="Y258" s="47" t="n">
        <f aca="false">IF($B258="","",COUNTIF(c_Firm,"&lt;"&amp;$D258)+COUNTIFS(c_Firm,$D258,c_Name,"&lt;"&amp;$B258)+COUNTIFS($D$2:$D258,$D258,$B$2:$B258,$B258))</f>
        <v>257</v>
      </c>
      <c r="Z258" s="47" t="n">
        <f aca="false">IF($B258="","",IF(AND(OR(Contacts!$C$3="(All)",$D258=Contacts!$C$3),OR(Contacts!$E$3="(All)",$G258=Contacts!$E$3),OR(Contacts!$G$3="(All)",ISNUMBER(SEARCH(Contacts!$G$3,$V258))),OR(Contacts!$I$3="(All)",$X258=Contacts!$I$3),OR(Contacts!$K$3="",ISNUMBER(SEARCH(Contacts!$K$3,$B258&amp;" "&amp;$C258&amp;" "&amp;$D258&amp;" "&amp;$S258)))),1,0))</f>
        <v>1</v>
      </c>
      <c r="AA258" s="47" t="n">
        <f aca="false">IF($Z258=1,COUNTIFS(c_Pass,1,c_Sort,"&lt;="&amp;$Y258),"")</f>
        <v>257</v>
      </c>
      <c r="AB258" s="47" t="str">
        <f aca="false">IF(OR($G258&lt;&gt;"Yes",NOT(ISNUMBER($H258))),"",COUNTIFS(c_Met,"Yes",c_Date,"&lt;"&amp;$H258)+COUNTIFS($G$2:$G258,"Yes",$H$2:$H258,$H258))</f>
        <v/>
      </c>
    </row>
    <row r="259" customFormat="false" ht="15" hidden="false" customHeight="false" outlineLevel="0" collapsed="false">
      <c r="A259" s="44" t="n">
        <f aca="false">IF($B259="","",COUNTA($B$2:$B259))</f>
        <v>258</v>
      </c>
      <c r="B259" s="11" t="s">
        <v>679</v>
      </c>
      <c r="C259" s="11" t="s">
        <v>680</v>
      </c>
      <c r="D259" s="11" t="s">
        <v>26</v>
      </c>
      <c r="E259" s="11" t="s">
        <v>131</v>
      </c>
      <c r="F259" s="11" t="s">
        <v>70</v>
      </c>
      <c r="G259" s="34" t="s">
        <v>132</v>
      </c>
      <c r="H259" s="25"/>
      <c r="I259" s="40" t="n">
        <v>0</v>
      </c>
      <c r="J259" s="34" t="s">
        <v>132</v>
      </c>
      <c r="K259" s="45"/>
      <c r="L259" s="34" t="s">
        <v>142</v>
      </c>
      <c r="M259" s="34"/>
      <c r="N259" s="11" t="s">
        <v>133</v>
      </c>
      <c r="O259" s="11" t="s">
        <v>133</v>
      </c>
      <c r="P259" s="11" t="s">
        <v>133</v>
      </c>
      <c r="Q259" s="11" t="s">
        <v>133</v>
      </c>
      <c r="R259" s="11" t="s">
        <v>133</v>
      </c>
      <c r="S259" s="46"/>
      <c r="T259" s="44" t="n">
        <f aca="false">IF($B259="","",COUNTA($N259:$R259)-COUNTIF($N259:$R259,"Not Invited"))</f>
        <v>0</v>
      </c>
      <c r="U259" s="44" t="n">
        <f aca="false">IF($B259="","",COUNTIF($N259:$R259,"Attended"))</f>
        <v>0</v>
      </c>
      <c r="V259" s="47" t="str">
        <f aca="false">IF($B259="","",_xlfn.TEXTJOIN(", ",TRUE(),IF($N259="Attended",Setup!$D$15,""),IF($O259="Attended",Setup!$D$16,""),IF($P259="Attended",Setup!$D$17,""),IF($Q259="Attended",Setup!$D$18,""),IF($R259="Attended",Setup!$D$19,"")))</f>
        <v/>
      </c>
      <c r="W259" s="48" t="str">
        <f aca="true">IF(OR($B259="",NOT(ISNUMBER($H259))),"",TODAY()-$H259)</f>
        <v/>
      </c>
      <c r="X259" s="47" t="str">
        <f aca="false">IF($B259="","",IF($U259&gt;0,"Event attendee",IF($G259="Yes","Met (no event)",IF($T259&gt;0,"Invited only",IF(OR($L259="Yes",$M259="Yes"),"Contacted only","Not yet contacted")))))</f>
        <v>Contacted only</v>
      </c>
      <c r="Y259" s="47" t="n">
        <f aca="false">IF($B259="","",COUNTIF(c_Firm,"&lt;"&amp;$D259)+COUNTIFS(c_Firm,$D259,c_Name,"&lt;"&amp;$B259)+COUNTIFS($D$2:$D259,$D259,$B$2:$B259,$B259))</f>
        <v>258</v>
      </c>
      <c r="Z259" s="47" t="n">
        <f aca="false">IF($B259="","",IF(AND(OR(Contacts!$C$3="(All)",$D259=Contacts!$C$3),OR(Contacts!$E$3="(All)",$G259=Contacts!$E$3),OR(Contacts!$G$3="(All)",ISNUMBER(SEARCH(Contacts!$G$3,$V259))),OR(Contacts!$I$3="(All)",$X259=Contacts!$I$3),OR(Contacts!$K$3="",ISNUMBER(SEARCH(Contacts!$K$3,$B259&amp;" "&amp;$C259&amp;" "&amp;$D259&amp;" "&amp;$S259)))),1,0))</f>
        <v>1</v>
      </c>
      <c r="AA259" s="47" t="n">
        <f aca="false">IF($Z259=1,COUNTIFS(c_Pass,1,c_Sort,"&lt;="&amp;$Y259),"")</f>
        <v>258</v>
      </c>
      <c r="AB259" s="47" t="str">
        <f aca="false">IF(OR($G259&lt;&gt;"Yes",NOT(ISNUMBER($H259))),"",COUNTIFS(c_Met,"Yes",c_Date,"&lt;"&amp;$H259)+COUNTIFS($G$2:$G259,"Yes",$H$2:$H259,$H259))</f>
        <v/>
      </c>
    </row>
    <row r="260" customFormat="false" ht="15" hidden="false" customHeight="false" outlineLevel="0" collapsed="false">
      <c r="A260" s="44" t="n">
        <f aca="false">IF($B260="","",COUNTA($B$2:$B260))</f>
        <v>259</v>
      </c>
      <c r="B260" s="11" t="s">
        <v>681</v>
      </c>
      <c r="C260" s="11" t="s">
        <v>592</v>
      </c>
      <c r="D260" s="11" t="s">
        <v>26</v>
      </c>
      <c r="E260" s="11" t="s">
        <v>131</v>
      </c>
      <c r="F260" s="11" t="s">
        <v>70</v>
      </c>
      <c r="G260" s="34" t="s">
        <v>132</v>
      </c>
      <c r="H260" s="25"/>
      <c r="I260" s="40" t="n">
        <v>0</v>
      </c>
      <c r="J260" s="34" t="s">
        <v>132</v>
      </c>
      <c r="K260" s="45"/>
      <c r="L260" s="34" t="s">
        <v>142</v>
      </c>
      <c r="M260" s="34"/>
      <c r="N260" s="11" t="s">
        <v>133</v>
      </c>
      <c r="O260" s="11" t="s">
        <v>133</v>
      </c>
      <c r="P260" s="11" t="s">
        <v>133</v>
      </c>
      <c r="Q260" s="11" t="s">
        <v>133</v>
      </c>
      <c r="R260" s="11" t="s">
        <v>133</v>
      </c>
      <c r="S260" s="46"/>
      <c r="T260" s="44" t="n">
        <f aca="false">IF($B260="","",COUNTA($N260:$R260)-COUNTIF($N260:$R260,"Not Invited"))</f>
        <v>0</v>
      </c>
      <c r="U260" s="44" t="n">
        <f aca="false">IF($B260="","",COUNTIF($N260:$R260,"Attended"))</f>
        <v>0</v>
      </c>
      <c r="V260" s="47" t="str">
        <f aca="false">IF($B260="","",_xlfn.TEXTJOIN(", ",TRUE(),IF($N260="Attended",Setup!$D$15,""),IF($O260="Attended",Setup!$D$16,""),IF($P260="Attended",Setup!$D$17,""),IF($Q260="Attended",Setup!$D$18,""),IF($R260="Attended",Setup!$D$19,"")))</f>
        <v/>
      </c>
      <c r="W260" s="48" t="str">
        <f aca="true">IF(OR($B260="",NOT(ISNUMBER($H260))),"",TODAY()-$H260)</f>
        <v/>
      </c>
      <c r="X260" s="47" t="str">
        <f aca="false">IF($B260="","",IF($U260&gt;0,"Event attendee",IF($G260="Yes","Met (no event)",IF($T260&gt;0,"Invited only",IF(OR($L260="Yes",$M260="Yes"),"Contacted only","Not yet contacted")))))</f>
        <v>Contacted only</v>
      </c>
      <c r="Y260" s="47" t="n">
        <f aca="false">IF($B260="","",COUNTIF(c_Firm,"&lt;"&amp;$D260)+COUNTIFS(c_Firm,$D260,c_Name,"&lt;"&amp;$B260)+COUNTIFS($D$2:$D260,$D260,$B$2:$B260,$B260))</f>
        <v>259</v>
      </c>
      <c r="Z260" s="47" t="n">
        <f aca="false">IF($B260="","",IF(AND(OR(Contacts!$C$3="(All)",$D260=Contacts!$C$3),OR(Contacts!$E$3="(All)",$G260=Contacts!$E$3),OR(Contacts!$G$3="(All)",ISNUMBER(SEARCH(Contacts!$G$3,$V260))),OR(Contacts!$I$3="(All)",$X260=Contacts!$I$3),OR(Contacts!$K$3="",ISNUMBER(SEARCH(Contacts!$K$3,$B260&amp;" "&amp;$C260&amp;" "&amp;$D260&amp;" "&amp;$S260)))),1,0))</f>
        <v>1</v>
      </c>
      <c r="AA260" s="47" t="n">
        <f aca="false">IF($Z260=1,COUNTIFS(c_Pass,1,c_Sort,"&lt;="&amp;$Y260),"")</f>
        <v>259</v>
      </c>
      <c r="AB260" s="47" t="str">
        <f aca="false">IF(OR($G260&lt;&gt;"Yes",NOT(ISNUMBER($H260))),"",COUNTIFS(c_Met,"Yes",c_Date,"&lt;"&amp;$H260)+COUNTIFS($G$2:$G260,"Yes",$H$2:$H260,$H260))</f>
        <v/>
      </c>
    </row>
    <row r="261" customFormat="false" ht="15" hidden="false" customHeight="false" outlineLevel="0" collapsed="false">
      <c r="A261" s="44" t="n">
        <f aca="false">IF($B261="","",COUNTA($B$2:$B261))</f>
        <v>260</v>
      </c>
      <c r="B261" s="11" t="s">
        <v>682</v>
      </c>
      <c r="C261" s="11"/>
      <c r="D261" s="11" t="s">
        <v>26</v>
      </c>
      <c r="E261" s="11" t="s">
        <v>193</v>
      </c>
      <c r="F261" s="11" t="s">
        <v>68</v>
      </c>
      <c r="G261" s="34" t="s">
        <v>132</v>
      </c>
      <c r="H261" s="25"/>
      <c r="I261" s="40" t="n">
        <v>0</v>
      </c>
      <c r="J261" s="34" t="s">
        <v>132</v>
      </c>
      <c r="K261" s="45"/>
      <c r="L261" s="34"/>
      <c r="M261" s="34" t="s">
        <v>683</v>
      </c>
      <c r="N261" s="11" t="s">
        <v>133</v>
      </c>
      <c r="O261" s="11" t="s">
        <v>133</v>
      </c>
      <c r="P261" s="11" t="s">
        <v>133</v>
      </c>
      <c r="Q261" s="11" t="s">
        <v>133</v>
      </c>
      <c r="R261" s="11" t="s">
        <v>133</v>
      </c>
      <c r="S261" s="46" t="s">
        <v>684</v>
      </c>
      <c r="T261" s="44" t="n">
        <f aca="false">IF($B261="","",COUNTA($N261:$R261)-COUNTIF($N261:$R261,"Not Invited"))</f>
        <v>0</v>
      </c>
      <c r="U261" s="44" t="n">
        <f aca="false">IF($B261="","",COUNTIF($N261:$R261,"Attended"))</f>
        <v>0</v>
      </c>
      <c r="V261" s="47" t="str">
        <f aca="false">IF($B261="","",_xlfn.TEXTJOIN(", ",TRUE(),IF($N261="Attended",Setup!$D$15,""),IF($O261="Attended",Setup!$D$16,""),IF($P261="Attended",Setup!$D$17,""),IF($Q261="Attended",Setup!$D$18,""),IF($R261="Attended",Setup!$D$19,"")))</f>
        <v/>
      </c>
      <c r="W261" s="48" t="str">
        <f aca="true">IF(OR($B261="",NOT(ISNUMBER($H261))),"",TODAY()-$H261)</f>
        <v/>
      </c>
      <c r="X261" s="47" t="str">
        <f aca="false">IF($B261="","",IF($U261&gt;0,"Event attendee",IF($G261="Yes","Met (no event)",IF($T261&gt;0,"Invited only",IF(OR($L261="Yes",$M261="Yes"),"Contacted only","Not yet contacted")))))</f>
        <v>Not yet contacted</v>
      </c>
      <c r="Y261" s="47" t="n">
        <f aca="false">IF($B261="","",COUNTIF(c_Firm,"&lt;"&amp;$D261)+COUNTIFS(c_Firm,$D261,c_Name,"&lt;"&amp;$B261)+COUNTIFS($D$2:$D261,$D261,$B$2:$B261,$B261))</f>
        <v>260</v>
      </c>
      <c r="Z261" s="47" t="n">
        <f aca="false">IF($B261="","",IF(AND(OR(Contacts!$C$3="(All)",$D261=Contacts!$C$3),OR(Contacts!$E$3="(All)",$G261=Contacts!$E$3),OR(Contacts!$G$3="(All)",ISNUMBER(SEARCH(Contacts!$G$3,$V261))),OR(Contacts!$I$3="(All)",$X261=Contacts!$I$3),OR(Contacts!$K$3="",ISNUMBER(SEARCH(Contacts!$K$3,$B261&amp;" "&amp;$C261&amp;" "&amp;$D261&amp;" "&amp;$S261)))),1,0))</f>
        <v>1</v>
      </c>
      <c r="AA261" s="47" t="n">
        <f aca="false">IF($Z261=1,COUNTIFS(c_Pass,1,c_Sort,"&lt;="&amp;$Y261),"")</f>
        <v>260</v>
      </c>
      <c r="AB261" s="47" t="str">
        <f aca="false">IF(OR($G261&lt;&gt;"Yes",NOT(ISNUMBER($H261))),"",COUNTIFS(c_Met,"Yes",c_Date,"&lt;"&amp;$H261)+COUNTIFS($G$2:$G261,"Yes",$H$2:$H261,$H261))</f>
        <v/>
      </c>
    </row>
    <row r="262" customFormat="false" ht="15" hidden="false" customHeight="false" outlineLevel="0" collapsed="false">
      <c r="A262" s="44" t="n">
        <f aca="false">IF($B262="","",COUNTA($B$2:$B262))</f>
        <v>261</v>
      </c>
      <c r="B262" s="11" t="s">
        <v>685</v>
      </c>
      <c r="C262" s="11" t="s">
        <v>686</v>
      </c>
      <c r="D262" s="11" t="s">
        <v>26</v>
      </c>
      <c r="E262" s="11" t="s">
        <v>131</v>
      </c>
      <c r="F262" s="11" t="s">
        <v>70</v>
      </c>
      <c r="G262" s="34" t="s">
        <v>132</v>
      </c>
      <c r="H262" s="25"/>
      <c r="I262" s="40" t="n">
        <v>0</v>
      </c>
      <c r="J262" s="34" t="s">
        <v>132</v>
      </c>
      <c r="K262" s="45"/>
      <c r="L262" s="34" t="s">
        <v>142</v>
      </c>
      <c r="M262" s="34"/>
      <c r="N262" s="11" t="s">
        <v>133</v>
      </c>
      <c r="O262" s="11" t="s">
        <v>133</v>
      </c>
      <c r="P262" s="11" t="s">
        <v>133</v>
      </c>
      <c r="Q262" s="11" t="s">
        <v>133</v>
      </c>
      <c r="R262" s="11" t="s">
        <v>133</v>
      </c>
      <c r="S262" s="46"/>
      <c r="T262" s="44" t="n">
        <f aca="false">IF($B262="","",COUNTA($N262:$R262)-COUNTIF($N262:$R262,"Not Invited"))</f>
        <v>0</v>
      </c>
      <c r="U262" s="44" t="n">
        <f aca="false">IF($B262="","",COUNTIF($N262:$R262,"Attended"))</f>
        <v>0</v>
      </c>
      <c r="V262" s="47" t="str">
        <f aca="false">IF($B262="","",_xlfn.TEXTJOIN(", ",TRUE(),IF($N262="Attended",Setup!$D$15,""),IF($O262="Attended",Setup!$D$16,""),IF($P262="Attended",Setup!$D$17,""),IF($Q262="Attended",Setup!$D$18,""),IF($R262="Attended",Setup!$D$19,"")))</f>
        <v/>
      </c>
      <c r="W262" s="48" t="str">
        <f aca="true">IF(OR($B262="",NOT(ISNUMBER($H262))),"",TODAY()-$H262)</f>
        <v/>
      </c>
      <c r="X262" s="47" t="str">
        <f aca="false">IF($B262="","",IF($U262&gt;0,"Event attendee",IF($G262="Yes","Met (no event)",IF($T262&gt;0,"Invited only",IF(OR($L262="Yes",$M262="Yes"),"Contacted only","Not yet contacted")))))</f>
        <v>Contacted only</v>
      </c>
      <c r="Y262" s="47" t="n">
        <f aca="false">IF($B262="","",COUNTIF(c_Firm,"&lt;"&amp;$D262)+COUNTIFS(c_Firm,$D262,c_Name,"&lt;"&amp;$B262)+COUNTIFS($D$2:$D262,$D262,$B$2:$B262,$B262))</f>
        <v>261</v>
      </c>
      <c r="Z262" s="47" t="n">
        <f aca="false">IF($B262="","",IF(AND(OR(Contacts!$C$3="(All)",$D262=Contacts!$C$3),OR(Contacts!$E$3="(All)",$G262=Contacts!$E$3),OR(Contacts!$G$3="(All)",ISNUMBER(SEARCH(Contacts!$G$3,$V262))),OR(Contacts!$I$3="(All)",$X262=Contacts!$I$3),OR(Contacts!$K$3="",ISNUMBER(SEARCH(Contacts!$K$3,$B262&amp;" "&amp;$C262&amp;" "&amp;$D262&amp;" "&amp;$S262)))),1,0))</f>
        <v>1</v>
      </c>
      <c r="AA262" s="47" t="n">
        <f aca="false">IF($Z262=1,COUNTIFS(c_Pass,1,c_Sort,"&lt;="&amp;$Y262),"")</f>
        <v>261</v>
      </c>
      <c r="AB262" s="47" t="str">
        <f aca="false">IF(OR($G262&lt;&gt;"Yes",NOT(ISNUMBER($H262))),"",COUNTIFS(c_Met,"Yes",c_Date,"&lt;"&amp;$H262)+COUNTIFS($G$2:$G262,"Yes",$H$2:$H262,$H262))</f>
        <v/>
      </c>
    </row>
    <row r="263" customFormat="false" ht="15" hidden="false" customHeight="false" outlineLevel="0" collapsed="false">
      <c r="A263" s="44" t="n">
        <f aca="false">IF($B263="","",COUNTA($B$2:$B263))</f>
        <v>262</v>
      </c>
      <c r="B263" s="11" t="s">
        <v>687</v>
      </c>
      <c r="C263" s="11" t="s">
        <v>688</v>
      </c>
      <c r="D263" s="11" t="s">
        <v>26</v>
      </c>
      <c r="E263" s="11" t="s">
        <v>131</v>
      </c>
      <c r="F263" s="11" t="s">
        <v>141</v>
      </c>
      <c r="G263" s="34" t="s">
        <v>142</v>
      </c>
      <c r="H263" s="25" t="n">
        <v>46090</v>
      </c>
      <c r="I263" s="40" t="n">
        <v>1</v>
      </c>
      <c r="J263" s="34" t="s">
        <v>132</v>
      </c>
      <c r="K263" s="45" t="n">
        <v>6000000</v>
      </c>
      <c r="L263" s="34"/>
      <c r="M263" s="34"/>
      <c r="N263" s="11" t="s">
        <v>143</v>
      </c>
      <c r="O263" s="11" t="s">
        <v>57</v>
      </c>
      <c r="P263" s="11" t="s">
        <v>133</v>
      </c>
      <c r="Q263" s="11" t="s">
        <v>133</v>
      </c>
      <c r="R263" s="11" t="s">
        <v>133</v>
      </c>
      <c r="S263" s="46" t="s">
        <v>146</v>
      </c>
      <c r="T263" s="44" t="n">
        <f aca="false">IF($B263="","",COUNTA($N263:$R263)-COUNTIF($N263:$R263,"Not Invited"))</f>
        <v>2</v>
      </c>
      <c r="U263" s="44" t="n">
        <f aca="false">IF($B263="","",COUNTIF($N263:$R263,"Attended"))</f>
        <v>0</v>
      </c>
      <c r="V263" s="47" t="str">
        <f aca="false">IF($B263="","",_xlfn.TEXTJOIN(", ",TRUE(),IF($N263="Attended",Setup!$D$15,""),IF($O263="Attended",Setup!$D$16,""),IF($P263="Attended",Setup!$D$17,""),IF($Q263="Attended",Setup!$D$18,""),IF($R263="Attended",Setup!$D$19,"")))</f>
        <v/>
      </c>
      <c r="W263" s="48" t="n">
        <f aca="true">IF(OR($B263="",NOT(ISNUMBER($H263))),"",TODAY()-$H263)</f>
        <v>151</v>
      </c>
      <c r="X263" s="47" t="str">
        <f aca="false">IF($B263="","",IF($U263&gt;0,"Event attendee",IF($G263="Yes","Met (no event)",IF($T263&gt;0,"Invited only",IF(OR($L263="Yes",$M263="Yes"),"Contacted only","Not yet contacted")))))</f>
        <v>Met (no event)</v>
      </c>
      <c r="Y263" s="47" t="n">
        <f aca="false">IF($B263="","",COUNTIF(c_Firm,"&lt;"&amp;$D263)+COUNTIFS(c_Firm,$D263,c_Name,"&lt;"&amp;$B263)+COUNTIFS($D$2:$D263,$D263,$B$2:$B263,$B263))</f>
        <v>262</v>
      </c>
      <c r="Z263" s="47" t="n">
        <f aca="false">IF($B263="","",IF(AND(OR(Contacts!$C$3="(All)",$D263=Contacts!$C$3),OR(Contacts!$E$3="(All)",$G263=Contacts!$E$3),OR(Contacts!$G$3="(All)",ISNUMBER(SEARCH(Contacts!$G$3,$V263))),OR(Contacts!$I$3="(All)",$X263=Contacts!$I$3),OR(Contacts!$K$3="",ISNUMBER(SEARCH(Contacts!$K$3,$B263&amp;" "&amp;$C263&amp;" "&amp;$D263&amp;" "&amp;$S263)))),1,0))</f>
        <v>1</v>
      </c>
      <c r="AA263" s="47" t="n">
        <f aca="false">IF($Z263=1,COUNTIFS(c_Pass,1,c_Sort,"&lt;="&amp;$Y263),"")</f>
        <v>262</v>
      </c>
      <c r="AB263" s="47" t="n">
        <f aca="false">IF(OR($G263&lt;&gt;"Yes",NOT(ISNUMBER($H263))),"",COUNTIFS(c_Met,"Yes",c_Date,"&lt;"&amp;$H263)+COUNTIFS($G$2:$G263,"Yes",$H$2:$H263,$H263))</f>
        <v>48</v>
      </c>
    </row>
    <row r="264" customFormat="false" ht="15" hidden="false" customHeight="false" outlineLevel="0" collapsed="false">
      <c r="A264" s="44" t="n">
        <f aca="false">IF($B264="","",COUNTA($B$2:$B264))</f>
        <v>263</v>
      </c>
      <c r="B264" s="11" t="s">
        <v>689</v>
      </c>
      <c r="C264" s="11" t="s">
        <v>688</v>
      </c>
      <c r="D264" s="11" t="s">
        <v>26</v>
      </c>
      <c r="E264" s="11" t="s">
        <v>131</v>
      </c>
      <c r="F264" s="11" t="s">
        <v>70</v>
      </c>
      <c r="G264" s="34" t="s">
        <v>142</v>
      </c>
      <c r="H264" s="25" t="n">
        <v>46083</v>
      </c>
      <c r="I264" s="40" t="n">
        <v>1</v>
      </c>
      <c r="J264" s="34" t="s">
        <v>132</v>
      </c>
      <c r="K264" s="45"/>
      <c r="L264" s="34" t="s">
        <v>142</v>
      </c>
      <c r="M264" s="34"/>
      <c r="N264" s="11" t="s">
        <v>133</v>
      </c>
      <c r="O264" s="11" t="s">
        <v>133</v>
      </c>
      <c r="P264" s="11" t="s">
        <v>133</v>
      </c>
      <c r="Q264" s="11" t="s">
        <v>133</v>
      </c>
      <c r="R264" s="11" t="s">
        <v>133</v>
      </c>
      <c r="S264" s="46" t="s">
        <v>690</v>
      </c>
      <c r="T264" s="44" t="n">
        <f aca="false">IF($B264="","",COUNTA($N264:$R264)-COUNTIF($N264:$R264,"Not Invited"))</f>
        <v>0</v>
      </c>
      <c r="U264" s="44" t="n">
        <f aca="false">IF($B264="","",COUNTIF($N264:$R264,"Attended"))</f>
        <v>0</v>
      </c>
      <c r="V264" s="47" t="str">
        <f aca="false">IF($B264="","",_xlfn.TEXTJOIN(", ",TRUE(),IF($N264="Attended",Setup!$D$15,""),IF($O264="Attended",Setup!$D$16,""),IF($P264="Attended",Setup!$D$17,""),IF($Q264="Attended",Setup!$D$18,""),IF($R264="Attended",Setup!$D$19,"")))</f>
        <v/>
      </c>
      <c r="W264" s="48" t="n">
        <f aca="true">IF(OR($B264="",NOT(ISNUMBER($H264))),"",TODAY()-$H264)</f>
        <v>158</v>
      </c>
      <c r="X264" s="47" t="str">
        <f aca="false">IF($B264="","",IF($U264&gt;0,"Event attendee",IF($G264="Yes","Met (no event)",IF($T264&gt;0,"Invited only",IF(OR($L264="Yes",$M264="Yes"),"Contacted only","Not yet contacted")))))</f>
        <v>Met (no event)</v>
      </c>
      <c r="Y264" s="47" t="n">
        <f aca="false">IF($B264="","",COUNTIF(c_Firm,"&lt;"&amp;$D264)+COUNTIFS(c_Firm,$D264,c_Name,"&lt;"&amp;$B264)+COUNTIFS($D$2:$D264,$D264,$B$2:$B264,$B264))</f>
        <v>263</v>
      </c>
      <c r="Z264" s="47" t="n">
        <f aca="false">IF($B264="","",IF(AND(OR(Contacts!$C$3="(All)",$D264=Contacts!$C$3),OR(Contacts!$E$3="(All)",$G264=Contacts!$E$3),OR(Contacts!$G$3="(All)",ISNUMBER(SEARCH(Contacts!$G$3,$V264))),OR(Contacts!$I$3="(All)",$X264=Contacts!$I$3),OR(Contacts!$K$3="",ISNUMBER(SEARCH(Contacts!$K$3,$B264&amp;" "&amp;$C264&amp;" "&amp;$D264&amp;" "&amp;$S264)))),1,0))</f>
        <v>1</v>
      </c>
      <c r="AA264" s="47" t="n">
        <f aca="false">IF($Z264=1,COUNTIFS(c_Pass,1,c_Sort,"&lt;="&amp;$Y264),"")</f>
        <v>263</v>
      </c>
      <c r="AB264" s="47" t="n">
        <f aca="false">IF(OR($G264&lt;&gt;"Yes",NOT(ISNUMBER($H264))),"",COUNTIFS(c_Met,"Yes",c_Date,"&lt;"&amp;$H264)+COUNTIFS($G$2:$G264,"Yes",$H$2:$H264,$H264))</f>
        <v>46</v>
      </c>
    </row>
    <row r="265" customFormat="false" ht="15" hidden="false" customHeight="false" outlineLevel="0" collapsed="false">
      <c r="A265" s="44" t="n">
        <f aca="false">IF($B265="","",COUNTA($B$2:$B265))</f>
        <v>264</v>
      </c>
      <c r="B265" s="11" t="s">
        <v>691</v>
      </c>
      <c r="C265" s="11" t="s">
        <v>692</v>
      </c>
      <c r="D265" s="11" t="s">
        <v>26</v>
      </c>
      <c r="E265" s="11" t="s">
        <v>131</v>
      </c>
      <c r="F265" s="11" t="s">
        <v>70</v>
      </c>
      <c r="G265" s="34" t="s">
        <v>132</v>
      </c>
      <c r="H265" s="25"/>
      <c r="I265" s="40" t="n">
        <v>0</v>
      </c>
      <c r="J265" s="34" t="s">
        <v>132</v>
      </c>
      <c r="K265" s="45"/>
      <c r="L265" s="34" t="s">
        <v>142</v>
      </c>
      <c r="M265" s="34"/>
      <c r="N265" s="11" t="s">
        <v>133</v>
      </c>
      <c r="O265" s="11" t="s">
        <v>133</v>
      </c>
      <c r="P265" s="11" t="s">
        <v>133</v>
      </c>
      <c r="Q265" s="11" t="s">
        <v>133</v>
      </c>
      <c r="R265" s="11" t="s">
        <v>133</v>
      </c>
      <c r="S265" s="46"/>
      <c r="T265" s="44" t="n">
        <f aca="false">IF($B265="","",COUNTA($N265:$R265)-COUNTIF($N265:$R265,"Not Invited"))</f>
        <v>0</v>
      </c>
      <c r="U265" s="44" t="n">
        <f aca="false">IF($B265="","",COUNTIF($N265:$R265,"Attended"))</f>
        <v>0</v>
      </c>
      <c r="V265" s="47" t="str">
        <f aca="false">IF($B265="","",_xlfn.TEXTJOIN(", ",TRUE(),IF($N265="Attended",Setup!$D$15,""),IF($O265="Attended",Setup!$D$16,""),IF($P265="Attended",Setup!$D$17,""),IF($Q265="Attended",Setup!$D$18,""),IF($R265="Attended",Setup!$D$19,"")))</f>
        <v/>
      </c>
      <c r="W265" s="48" t="str">
        <f aca="true">IF(OR($B265="",NOT(ISNUMBER($H265))),"",TODAY()-$H265)</f>
        <v/>
      </c>
      <c r="X265" s="47" t="str">
        <f aca="false">IF($B265="","",IF($U265&gt;0,"Event attendee",IF($G265="Yes","Met (no event)",IF($T265&gt;0,"Invited only",IF(OR($L265="Yes",$M265="Yes"),"Contacted only","Not yet contacted")))))</f>
        <v>Contacted only</v>
      </c>
      <c r="Y265" s="47" t="n">
        <f aca="false">IF($B265="","",COUNTIF(c_Firm,"&lt;"&amp;$D265)+COUNTIFS(c_Firm,$D265,c_Name,"&lt;"&amp;$B265)+COUNTIFS($D$2:$D265,$D265,$B$2:$B265,$B265))</f>
        <v>264</v>
      </c>
      <c r="Z265" s="47" t="n">
        <f aca="false">IF($B265="","",IF(AND(OR(Contacts!$C$3="(All)",$D265=Contacts!$C$3),OR(Contacts!$E$3="(All)",$G265=Contacts!$E$3),OR(Contacts!$G$3="(All)",ISNUMBER(SEARCH(Contacts!$G$3,$V265))),OR(Contacts!$I$3="(All)",$X265=Contacts!$I$3),OR(Contacts!$K$3="",ISNUMBER(SEARCH(Contacts!$K$3,$B265&amp;" "&amp;$C265&amp;" "&amp;$D265&amp;" "&amp;$S265)))),1,0))</f>
        <v>1</v>
      </c>
      <c r="AA265" s="47" t="n">
        <f aca="false">IF($Z265=1,COUNTIFS(c_Pass,1,c_Sort,"&lt;="&amp;$Y265),"")</f>
        <v>264</v>
      </c>
      <c r="AB265" s="47" t="str">
        <f aca="false">IF(OR($G265&lt;&gt;"Yes",NOT(ISNUMBER($H265))),"",COUNTIFS(c_Met,"Yes",c_Date,"&lt;"&amp;$H265)+COUNTIFS($G$2:$G265,"Yes",$H$2:$H265,$H265))</f>
        <v/>
      </c>
    </row>
    <row r="266" customFormat="false" ht="15" hidden="false" customHeight="false" outlineLevel="0" collapsed="false">
      <c r="A266" s="44" t="n">
        <f aca="false">IF($B266="","",COUNTA($B$2:$B266))</f>
        <v>265</v>
      </c>
      <c r="B266" s="11" t="s">
        <v>693</v>
      </c>
      <c r="C266" s="11" t="s">
        <v>694</v>
      </c>
      <c r="D266" s="11" t="s">
        <v>26</v>
      </c>
      <c r="E266" s="11" t="s">
        <v>131</v>
      </c>
      <c r="F266" s="11" t="s">
        <v>70</v>
      </c>
      <c r="G266" s="34" t="s">
        <v>132</v>
      </c>
      <c r="H266" s="25"/>
      <c r="I266" s="40" t="n">
        <v>0</v>
      </c>
      <c r="J266" s="34" t="s">
        <v>132</v>
      </c>
      <c r="K266" s="45"/>
      <c r="L266" s="34" t="s">
        <v>142</v>
      </c>
      <c r="M266" s="34"/>
      <c r="N266" s="11" t="s">
        <v>133</v>
      </c>
      <c r="O266" s="11" t="s">
        <v>133</v>
      </c>
      <c r="P266" s="11" t="s">
        <v>133</v>
      </c>
      <c r="Q266" s="11" t="s">
        <v>133</v>
      </c>
      <c r="R266" s="11" t="s">
        <v>133</v>
      </c>
      <c r="S266" s="46"/>
      <c r="T266" s="44" t="n">
        <f aca="false">IF($B266="","",COUNTA($N266:$R266)-COUNTIF($N266:$R266,"Not Invited"))</f>
        <v>0</v>
      </c>
      <c r="U266" s="44" t="n">
        <f aca="false">IF($B266="","",COUNTIF($N266:$R266,"Attended"))</f>
        <v>0</v>
      </c>
      <c r="V266" s="47" t="str">
        <f aca="false">IF($B266="","",_xlfn.TEXTJOIN(", ",TRUE(),IF($N266="Attended",Setup!$D$15,""),IF($O266="Attended",Setup!$D$16,""),IF($P266="Attended",Setup!$D$17,""),IF($Q266="Attended",Setup!$D$18,""),IF($R266="Attended",Setup!$D$19,"")))</f>
        <v/>
      </c>
      <c r="W266" s="48" t="str">
        <f aca="true">IF(OR($B266="",NOT(ISNUMBER($H266))),"",TODAY()-$H266)</f>
        <v/>
      </c>
      <c r="X266" s="47" t="str">
        <f aca="false">IF($B266="","",IF($U266&gt;0,"Event attendee",IF($G266="Yes","Met (no event)",IF($T266&gt;0,"Invited only",IF(OR($L266="Yes",$M266="Yes"),"Contacted only","Not yet contacted")))))</f>
        <v>Contacted only</v>
      </c>
      <c r="Y266" s="47" t="n">
        <f aca="false">IF($B266="","",COUNTIF(c_Firm,"&lt;"&amp;$D266)+COUNTIFS(c_Firm,$D266,c_Name,"&lt;"&amp;$B266)+COUNTIFS($D$2:$D266,$D266,$B$2:$B266,$B266))</f>
        <v>265</v>
      </c>
      <c r="Z266" s="47" t="n">
        <f aca="false">IF($B266="","",IF(AND(OR(Contacts!$C$3="(All)",$D266=Contacts!$C$3),OR(Contacts!$E$3="(All)",$G266=Contacts!$E$3),OR(Contacts!$G$3="(All)",ISNUMBER(SEARCH(Contacts!$G$3,$V266))),OR(Contacts!$I$3="(All)",$X266=Contacts!$I$3),OR(Contacts!$K$3="",ISNUMBER(SEARCH(Contacts!$K$3,$B266&amp;" "&amp;$C266&amp;" "&amp;$D266&amp;" "&amp;$S266)))),1,0))</f>
        <v>1</v>
      </c>
      <c r="AA266" s="47" t="n">
        <f aca="false">IF($Z266=1,COUNTIFS(c_Pass,1,c_Sort,"&lt;="&amp;$Y266),"")</f>
        <v>265</v>
      </c>
      <c r="AB266" s="47" t="str">
        <f aca="false">IF(OR($G266&lt;&gt;"Yes",NOT(ISNUMBER($H266))),"",COUNTIFS(c_Met,"Yes",c_Date,"&lt;"&amp;$H266)+COUNTIFS($G$2:$G266,"Yes",$H$2:$H266,$H266))</f>
        <v/>
      </c>
    </row>
    <row r="267" customFormat="false" ht="15" hidden="false" customHeight="false" outlineLevel="0" collapsed="false">
      <c r="A267" s="44" t="n">
        <f aca="false">IF($B267="","",COUNTA($B$2:$B267))</f>
        <v>266</v>
      </c>
      <c r="B267" s="11" t="s">
        <v>695</v>
      </c>
      <c r="C267" s="11" t="s">
        <v>696</v>
      </c>
      <c r="D267" s="11" t="s">
        <v>26</v>
      </c>
      <c r="E267" s="11" t="s">
        <v>131</v>
      </c>
      <c r="F267" s="11" t="s">
        <v>207</v>
      </c>
      <c r="G267" s="34" t="s">
        <v>142</v>
      </c>
      <c r="H267" s="25" t="n">
        <v>45933</v>
      </c>
      <c r="I267" s="40" t="n">
        <v>1</v>
      </c>
      <c r="J267" s="34" t="s">
        <v>132</v>
      </c>
      <c r="K267" s="45" t="n">
        <v>40000000</v>
      </c>
      <c r="L267" s="34"/>
      <c r="M267" s="34"/>
      <c r="N267" s="11" t="s">
        <v>55</v>
      </c>
      <c r="O267" s="11" t="s">
        <v>55</v>
      </c>
      <c r="P267" s="11" t="s">
        <v>133</v>
      </c>
      <c r="Q267" s="11" t="s">
        <v>133</v>
      </c>
      <c r="R267" s="11" t="s">
        <v>133</v>
      </c>
      <c r="S267" s="46" t="s">
        <v>697</v>
      </c>
      <c r="T267" s="44" t="n">
        <f aca="false">IF($B267="","",COUNTA($N267:$R267)-COUNTIF($N267:$R267,"Not Invited"))</f>
        <v>2</v>
      </c>
      <c r="U267" s="44" t="n">
        <f aca="false">IF($B267="","",COUNTIF($N267:$R267,"Attended"))</f>
        <v>2</v>
      </c>
      <c r="V267" s="47" t="str">
        <f aca="false">IF($B267="","",_xlfn.TEXTJOIN(", ",TRUE(),IF($N267="Attended",Setup!$D$15,""),IF($O267="Attended",Setup!$D$16,""),IF($P267="Attended",Setup!$D$17,""),IF($Q267="Attended",Setup!$D$18,""),IF($R267="Attended",Setup!$D$19,"")))</f>
        <v>Oct-25 Symposium, May-26 Symposium</v>
      </c>
      <c r="W267" s="48" t="n">
        <f aca="true">IF(OR($B267="",NOT(ISNUMBER($H267))),"",TODAY()-$H267)</f>
        <v>308</v>
      </c>
      <c r="X267" s="47" t="str">
        <f aca="false">IF($B267="","",IF($U267&gt;0,"Event attendee",IF($G267="Yes","Met (no event)",IF($T267&gt;0,"Invited only",IF(OR($L267="Yes",$M267="Yes"),"Contacted only","Not yet contacted")))))</f>
        <v>Event attendee</v>
      </c>
      <c r="Y267" s="47" t="n">
        <f aca="false">IF($B267="","",COUNTIF(c_Firm,"&lt;"&amp;$D267)+COUNTIFS(c_Firm,$D267,c_Name,"&lt;"&amp;$B267)+COUNTIFS($D$2:$D267,$D267,$B$2:$B267,$B267))</f>
        <v>266</v>
      </c>
      <c r="Z267" s="47" t="n">
        <f aca="false">IF($B267="","",IF(AND(OR(Contacts!$C$3="(All)",$D267=Contacts!$C$3),OR(Contacts!$E$3="(All)",$G267=Contacts!$E$3),OR(Contacts!$G$3="(All)",ISNUMBER(SEARCH(Contacts!$G$3,$V267))),OR(Contacts!$I$3="(All)",$X267=Contacts!$I$3),OR(Contacts!$K$3="",ISNUMBER(SEARCH(Contacts!$K$3,$B267&amp;" "&amp;$C267&amp;" "&amp;$D267&amp;" "&amp;$S267)))),1,0))</f>
        <v>1</v>
      </c>
      <c r="AA267" s="47" t="n">
        <f aca="false">IF($Z267=1,COUNTIFS(c_Pass,1,c_Sort,"&lt;="&amp;$Y267),"")</f>
        <v>266</v>
      </c>
      <c r="AB267" s="47" t="n">
        <f aca="false">IF(OR($G267&lt;&gt;"Yes",NOT(ISNUMBER($H267))),"",COUNTIFS(c_Met,"Yes",c_Date,"&lt;"&amp;$H267)+COUNTIFS($G$2:$G267,"Yes",$H$2:$H267,$H267))</f>
        <v>26</v>
      </c>
    </row>
    <row r="268" customFormat="false" ht="15" hidden="false" customHeight="false" outlineLevel="0" collapsed="false">
      <c r="A268" s="44" t="n">
        <f aca="false">IF($B268="","",COUNTA($B$2:$B268))</f>
        <v>267</v>
      </c>
      <c r="B268" s="11" t="s">
        <v>698</v>
      </c>
      <c r="C268" s="11" t="s">
        <v>699</v>
      </c>
      <c r="D268" s="11" t="s">
        <v>26</v>
      </c>
      <c r="E268" s="11" t="s">
        <v>131</v>
      </c>
      <c r="F268" s="11" t="s">
        <v>70</v>
      </c>
      <c r="G268" s="34" t="s">
        <v>132</v>
      </c>
      <c r="H268" s="25"/>
      <c r="I268" s="40" t="n">
        <v>0</v>
      </c>
      <c r="J268" s="34" t="s">
        <v>132</v>
      </c>
      <c r="K268" s="45"/>
      <c r="L268" s="34" t="s">
        <v>142</v>
      </c>
      <c r="M268" s="34"/>
      <c r="N268" s="11" t="s">
        <v>133</v>
      </c>
      <c r="O268" s="11" t="s">
        <v>133</v>
      </c>
      <c r="P268" s="11" t="s">
        <v>133</v>
      </c>
      <c r="Q268" s="11" t="s">
        <v>133</v>
      </c>
      <c r="R268" s="11" t="s">
        <v>133</v>
      </c>
      <c r="S268" s="46"/>
      <c r="T268" s="44" t="n">
        <f aca="false">IF($B268="","",COUNTA($N268:$R268)-COUNTIF($N268:$R268,"Not Invited"))</f>
        <v>0</v>
      </c>
      <c r="U268" s="44" t="n">
        <f aca="false">IF($B268="","",COUNTIF($N268:$R268,"Attended"))</f>
        <v>0</v>
      </c>
      <c r="V268" s="47" t="str">
        <f aca="false">IF($B268="","",_xlfn.TEXTJOIN(", ",TRUE(),IF($N268="Attended",Setup!$D$15,""),IF($O268="Attended",Setup!$D$16,""),IF($P268="Attended",Setup!$D$17,""),IF($Q268="Attended",Setup!$D$18,""),IF($R268="Attended",Setup!$D$19,"")))</f>
        <v/>
      </c>
      <c r="W268" s="48" t="str">
        <f aca="true">IF(OR($B268="",NOT(ISNUMBER($H268))),"",TODAY()-$H268)</f>
        <v/>
      </c>
      <c r="X268" s="47" t="str">
        <f aca="false">IF($B268="","",IF($U268&gt;0,"Event attendee",IF($G268="Yes","Met (no event)",IF($T268&gt;0,"Invited only",IF(OR($L268="Yes",$M268="Yes"),"Contacted only","Not yet contacted")))))</f>
        <v>Contacted only</v>
      </c>
      <c r="Y268" s="47" t="n">
        <f aca="false">IF($B268="","",COUNTIF(c_Firm,"&lt;"&amp;$D268)+COUNTIFS(c_Firm,$D268,c_Name,"&lt;"&amp;$B268)+COUNTIFS($D$2:$D268,$D268,$B$2:$B268,$B268))</f>
        <v>267</v>
      </c>
      <c r="Z268" s="47" t="n">
        <f aca="false">IF($B268="","",IF(AND(OR(Contacts!$C$3="(All)",$D268=Contacts!$C$3),OR(Contacts!$E$3="(All)",$G268=Contacts!$E$3),OR(Contacts!$G$3="(All)",ISNUMBER(SEARCH(Contacts!$G$3,$V268))),OR(Contacts!$I$3="(All)",$X268=Contacts!$I$3),OR(Contacts!$K$3="",ISNUMBER(SEARCH(Contacts!$K$3,$B268&amp;" "&amp;$C268&amp;" "&amp;$D268&amp;" "&amp;$S268)))),1,0))</f>
        <v>1</v>
      </c>
      <c r="AA268" s="47" t="n">
        <f aca="false">IF($Z268=1,COUNTIFS(c_Pass,1,c_Sort,"&lt;="&amp;$Y268),"")</f>
        <v>267</v>
      </c>
      <c r="AB268" s="47" t="str">
        <f aca="false">IF(OR($G268&lt;&gt;"Yes",NOT(ISNUMBER($H268))),"",COUNTIFS(c_Met,"Yes",c_Date,"&lt;"&amp;$H268)+COUNTIFS($G$2:$G268,"Yes",$H$2:$H268,$H268))</f>
        <v/>
      </c>
    </row>
    <row r="269" customFormat="false" ht="15" hidden="false" customHeight="false" outlineLevel="0" collapsed="false">
      <c r="A269" s="44" t="n">
        <f aca="false">IF($B269="","",COUNTA($B$2:$B269))</f>
        <v>268</v>
      </c>
      <c r="B269" s="11" t="s">
        <v>700</v>
      </c>
      <c r="C269" s="11"/>
      <c r="D269" s="11" t="s">
        <v>26</v>
      </c>
      <c r="E269" s="11" t="s">
        <v>131</v>
      </c>
      <c r="F269" s="11" t="s">
        <v>72</v>
      </c>
      <c r="G269" s="34" t="s">
        <v>132</v>
      </c>
      <c r="H269" s="25"/>
      <c r="I269" s="40" t="n">
        <v>0</v>
      </c>
      <c r="J269" s="34" t="s">
        <v>132</v>
      </c>
      <c r="K269" s="45"/>
      <c r="L269" s="34"/>
      <c r="M269" s="34"/>
      <c r="N269" s="11" t="s">
        <v>133</v>
      </c>
      <c r="O269" s="11" t="s">
        <v>133</v>
      </c>
      <c r="P269" s="11" t="s">
        <v>133</v>
      </c>
      <c r="Q269" s="11" t="s">
        <v>133</v>
      </c>
      <c r="R269" s="11" t="s">
        <v>133</v>
      </c>
      <c r="S269" s="46" t="s">
        <v>526</v>
      </c>
      <c r="T269" s="44" t="n">
        <f aca="false">IF($B269="","",COUNTA($N269:$R269)-COUNTIF($N269:$R269,"Not Invited"))</f>
        <v>0</v>
      </c>
      <c r="U269" s="44" t="n">
        <f aca="false">IF($B269="","",COUNTIF($N269:$R269,"Attended"))</f>
        <v>0</v>
      </c>
      <c r="V269" s="47" t="str">
        <f aca="false">IF($B269="","",_xlfn.TEXTJOIN(", ",TRUE(),IF($N269="Attended",Setup!$D$15,""),IF($O269="Attended",Setup!$D$16,""),IF($P269="Attended",Setup!$D$17,""),IF($Q269="Attended",Setup!$D$18,""),IF($R269="Attended",Setup!$D$19,"")))</f>
        <v/>
      </c>
      <c r="W269" s="48" t="str">
        <f aca="true">IF(OR($B269="",NOT(ISNUMBER($H269))),"",TODAY()-$H269)</f>
        <v/>
      </c>
      <c r="X269" s="47" t="str">
        <f aca="false">IF($B269="","",IF($U269&gt;0,"Event attendee",IF($G269="Yes","Met (no event)",IF($T269&gt;0,"Invited only",IF(OR($L269="Yes",$M269="Yes"),"Contacted only","Not yet contacted")))))</f>
        <v>Not yet contacted</v>
      </c>
      <c r="Y269" s="47" t="n">
        <f aca="false">IF($B269="","",COUNTIF(c_Firm,"&lt;"&amp;$D269)+COUNTIFS(c_Firm,$D269,c_Name,"&lt;"&amp;$B269)+COUNTIFS($D$2:$D269,$D269,$B$2:$B269,$B269))</f>
        <v>268</v>
      </c>
      <c r="Z269" s="47" t="n">
        <f aca="false">IF($B269="","",IF(AND(OR(Contacts!$C$3="(All)",$D269=Contacts!$C$3),OR(Contacts!$E$3="(All)",$G269=Contacts!$E$3),OR(Contacts!$G$3="(All)",ISNUMBER(SEARCH(Contacts!$G$3,$V269))),OR(Contacts!$I$3="(All)",$X269=Contacts!$I$3),OR(Contacts!$K$3="",ISNUMBER(SEARCH(Contacts!$K$3,$B269&amp;" "&amp;$C269&amp;" "&amp;$D269&amp;" "&amp;$S269)))),1,0))</f>
        <v>1</v>
      </c>
      <c r="AA269" s="47" t="n">
        <f aca="false">IF($Z269=1,COUNTIFS(c_Pass,1,c_Sort,"&lt;="&amp;$Y269),"")</f>
        <v>268</v>
      </c>
      <c r="AB269" s="47" t="str">
        <f aca="false">IF(OR($G269&lt;&gt;"Yes",NOT(ISNUMBER($H269))),"",COUNTIFS(c_Met,"Yes",c_Date,"&lt;"&amp;$H269)+COUNTIFS($G$2:$G269,"Yes",$H$2:$H269,$H269))</f>
        <v/>
      </c>
    </row>
    <row r="270" customFormat="false" ht="15" hidden="false" customHeight="false" outlineLevel="0" collapsed="false">
      <c r="A270" s="44" t="n">
        <f aca="false">IF($B270="","",COUNTA($B$2:$B270))</f>
        <v>269</v>
      </c>
      <c r="B270" s="11" t="s">
        <v>701</v>
      </c>
      <c r="C270" s="11" t="s">
        <v>702</v>
      </c>
      <c r="D270" s="11" t="s">
        <v>26</v>
      </c>
      <c r="E270" s="11" t="s">
        <v>131</v>
      </c>
      <c r="F270" s="11" t="s">
        <v>70</v>
      </c>
      <c r="G270" s="34" t="s">
        <v>132</v>
      </c>
      <c r="H270" s="25"/>
      <c r="I270" s="40" t="n">
        <v>0</v>
      </c>
      <c r="J270" s="34" t="s">
        <v>132</v>
      </c>
      <c r="K270" s="45"/>
      <c r="L270" s="34" t="s">
        <v>142</v>
      </c>
      <c r="M270" s="34"/>
      <c r="N270" s="11" t="s">
        <v>133</v>
      </c>
      <c r="O270" s="11" t="s">
        <v>133</v>
      </c>
      <c r="P270" s="11" t="s">
        <v>133</v>
      </c>
      <c r="Q270" s="11" t="s">
        <v>133</v>
      </c>
      <c r="R270" s="11" t="s">
        <v>133</v>
      </c>
      <c r="S270" s="46"/>
      <c r="T270" s="44" t="n">
        <f aca="false">IF($B270="","",COUNTA($N270:$R270)-COUNTIF($N270:$R270,"Not Invited"))</f>
        <v>0</v>
      </c>
      <c r="U270" s="44" t="n">
        <f aca="false">IF($B270="","",COUNTIF($N270:$R270,"Attended"))</f>
        <v>0</v>
      </c>
      <c r="V270" s="47" t="str">
        <f aca="false">IF($B270="","",_xlfn.TEXTJOIN(", ",TRUE(),IF($N270="Attended",Setup!$D$15,""),IF($O270="Attended",Setup!$D$16,""),IF($P270="Attended",Setup!$D$17,""),IF($Q270="Attended",Setup!$D$18,""),IF($R270="Attended",Setup!$D$19,"")))</f>
        <v/>
      </c>
      <c r="W270" s="48" t="str">
        <f aca="true">IF(OR($B270="",NOT(ISNUMBER($H270))),"",TODAY()-$H270)</f>
        <v/>
      </c>
      <c r="X270" s="47" t="str">
        <f aca="false">IF($B270="","",IF($U270&gt;0,"Event attendee",IF($G270="Yes","Met (no event)",IF($T270&gt;0,"Invited only",IF(OR($L270="Yes",$M270="Yes"),"Contacted only","Not yet contacted")))))</f>
        <v>Contacted only</v>
      </c>
      <c r="Y270" s="47" t="n">
        <f aca="false">IF($B270="","",COUNTIF(c_Firm,"&lt;"&amp;$D270)+COUNTIFS(c_Firm,$D270,c_Name,"&lt;"&amp;$B270)+COUNTIFS($D$2:$D270,$D270,$B$2:$B270,$B270))</f>
        <v>269</v>
      </c>
      <c r="Z270" s="47" t="n">
        <f aca="false">IF($B270="","",IF(AND(OR(Contacts!$C$3="(All)",$D270=Contacts!$C$3),OR(Contacts!$E$3="(All)",$G270=Contacts!$E$3),OR(Contacts!$G$3="(All)",ISNUMBER(SEARCH(Contacts!$G$3,$V270))),OR(Contacts!$I$3="(All)",$X270=Contacts!$I$3),OR(Contacts!$K$3="",ISNUMBER(SEARCH(Contacts!$K$3,$B270&amp;" "&amp;$C270&amp;" "&amp;$D270&amp;" "&amp;$S270)))),1,0))</f>
        <v>1</v>
      </c>
      <c r="AA270" s="47" t="n">
        <f aca="false">IF($Z270=1,COUNTIFS(c_Pass,1,c_Sort,"&lt;="&amp;$Y270),"")</f>
        <v>269</v>
      </c>
      <c r="AB270" s="47" t="str">
        <f aca="false">IF(OR($G270&lt;&gt;"Yes",NOT(ISNUMBER($H270))),"",COUNTIFS(c_Met,"Yes",c_Date,"&lt;"&amp;$H270)+COUNTIFS($G$2:$G270,"Yes",$H$2:$H270,$H270))</f>
        <v/>
      </c>
    </row>
    <row r="271" customFormat="false" ht="15" hidden="false" customHeight="false" outlineLevel="0" collapsed="false">
      <c r="A271" s="44" t="n">
        <f aca="false">IF($B271="","",COUNTA($B$2:$B271))</f>
        <v>270</v>
      </c>
      <c r="B271" s="11" t="s">
        <v>703</v>
      </c>
      <c r="C271" s="11" t="s">
        <v>704</v>
      </c>
      <c r="D271" s="11" t="s">
        <v>26</v>
      </c>
      <c r="E271" s="11" t="s">
        <v>131</v>
      </c>
      <c r="F271" s="11" t="s">
        <v>70</v>
      </c>
      <c r="G271" s="34" t="s">
        <v>132</v>
      </c>
      <c r="H271" s="25"/>
      <c r="I271" s="40" t="n">
        <v>0</v>
      </c>
      <c r="J271" s="34" t="s">
        <v>132</v>
      </c>
      <c r="K271" s="45"/>
      <c r="L271" s="34" t="s">
        <v>142</v>
      </c>
      <c r="M271" s="34"/>
      <c r="N271" s="11" t="s">
        <v>133</v>
      </c>
      <c r="O271" s="11" t="s">
        <v>133</v>
      </c>
      <c r="P271" s="11" t="s">
        <v>133</v>
      </c>
      <c r="Q271" s="11" t="s">
        <v>133</v>
      </c>
      <c r="R271" s="11" t="s">
        <v>133</v>
      </c>
      <c r="S271" s="46"/>
      <c r="T271" s="44" t="n">
        <f aca="false">IF($B271="","",COUNTA($N271:$R271)-COUNTIF($N271:$R271,"Not Invited"))</f>
        <v>0</v>
      </c>
      <c r="U271" s="44" t="n">
        <f aca="false">IF($B271="","",COUNTIF($N271:$R271,"Attended"))</f>
        <v>0</v>
      </c>
      <c r="V271" s="47" t="str">
        <f aca="false">IF($B271="","",_xlfn.TEXTJOIN(", ",TRUE(),IF($N271="Attended",Setup!$D$15,""),IF($O271="Attended",Setup!$D$16,""),IF($P271="Attended",Setup!$D$17,""),IF($Q271="Attended",Setup!$D$18,""),IF($R271="Attended",Setup!$D$19,"")))</f>
        <v/>
      </c>
      <c r="W271" s="48" t="str">
        <f aca="true">IF(OR($B271="",NOT(ISNUMBER($H271))),"",TODAY()-$H271)</f>
        <v/>
      </c>
      <c r="X271" s="47" t="str">
        <f aca="false">IF($B271="","",IF($U271&gt;0,"Event attendee",IF($G271="Yes","Met (no event)",IF($T271&gt;0,"Invited only",IF(OR($L271="Yes",$M271="Yes"),"Contacted only","Not yet contacted")))))</f>
        <v>Contacted only</v>
      </c>
      <c r="Y271" s="47" t="n">
        <f aca="false">IF($B271="","",COUNTIF(c_Firm,"&lt;"&amp;$D271)+COUNTIFS(c_Firm,$D271,c_Name,"&lt;"&amp;$B271)+COUNTIFS($D$2:$D271,$D271,$B$2:$B271,$B271))</f>
        <v>270</v>
      </c>
      <c r="Z271" s="47" t="n">
        <f aca="false">IF($B271="","",IF(AND(OR(Contacts!$C$3="(All)",$D271=Contacts!$C$3),OR(Contacts!$E$3="(All)",$G271=Contacts!$E$3),OR(Contacts!$G$3="(All)",ISNUMBER(SEARCH(Contacts!$G$3,$V271))),OR(Contacts!$I$3="(All)",$X271=Contacts!$I$3),OR(Contacts!$K$3="",ISNUMBER(SEARCH(Contacts!$K$3,$B271&amp;" "&amp;$C271&amp;" "&amp;$D271&amp;" "&amp;$S271)))),1,0))</f>
        <v>1</v>
      </c>
      <c r="AA271" s="47" t="n">
        <f aca="false">IF($Z271=1,COUNTIFS(c_Pass,1,c_Sort,"&lt;="&amp;$Y271),"")</f>
        <v>270</v>
      </c>
      <c r="AB271" s="47" t="str">
        <f aca="false">IF(OR($G271&lt;&gt;"Yes",NOT(ISNUMBER($H271))),"",COUNTIFS(c_Met,"Yes",c_Date,"&lt;"&amp;$H271)+COUNTIFS($G$2:$G271,"Yes",$H$2:$H271,$H271))</f>
        <v/>
      </c>
    </row>
    <row r="272" customFormat="false" ht="15" hidden="false" customHeight="false" outlineLevel="0" collapsed="false">
      <c r="A272" s="44" t="n">
        <f aca="false">IF($B272="","",COUNTA($B$2:$B272))</f>
        <v>271</v>
      </c>
      <c r="B272" s="11" t="s">
        <v>705</v>
      </c>
      <c r="C272" s="11" t="s">
        <v>706</v>
      </c>
      <c r="D272" s="11" t="s">
        <v>26</v>
      </c>
      <c r="E272" s="11" t="s">
        <v>131</v>
      </c>
      <c r="F272" s="11" t="s">
        <v>70</v>
      </c>
      <c r="G272" s="34" t="s">
        <v>132</v>
      </c>
      <c r="H272" s="25"/>
      <c r="I272" s="40" t="n">
        <v>0</v>
      </c>
      <c r="J272" s="34" t="s">
        <v>132</v>
      </c>
      <c r="K272" s="45"/>
      <c r="L272" s="34" t="s">
        <v>142</v>
      </c>
      <c r="M272" s="34"/>
      <c r="N272" s="11" t="s">
        <v>133</v>
      </c>
      <c r="O272" s="11" t="s">
        <v>133</v>
      </c>
      <c r="P272" s="11" t="s">
        <v>133</v>
      </c>
      <c r="Q272" s="11" t="s">
        <v>133</v>
      </c>
      <c r="R272" s="11" t="s">
        <v>133</v>
      </c>
      <c r="S272" s="46"/>
      <c r="T272" s="44" t="n">
        <f aca="false">IF($B272="","",COUNTA($N272:$R272)-COUNTIF($N272:$R272,"Not Invited"))</f>
        <v>0</v>
      </c>
      <c r="U272" s="44" t="n">
        <f aca="false">IF($B272="","",COUNTIF($N272:$R272,"Attended"))</f>
        <v>0</v>
      </c>
      <c r="V272" s="47" t="str">
        <f aca="false">IF($B272="","",_xlfn.TEXTJOIN(", ",TRUE(),IF($N272="Attended",Setup!$D$15,""),IF($O272="Attended",Setup!$D$16,""),IF($P272="Attended",Setup!$D$17,""),IF($Q272="Attended",Setup!$D$18,""),IF($R272="Attended",Setup!$D$19,"")))</f>
        <v/>
      </c>
      <c r="W272" s="48" t="str">
        <f aca="true">IF(OR($B272="",NOT(ISNUMBER($H272))),"",TODAY()-$H272)</f>
        <v/>
      </c>
      <c r="X272" s="47" t="str">
        <f aca="false">IF($B272="","",IF($U272&gt;0,"Event attendee",IF($G272="Yes","Met (no event)",IF($T272&gt;0,"Invited only",IF(OR($L272="Yes",$M272="Yes"),"Contacted only","Not yet contacted")))))</f>
        <v>Contacted only</v>
      </c>
      <c r="Y272" s="47" t="n">
        <f aca="false">IF($B272="","",COUNTIF(c_Firm,"&lt;"&amp;$D272)+COUNTIFS(c_Firm,$D272,c_Name,"&lt;"&amp;$B272)+COUNTIFS($D$2:$D272,$D272,$B$2:$B272,$B272))</f>
        <v>271</v>
      </c>
      <c r="Z272" s="47" t="n">
        <f aca="false">IF($B272="","",IF(AND(OR(Contacts!$C$3="(All)",$D272=Contacts!$C$3),OR(Contacts!$E$3="(All)",$G272=Contacts!$E$3),OR(Contacts!$G$3="(All)",ISNUMBER(SEARCH(Contacts!$G$3,$V272))),OR(Contacts!$I$3="(All)",$X272=Contacts!$I$3),OR(Contacts!$K$3="",ISNUMBER(SEARCH(Contacts!$K$3,$B272&amp;" "&amp;$C272&amp;" "&amp;$D272&amp;" "&amp;$S272)))),1,0))</f>
        <v>1</v>
      </c>
      <c r="AA272" s="47" t="n">
        <f aca="false">IF($Z272=1,COUNTIFS(c_Pass,1,c_Sort,"&lt;="&amp;$Y272),"")</f>
        <v>271</v>
      </c>
      <c r="AB272" s="47" t="str">
        <f aca="false">IF(OR($G272&lt;&gt;"Yes",NOT(ISNUMBER($H272))),"",COUNTIFS(c_Met,"Yes",c_Date,"&lt;"&amp;$H272)+COUNTIFS($G$2:$G272,"Yes",$H$2:$H272,$H272))</f>
        <v/>
      </c>
    </row>
    <row r="273" customFormat="false" ht="15" hidden="false" customHeight="false" outlineLevel="0" collapsed="false">
      <c r="A273" s="44" t="n">
        <f aca="false">IF($B273="","",COUNTA($B$2:$B273))</f>
        <v>272</v>
      </c>
      <c r="B273" s="11" t="s">
        <v>707</v>
      </c>
      <c r="C273" s="11" t="s">
        <v>708</v>
      </c>
      <c r="D273" s="11" t="s">
        <v>26</v>
      </c>
      <c r="E273" s="11" t="s">
        <v>131</v>
      </c>
      <c r="F273" s="11" t="s">
        <v>141</v>
      </c>
      <c r="G273" s="34" t="s">
        <v>142</v>
      </c>
      <c r="H273" s="25" t="n">
        <v>45838</v>
      </c>
      <c r="I273" s="40" t="n">
        <v>1</v>
      </c>
      <c r="J273" s="34" t="s">
        <v>132</v>
      </c>
      <c r="K273" s="45" t="n">
        <v>40000000</v>
      </c>
      <c r="L273" s="34"/>
      <c r="M273" s="34"/>
      <c r="N273" s="11" t="s">
        <v>57</v>
      </c>
      <c r="O273" s="11" t="s">
        <v>57</v>
      </c>
      <c r="P273" s="11" t="s">
        <v>133</v>
      </c>
      <c r="Q273" s="11" t="s">
        <v>133</v>
      </c>
      <c r="R273" s="11" t="s">
        <v>133</v>
      </c>
      <c r="S273" s="46"/>
      <c r="T273" s="44" t="n">
        <f aca="false">IF($B273="","",COUNTA($N273:$R273)-COUNTIF($N273:$R273,"Not Invited"))</f>
        <v>2</v>
      </c>
      <c r="U273" s="44" t="n">
        <f aca="false">IF($B273="","",COUNTIF($N273:$R273,"Attended"))</f>
        <v>0</v>
      </c>
      <c r="V273" s="47" t="str">
        <f aca="false">IF($B273="","",_xlfn.TEXTJOIN(", ",TRUE(),IF($N273="Attended",Setup!$D$15,""),IF($O273="Attended",Setup!$D$16,""),IF($P273="Attended",Setup!$D$17,""),IF($Q273="Attended",Setup!$D$18,""),IF($R273="Attended",Setup!$D$19,"")))</f>
        <v/>
      </c>
      <c r="W273" s="48" t="n">
        <f aca="true">IF(OR($B273="",NOT(ISNUMBER($H273))),"",TODAY()-$H273)</f>
        <v>403</v>
      </c>
      <c r="X273" s="47" t="str">
        <f aca="false">IF($B273="","",IF($U273&gt;0,"Event attendee",IF($G273="Yes","Met (no event)",IF($T273&gt;0,"Invited only",IF(OR($L273="Yes",$M273="Yes"),"Contacted only","Not yet contacted")))))</f>
        <v>Met (no event)</v>
      </c>
      <c r="Y273" s="47" t="n">
        <f aca="false">IF($B273="","",COUNTIF(c_Firm,"&lt;"&amp;$D273)+COUNTIFS(c_Firm,$D273,c_Name,"&lt;"&amp;$B273)+COUNTIFS($D$2:$D273,$D273,$B$2:$B273,$B273))</f>
        <v>272</v>
      </c>
      <c r="Z273" s="47" t="n">
        <f aca="false">IF($B273="","",IF(AND(OR(Contacts!$C$3="(All)",$D273=Contacts!$C$3),OR(Contacts!$E$3="(All)",$G273=Contacts!$E$3),OR(Contacts!$G$3="(All)",ISNUMBER(SEARCH(Contacts!$G$3,$V273))),OR(Contacts!$I$3="(All)",$X273=Contacts!$I$3),OR(Contacts!$K$3="",ISNUMBER(SEARCH(Contacts!$K$3,$B273&amp;" "&amp;$C273&amp;" "&amp;$D273&amp;" "&amp;$S273)))),1,0))</f>
        <v>1</v>
      </c>
      <c r="AA273" s="47" t="n">
        <f aca="false">IF($Z273=1,COUNTIFS(c_Pass,1,c_Sort,"&lt;="&amp;$Y273),"")</f>
        <v>272</v>
      </c>
      <c r="AB273" s="47" t="n">
        <f aca="false">IF(OR($G273&lt;&gt;"Yes",NOT(ISNUMBER($H273))),"",COUNTIFS(c_Met,"Yes",c_Date,"&lt;"&amp;$H273)+COUNTIFS($G$2:$G273,"Yes",$H$2:$H273,$H273))</f>
        <v>9</v>
      </c>
    </row>
    <row r="274" customFormat="false" ht="15" hidden="false" customHeight="false" outlineLevel="0" collapsed="false">
      <c r="A274" s="44" t="n">
        <f aca="false">IF($B274="","",COUNTA($B$2:$B274))</f>
        <v>273</v>
      </c>
      <c r="B274" s="11" t="s">
        <v>709</v>
      </c>
      <c r="C274" s="11"/>
      <c r="D274" s="11" t="s">
        <v>26</v>
      </c>
      <c r="E274" s="11" t="s">
        <v>193</v>
      </c>
      <c r="F274" s="11" t="s">
        <v>68</v>
      </c>
      <c r="G274" s="34" t="s">
        <v>132</v>
      </c>
      <c r="H274" s="25"/>
      <c r="I274" s="40" t="n">
        <v>0</v>
      </c>
      <c r="J274" s="34" t="s">
        <v>132</v>
      </c>
      <c r="K274" s="45"/>
      <c r="L274" s="34"/>
      <c r="M274" s="34" t="s">
        <v>142</v>
      </c>
      <c r="N274" s="11" t="s">
        <v>133</v>
      </c>
      <c r="O274" s="11" t="s">
        <v>133</v>
      </c>
      <c r="P274" s="11" t="s">
        <v>133</v>
      </c>
      <c r="Q274" s="11" t="s">
        <v>133</v>
      </c>
      <c r="R274" s="11" t="s">
        <v>133</v>
      </c>
      <c r="S274" s="46" t="s">
        <v>710</v>
      </c>
      <c r="T274" s="44" t="n">
        <f aca="false">IF($B274="","",COUNTA($N274:$R274)-COUNTIF($N274:$R274,"Not Invited"))</f>
        <v>0</v>
      </c>
      <c r="U274" s="44" t="n">
        <f aca="false">IF($B274="","",COUNTIF($N274:$R274,"Attended"))</f>
        <v>0</v>
      </c>
      <c r="V274" s="47" t="str">
        <f aca="false">IF($B274="","",_xlfn.TEXTJOIN(", ",TRUE(),IF($N274="Attended",Setup!$D$15,""),IF($O274="Attended",Setup!$D$16,""),IF($P274="Attended",Setup!$D$17,""),IF($Q274="Attended",Setup!$D$18,""),IF($R274="Attended",Setup!$D$19,"")))</f>
        <v/>
      </c>
      <c r="W274" s="48" t="str">
        <f aca="true">IF(OR($B274="",NOT(ISNUMBER($H274))),"",TODAY()-$H274)</f>
        <v/>
      </c>
      <c r="X274" s="47" t="str">
        <f aca="false">IF($B274="","",IF($U274&gt;0,"Event attendee",IF($G274="Yes","Met (no event)",IF($T274&gt;0,"Invited only",IF(OR($L274="Yes",$M274="Yes"),"Contacted only","Not yet contacted")))))</f>
        <v>Contacted only</v>
      </c>
      <c r="Y274" s="47" t="n">
        <f aca="false">IF($B274="","",COUNTIF(c_Firm,"&lt;"&amp;$D274)+COUNTIFS(c_Firm,$D274,c_Name,"&lt;"&amp;$B274)+COUNTIFS($D$2:$D274,$D274,$B$2:$B274,$B274))</f>
        <v>273</v>
      </c>
      <c r="Z274" s="47" t="n">
        <f aca="false">IF($B274="","",IF(AND(OR(Contacts!$C$3="(All)",$D274=Contacts!$C$3),OR(Contacts!$E$3="(All)",$G274=Contacts!$E$3),OR(Contacts!$G$3="(All)",ISNUMBER(SEARCH(Contacts!$G$3,$V274))),OR(Contacts!$I$3="(All)",$X274=Contacts!$I$3),OR(Contacts!$K$3="",ISNUMBER(SEARCH(Contacts!$K$3,$B274&amp;" "&amp;$C274&amp;" "&amp;$D274&amp;" "&amp;$S274)))),1,0))</f>
        <v>1</v>
      </c>
      <c r="AA274" s="47" t="n">
        <f aca="false">IF($Z274=1,COUNTIFS(c_Pass,1,c_Sort,"&lt;="&amp;$Y274),"")</f>
        <v>273</v>
      </c>
      <c r="AB274" s="47" t="str">
        <f aca="false">IF(OR($G274&lt;&gt;"Yes",NOT(ISNUMBER($H274))),"",COUNTIFS(c_Met,"Yes",c_Date,"&lt;"&amp;$H274)+COUNTIFS($G$2:$G274,"Yes",$H$2:$H274,$H274))</f>
        <v/>
      </c>
    </row>
    <row r="275" customFormat="false" ht="15" hidden="false" customHeight="false" outlineLevel="0" collapsed="false">
      <c r="A275" s="44" t="n">
        <f aca="false">IF($B275="","",COUNTA($B$2:$B275))</f>
        <v>274</v>
      </c>
      <c r="B275" s="11" t="s">
        <v>711</v>
      </c>
      <c r="C275" s="11"/>
      <c r="D275" s="11" t="s">
        <v>26</v>
      </c>
      <c r="E275" s="11" t="s">
        <v>193</v>
      </c>
      <c r="F275" s="11" t="s">
        <v>68</v>
      </c>
      <c r="G275" s="34" t="s">
        <v>132</v>
      </c>
      <c r="H275" s="25"/>
      <c r="I275" s="40" t="n">
        <v>0</v>
      </c>
      <c r="J275" s="34" t="s">
        <v>132</v>
      </c>
      <c r="K275" s="45"/>
      <c r="L275" s="34"/>
      <c r="M275" s="34" t="s">
        <v>142</v>
      </c>
      <c r="N275" s="11" t="s">
        <v>133</v>
      </c>
      <c r="O275" s="11" t="s">
        <v>133</v>
      </c>
      <c r="P275" s="11" t="s">
        <v>133</v>
      </c>
      <c r="Q275" s="11" t="s">
        <v>133</v>
      </c>
      <c r="R275" s="11" t="s">
        <v>133</v>
      </c>
      <c r="S275" s="46" t="s">
        <v>712</v>
      </c>
      <c r="T275" s="44" t="n">
        <f aca="false">IF($B275="","",COUNTA($N275:$R275)-COUNTIF($N275:$R275,"Not Invited"))</f>
        <v>0</v>
      </c>
      <c r="U275" s="44" t="n">
        <f aca="false">IF($B275="","",COUNTIF($N275:$R275,"Attended"))</f>
        <v>0</v>
      </c>
      <c r="V275" s="47" t="str">
        <f aca="false">IF($B275="","",_xlfn.TEXTJOIN(", ",TRUE(),IF($N275="Attended",Setup!$D$15,""),IF($O275="Attended",Setup!$D$16,""),IF($P275="Attended",Setup!$D$17,""),IF($Q275="Attended",Setup!$D$18,""),IF($R275="Attended",Setup!$D$19,"")))</f>
        <v/>
      </c>
      <c r="W275" s="48" t="str">
        <f aca="true">IF(OR($B275="",NOT(ISNUMBER($H275))),"",TODAY()-$H275)</f>
        <v/>
      </c>
      <c r="X275" s="47" t="str">
        <f aca="false">IF($B275="","",IF($U275&gt;0,"Event attendee",IF($G275="Yes","Met (no event)",IF($T275&gt;0,"Invited only",IF(OR($L275="Yes",$M275="Yes"),"Contacted only","Not yet contacted")))))</f>
        <v>Contacted only</v>
      </c>
      <c r="Y275" s="47" t="n">
        <f aca="false">IF($B275="","",COUNTIF(c_Firm,"&lt;"&amp;$D275)+COUNTIFS(c_Firm,$D275,c_Name,"&lt;"&amp;$B275)+COUNTIFS($D$2:$D275,$D275,$B$2:$B275,$B275))</f>
        <v>274</v>
      </c>
      <c r="Z275" s="47" t="n">
        <f aca="false">IF($B275="","",IF(AND(OR(Contacts!$C$3="(All)",$D275=Contacts!$C$3),OR(Contacts!$E$3="(All)",$G275=Contacts!$E$3),OR(Contacts!$G$3="(All)",ISNUMBER(SEARCH(Contacts!$G$3,$V275))),OR(Contacts!$I$3="(All)",$X275=Contacts!$I$3),OR(Contacts!$K$3="",ISNUMBER(SEARCH(Contacts!$K$3,$B275&amp;" "&amp;$C275&amp;" "&amp;$D275&amp;" "&amp;$S275)))),1,0))</f>
        <v>1</v>
      </c>
      <c r="AA275" s="47" t="n">
        <f aca="false">IF($Z275=1,COUNTIFS(c_Pass,1,c_Sort,"&lt;="&amp;$Y275),"")</f>
        <v>274</v>
      </c>
      <c r="AB275" s="47" t="str">
        <f aca="false">IF(OR($G275&lt;&gt;"Yes",NOT(ISNUMBER($H275))),"",COUNTIFS(c_Met,"Yes",c_Date,"&lt;"&amp;$H275)+COUNTIFS($G$2:$G275,"Yes",$H$2:$H275,$H275))</f>
        <v/>
      </c>
    </row>
    <row r="276" customFormat="false" ht="15" hidden="false" customHeight="false" outlineLevel="0" collapsed="false">
      <c r="A276" s="44" t="n">
        <f aca="false">IF($B276="","",COUNTA($B$2:$B276))</f>
        <v>275</v>
      </c>
      <c r="B276" s="11" t="s">
        <v>713</v>
      </c>
      <c r="C276" s="11" t="s">
        <v>714</v>
      </c>
      <c r="D276" s="11" t="s">
        <v>26</v>
      </c>
      <c r="E276" s="11" t="s">
        <v>131</v>
      </c>
      <c r="F276" s="11" t="s">
        <v>70</v>
      </c>
      <c r="G276" s="34" t="s">
        <v>132</v>
      </c>
      <c r="H276" s="25"/>
      <c r="I276" s="40" t="n">
        <v>0</v>
      </c>
      <c r="J276" s="34" t="s">
        <v>132</v>
      </c>
      <c r="K276" s="45"/>
      <c r="L276" s="34" t="s">
        <v>142</v>
      </c>
      <c r="M276" s="34"/>
      <c r="N276" s="11" t="s">
        <v>133</v>
      </c>
      <c r="O276" s="11" t="s">
        <v>133</v>
      </c>
      <c r="P276" s="11" t="s">
        <v>133</v>
      </c>
      <c r="Q276" s="11" t="s">
        <v>133</v>
      </c>
      <c r="R276" s="11" t="s">
        <v>133</v>
      </c>
      <c r="S276" s="46"/>
      <c r="T276" s="44" t="n">
        <f aca="false">IF($B276="","",COUNTA($N276:$R276)-COUNTIF($N276:$R276,"Not Invited"))</f>
        <v>0</v>
      </c>
      <c r="U276" s="44" t="n">
        <f aca="false">IF($B276="","",COUNTIF($N276:$R276,"Attended"))</f>
        <v>0</v>
      </c>
      <c r="V276" s="47" t="str">
        <f aca="false">IF($B276="","",_xlfn.TEXTJOIN(", ",TRUE(),IF($N276="Attended",Setup!$D$15,""),IF($O276="Attended",Setup!$D$16,""),IF($P276="Attended",Setup!$D$17,""),IF($Q276="Attended",Setup!$D$18,""),IF($R276="Attended",Setup!$D$19,"")))</f>
        <v/>
      </c>
      <c r="W276" s="48" t="str">
        <f aca="true">IF(OR($B276="",NOT(ISNUMBER($H276))),"",TODAY()-$H276)</f>
        <v/>
      </c>
      <c r="X276" s="47" t="str">
        <f aca="false">IF($B276="","",IF($U276&gt;0,"Event attendee",IF($G276="Yes","Met (no event)",IF($T276&gt;0,"Invited only",IF(OR($L276="Yes",$M276="Yes"),"Contacted only","Not yet contacted")))))</f>
        <v>Contacted only</v>
      </c>
      <c r="Y276" s="47" t="n">
        <f aca="false">IF($B276="","",COUNTIF(c_Firm,"&lt;"&amp;$D276)+COUNTIFS(c_Firm,$D276,c_Name,"&lt;"&amp;$B276)+COUNTIFS($D$2:$D276,$D276,$B$2:$B276,$B276))</f>
        <v>275</v>
      </c>
      <c r="Z276" s="47" t="n">
        <f aca="false">IF($B276="","",IF(AND(OR(Contacts!$C$3="(All)",$D276=Contacts!$C$3),OR(Contacts!$E$3="(All)",$G276=Contacts!$E$3),OR(Contacts!$G$3="(All)",ISNUMBER(SEARCH(Contacts!$G$3,$V276))),OR(Contacts!$I$3="(All)",$X276=Contacts!$I$3),OR(Contacts!$K$3="",ISNUMBER(SEARCH(Contacts!$K$3,$B276&amp;" "&amp;$C276&amp;" "&amp;$D276&amp;" "&amp;$S276)))),1,0))</f>
        <v>1</v>
      </c>
      <c r="AA276" s="47" t="n">
        <f aca="false">IF($Z276=1,COUNTIFS(c_Pass,1,c_Sort,"&lt;="&amp;$Y276),"")</f>
        <v>275</v>
      </c>
      <c r="AB276" s="47" t="str">
        <f aca="false">IF(OR($G276&lt;&gt;"Yes",NOT(ISNUMBER($H276))),"",COUNTIFS(c_Met,"Yes",c_Date,"&lt;"&amp;$H276)+COUNTIFS($G$2:$G276,"Yes",$H$2:$H276,$H276))</f>
        <v/>
      </c>
    </row>
    <row r="277" customFormat="false" ht="15" hidden="false" customHeight="false" outlineLevel="0" collapsed="false">
      <c r="A277" s="44" t="n">
        <f aca="false">IF($B277="","",COUNTA($B$2:$B277))</f>
        <v>276</v>
      </c>
      <c r="B277" s="11" t="s">
        <v>715</v>
      </c>
      <c r="C277" s="11" t="s">
        <v>714</v>
      </c>
      <c r="D277" s="11" t="s">
        <v>26</v>
      </c>
      <c r="E277" s="11" t="s">
        <v>131</v>
      </c>
      <c r="F277" s="11" t="s">
        <v>66</v>
      </c>
      <c r="G277" s="34" t="s">
        <v>132</v>
      </c>
      <c r="H277" s="25"/>
      <c r="I277" s="40" t="n">
        <v>0</v>
      </c>
      <c r="J277" s="34" t="s">
        <v>132</v>
      </c>
      <c r="K277" s="45"/>
      <c r="L277" s="34"/>
      <c r="M277" s="34"/>
      <c r="N277" s="11" t="s">
        <v>133</v>
      </c>
      <c r="O277" s="11" t="s">
        <v>55</v>
      </c>
      <c r="P277" s="11" t="s">
        <v>133</v>
      </c>
      <c r="Q277" s="11" t="s">
        <v>133</v>
      </c>
      <c r="R277" s="11" t="s">
        <v>133</v>
      </c>
      <c r="S277" s="46"/>
      <c r="T277" s="44" t="n">
        <f aca="false">IF($B277="","",COUNTA($N277:$R277)-COUNTIF($N277:$R277,"Not Invited"))</f>
        <v>1</v>
      </c>
      <c r="U277" s="44" t="n">
        <f aca="false">IF($B277="","",COUNTIF($N277:$R277,"Attended"))</f>
        <v>1</v>
      </c>
      <c r="V277" s="47" t="str">
        <f aca="false">IF($B277="","",_xlfn.TEXTJOIN(", ",TRUE(),IF($N277="Attended",Setup!$D$15,""),IF($O277="Attended",Setup!$D$16,""),IF($P277="Attended",Setup!$D$17,""),IF($Q277="Attended",Setup!$D$18,""),IF($R277="Attended",Setup!$D$19,"")))</f>
        <v>May-26 Symposium</v>
      </c>
      <c r="W277" s="48" t="str">
        <f aca="true">IF(OR($B277="",NOT(ISNUMBER($H277))),"",TODAY()-$H277)</f>
        <v/>
      </c>
      <c r="X277" s="47" t="str">
        <f aca="false">IF($B277="","",IF($U277&gt;0,"Event attendee",IF($G277="Yes","Met (no event)",IF($T277&gt;0,"Invited only",IF(OR($L277="Yes",$M277="Yes"),"Contacted only","Not yet contacted")))))</f>
        <v>Event attendee</v>
      </c>
      <c r="Y277" s="47" t="n">
        <f aca="false">IF($B277="","",COUNTIF(c_Firm,"&lt;"&amp;$D277)+COUNTIFS(c_Firm,$D277,c_Name,"&lt;"&amp;$B277)+COUNTIFS($D$2:$D277,$D277,$B$2:$B277,$B277))</f>
        <v>276</v>
      </c>
      <c r="Z277" s="47" t="n">
        <f aca="false">IF($B277="","",IF(AND(OR(Contacts!$C$3="(All)",$D277=Contacts!$C$3),OR(Contacts!$E$3="(All)",$G277=Contacts!$E$3),OR(Contacts!$G$3="(All)",ISNUMBER(SEARCH(Contacts!$G$3,$V277))),OR(Contacts!$I$3="(All)",$X277=Contacts!$I$3),OR(Contacts!$K$3="",ISNUMBER(SEARCH(Contacts!$K$3,$B277&amp;" "&amp;$C277&amp;" "&amp;$D277&amp;" "&amp;$S277)))),1,0))</f>
        <v>1</v>
      </c>
      <c r="AA277" s="47" t="n">
        <f aca="false">IF($Z277=1,COUNTIFS(c_Pass,1,c_Sort,"&lt;="&amp;$Y277),"")</f>
        <v>276</v>
      </c>
      <c r="AB277" s="47" t="str">
        <f aca="false">IF(OR($G277&lt;&gt;"Yes",NOT(ISNUMBER($H277))),"",COUNTIFS(c_Met,"Yes",c_Date,"&lt;"&amp;$H277)+COUNTIFS($G$2:$G277,"Yes",$H$2:$H277,$H277))</f>
        <v/>
      </c>
    </row>
    <row r="278" customFormat="false" ht="15" hidden="false" customHeight="false" outlineLevel="0" collapsed="false">
      <c r="A278" s="44" t="n">
        <f aca="false">IF($B278="","",COUNTA($B$2:$B278))</f>
        <v>277</v>
      </c>
      <c r="B278" s="11" t="s">
        <v>716</v>
      </c>
      <c r="C278" s="11" t="s">
        <v>717</v>
      </c>
      <c r="D278" s="11" t="s">
        <v>26</v>
      </c>
      <c r="E278" s="11" t="s">
        <v>131</v>
      </c>
      <c r="F278" s="11" t="s">
        <v>70</v>
      </c>
      <c r="G278" s="34" t="s">
        <v>132</v>
      </c>
      <c r="H278" s="25"/>
      <c r="I278" s="40" t="n">
        <v>0</v>
      </c>
      <c r="J278" s="34" t="s">
        <v>132</v>
      </c>
      <c r="K278" s="45"/>
      <c r="L278" s="34" t="s">
        <v>142</v>
      </c>
      <c r="M278" s="34"/>
      <c r="N278" s="11" t="s">
        <v>133</v>
      </c>
      <c r="O278" s="11" t="s">
        <v>133</v>
      </c>
      <c r="P278" s="11" t="s">
        <v>133</v>
      </c>
      <c r="Q278" s="11" t="s">
        <v>133</v>
      </c>
      <c r="R278" s="11" t="s">
        <v>133</v>
      </c>
      <c r="S278" s="46"/>
      <c r="T278" s="44" t="n">
        <f aca="false">IF($B278="","",COUNTA($N278:$R278)-COUNTIF($N278:$R278,"Not Invited"))</f>
        <v>0</v>
      </c>
      <c r="U278" s="44" t="n">
        <f aca="false">IF($B278="","",COUNTIF($N278:$R278,"Attended"))</f>
        <v>0</v>
      </c>
      <c r="V278" s="47" t="str">
        <f aca="false">IF($B278="","",_xlfn.TEXTJOIN(", ",TRUE(),IF($N278="Attended",Setup!$D$15,""),IF($O278="Attended",Setup!$D$16,""),IF($P278="Attended",Setup!$D$17,""),IF($Q278="Attended",Setup!$D$18,""),IF($R278="Attended",Setup!$D$19,"")))</f>
        <v/>
      </c>
      <c r="W278" s="48" t="str">
        <f aca="true">IF(OR($B278="",NOT(ISNUMBER($H278))),"",TODAY()-$H278)</f>
        <v/>
      </c>
      <c r="X278" s="47" t="str">
        <f aca="false">IF($B278="","",IF($U278&gt;0,"Event attendee",IF($G278="Yes","Met (no event)",IF($T278&gt;0,"Invited only",IF(OR($L278="Yes",$M278="Yes"),"Contacted only","Not yet contacted")))))</f>
        <v>Contacted only</v>
      </c>
      <c r="Y278" s="47" t="n">
        <f aca="false">IF($B278="","",COUNTIF(c_Firm,"&lt;"&amp;$D278)+COUNTIFS(c_Firm,$D278,c_Name,"&lt;"&amp;$B278)+COUNTIFS($D$2:$D278,$D278,$B$2:$B278,$B278))</f>
        <v>277</v>
      </c>
      <c r="Z278" s="47" t="n">
        <f aca="false">IF($B278="","",IF(AND(OR(Contacts!$C$3="(All)",$D278=Contacts!$C$3),OR(Contacts!$E$3="(All)",$G278=Contacts!$E$3),OR(Contacts!$G$3="(All)",ISNUMBER(SEARCH(Contacts!$G$3,$V278))),OR(Contacts!$I$3="(All)",$X278=Contacts!$I$3),OR(Contacts!$K$3="",ISNUMBER(SEARCH(Contacts!$K$3,$B278&amp;" "&amp;$C278&amp;" "&amp;$D278&amp;" "&amp;$S278)))),1,0))</f>
        <v>1</v>
      </c>
      <c r="AA278" s="47" t="n">
        <f aca="false">IF($Z278=1,COUNTIFS(c_Pass,1,c_Sort,"&lt;="&amp;$Y278),"")</f>
        <v>277</v>
      </c>
      <c r="AB278" s="47" t="str">
        <f aca="false">IF(OR($G278&lt;&gt;"Yes",NOT(ISNUMBER($H278))),"",COUNTIFS(c_Met,"Yes",c_Date,"&lt;"&amp;$H278)+COUNTIFS($G$2:$G278,"Yes",$H$2:$H278,$H278))</f>
        <v/>
      </c>
    </row>
    <row r="279" customFormat="false" ht="15" hidden="false" customHeight="false" outlineLevel="0" collapsed="false">
      <c r="A279" s="44" t="n">
        <f aca="false">IF($B279="","",COUNTA($B$2:$B279))</f>
        <v>278</v>
      </c>
      <c r="B279" s="11" t="s">
        <v>718</v>
      </c>
      <c r="C279" s="11" t="s">
        <v>719</v>
      </c>
      <c r="D279" s="11" t="s">
        <v>26</v>
      </c>
      <c r="E279" s="11" t="s">
        <v>131</v>
      </c>
      <c r="F279" s="11" t="s">
        <v>70</v>
      </c>
      <c r="G279" s="34" t="s">
        <v>132</v>
      </c>
      <c r="H279" s="25"/>
      <c r="I279" s="40" t="n">
        <v>0</v>
      </c>
      <c r="J279" s="34" t="s">
        <v>132</v>
      </c>
      <c r="K279" s="45"/>
      <c r="L279" s="34" t="s">
        <v>142</v>
      </c>
      <c r="M279" s="34"/>
      <c r="N279" s="11" t="s">
        <v>133</v>
      </c>
      <c r="O279" s="11" t="s">
        <v>133</v>
      </c>
      <c r="P279" s="11" t="s">
        <v>133</v>
      </c>
      <c r="Q279" s="11" t="s">
        <v>133</v>
      </c>
      <c r="R279" s="11" t="s">
        <v>133</v>
      </c>
      <c r="S279" s="46"/>
      <c r="T279" s="44" t="n">
        <f aca="false">IF($B279="","",COUNTA($N279:$R279)-COUNTIF($N279:$R279,"Not Invited"))</f>
        <v>0</v>
      </c>
      <c r="U279" s="44" t="n">
        <f aca="false">IF($B279="","",COUNTIF($N279:$R279,"Attended"))</f>
        <v>0</v>
      </c>
      <c r="V279" s="47" t="str">
        <f aca="false">IF($B279="","",_xlfn.TEXTJOIN(", ",TRUE(),IF($N279="Attended",Setup!$D$15,""),IF($O279="Attended",Setup!$D$16,""),IF($P279="Attended",Setup!$D$17,""),IF($Q279="Attended",Setup!$D$18,""),IF($R279="Attended",Setup!$D$19,"")))</f>
        <v/>
      </c>
      <c r="W279" s="48" t="str">
        <f aca="true">IF(OR($B279="",NOT(ISNUMBER($H279))),"",TODAY()-$H279)</f>
        <v/>
      </c>
      <c r="X279" s="47" t="str">
        <f aca="false">IF($B279="","",IF($U279&gt;0,"Event attendee",IF($G279="Yes","Met (no event)",IF($T279&gt;0,"Invited only",IF(OR($L279="Yes",$M279="Yes"),"Contacted only","Not yet contacted")))))</f>
        <v>Contacted only</v>
      </c>
      <c r="Y279" s="47" t="n">
        <f aca="false">IF($B279="","",COUNTIF(c_Firm,"&lt;"&amp;$D279)+COUNTIFS(c_Firm,$D279,c_Name,"&lt;"&amp;$B279)+COUNTIFS($D$2:$D279,$D279,$B$2:$B279,$B279))</f>
        <v>278</v>
      </c>
      <c r="Z279" s="47" t="n">
        <f aca="false">IF($B279="","",IF(AND(OR(Contacts!$C$3="(All)",$D279=Contacts!$C$3),OR(Contacts!$E$3="(All)",$G279=Contacts!$E$3),OR(Contacts!$G$3="(All)",ISNUMBER(SEARCH(Contacts!$G$3,$V279))),OR(Contacts!$I$3="(All)",$X279=Contacts!$I$3),OR(Contacts!$K$3="",ISNUMBER(SEARCH(Contacts!$K$3,$B279&amp;" "&amp;$C279&amp;" "&amp;$D279&amp;" "&amp;$S279)))),1,0))</f>
        <v>1</v>
      </c>
      <c r="AA279" s="47" t="n">
        <f aca="false">IF($Z279=1,COUNTIFS(c_Pass,1,c_Sort,"&lt;="&amp;$Y279),"")</f>
        <v>278</v>
      </c>
      <c r="AB279" s="47" t="str">
        <f aca="false">IF(OR($G279&lt;&gt;"Yes",NOT(ISNUMBER($H279))),"",COUNTIFS(c_Met,"Yes",c_Date,"&lt;"&amp;$H279)+COUNTIFS($G$2:$G279,"Yes",$H$2:$H279,$H279))</f>
        <v/>
      </c>
    </row>
    <row r="280" customFormat="false" ht="15" hidden="false" customHeight="false" outlineLevel="0" collapsed="false">
      <c r="A280" s="44" t="n">
        <f aca="false">IF($B280="","",COUNTA($B$2:$B280))</f>
        <v>279</v>
      </c>
      <c r="B280" s="11" t="s">
        <v>720</v>
      </c>
      <c r="C280" s="11" t="s">
        <v>721</v>
      </c>
      <c r="D280" s="11" t="s">
        <v>26</v>
      </c>
      <c r="E280" s="11" t="s">
        <v>131</v>
      </c>
      <c r="F280" s="11" t="s">
        <v>70</v>
      </c>
      <c r="G280" s="34" t="s">
        <v>132</v>
      </c>
      <c r="H280" s="25"/>
      <c r="I280" s="40" t="n">
        <v>0</v>
      </c>
      <c r="J280" s="34" t="s">
        <v>132</v>
      </c>
      <c r="K280" s="45"/>
      <c r="L280" s="34" t="s">
        <v>142</v>
      </c>
      <c r="M280" s="34"/>
      <c r="N280" s="11" t="s">
        <v>133</v>
      </c>
      <c r="O280" s="11" t="s">
        <v>133</v>
      </c>
      <c r="P280" s="11" t="s">
        <v>133</v>
      </c>
      <c r="Q280" s="11" t="s">
        <v>133</v>
      </c>
      <c r="R280" s="11" t="s">
        <v>133</v>
      </c>
      <c r="S280" s="46"/>
      <c r="T280" s="44" t="n">
        <f aca="false">IF($B280="","",COUNTA($N280:$R280)-COUNTIF($N280:$R280,"Not Invited"))</f>
        <v>0</v>
      </c>
      <c r="U280" s="44" t="n">
        <f aca="false">IF($B280="","",COUNTIF($N280:$R280,"Attended"))</f>
        <v>0</v>
      </c>
      <c r="V280" s="47" t="str">
        <f aca="false">IF($B280="","",_xlfn.TEXTJOIN(", ",TRUE(),IF($N280="Attended",Setup!$D$15,""),IF($O280="Attended",Setup!$D$16,""),IF($P280="Attended",Setup!$D$17,""),IF($Q280="Attended",Setup!$D$18,""),IF($R280="Attended",Setup!$D$19,"")))</f>
        <v/>
      </c>
      <c r="W280" s="48" t="str">
        <f aca="true">IF(OR($B280="",NOT(ISNUMBER($H280))),"",TODAY()-$H280)</f>
        <v/>
      </c>
      <c r="X280" s="47" t="str">
        <f aca="false">IF($B280="","",IF($U280&gt;0,"Event attendee",IF($G280="Yes","Met (no event)",IF($T280&gt;0,"Invited only",IF(OR($L280="Yes",$M280="Yes"),"Contacted only","Not yet contacted")))))</f>
        <v>Contacted only</v>
      </c>
      <c r="Y280" s="47" t="n">
        <f aca="false">IF($B280="","",COUNTIF(c_Firm,"&lt;"&amp;$D280)+COUNTIFS(c_Firm,$D280,c_Name,"&lt;"&amp;$B280)+COUNTIFS($D$2:$D280,$D280,$B$2:$B280,$B280))</f>
        <v>279</v>
      </c>
      <c r="Z280" s="47" t="n">
        <f aca="false">IF($B280="","",IF(AND(OR(Contacts!$C$3="(All)",$D280=Contacts!$C$3),OR(Contacts!$E$3="(All)",$G280=Contacts!$E$3),OR(Contacts!$G$3="(All)",ISNUMBER(SEARCH(Contacts!$G$3,$V280))),OR(Contacts!$I$3="(All)",$X280=Contacts!$I$3),OR(Contacts!$K$3="",ISNUMBER(SEARCH(Contacts!$K$3,$B280&amp;" "&amp;$C280&amp;" "&amp;$D280&amp;" "&amp;$S280)))),1,0))</f>
        <v>1</v>
      </c>
      <c r="AA280" s="47" t="n">
        <f aca="false">IF($Z280=1,COUNTIFS(c_Pass,1,c_Sort,"&lt;="&amp;$Y280),"")</f>
        <v>279</v>
      </c>
      <c r="AB280" s="47" t="str">
        <f aca="false">IF(OR($G280&lt;&gt;"Yes",NOT(ISNUMBER($H280))),"",COUNTIFS(c_Met,"Yes",c_Date,"&lt;"&amp;$H280)+COUNTIFS($G$2:$G280,"Yes",$H$2:$H280,$H280))</f>
        <v/>
      </c>
    </row>
    <row r="281" customFormat="false" ht="15" hidden="false" customHeight="false" outlineLevel="0" collapsed="false">
      <c r="A281" s="44" t="n">
        <f aca="false">IF($B281="","",COUNTA($B$2:$B281))</f>
        <v>280</v>
      </c>
      <c r="B281" s="11" t="s">
        <v>722</v>
      </c>
      <c r="C281" s="11" t="s">
        <v>723</v>
      </c>
      <c r="D281" s="11" t="s">
        <v>26</v>
      </c>
      <c r="E281" s="11" t="s">
        <v>131</v>
      </c>
      <c r="F281" s="11" t="s">
        <v>70</v>
      </c>
      <c r="G281" s="34" t="s">
        <v>132</v>
      </c>
      <c r="H281" s="25"/>
      <c r="I281" s="40" t="n">
        <v>0</v>
      </c>
      <c r="J281" s="34" t="s">
        <v>132</v>
      </c>
      <c r="K281" s="45"/>
      <c r="L281" s="34" t="s">
        <v>142</v>
      </c>
      <c r="M281" s="34"/>
      <c r="N281" s="11" t="s">
        <v>133</v>
      </c>
      <c r="O281" s="11" t="s">
        <v>133</v>
      </c>
      <c r="P281" s="11" t="s">
        <v>133</v>
      </c>
      <c r="Q281" s="11" t="s">
        <v>133</v>
      </c>
      <c r="R281" s="11" t="s">
        <v>133</v>
      </c>
      <c r="S281" s="46"/>
      <c r="T281" s="44" t="n">
        <f aca="false">IF($B281="","",COUNTA($N281:$R281)-COUNTIF($N281:$R281,"Not Invited"))</f>
        <v>0</v>
      </c>
      <c r="U281" s="44" t="n">
        <f aca="false">IF($B281="","",COUNTIF($N281:$R281,"Attended"))</f>
        <v>0</v>
      </c>
      <c r="V281" s="47" t="str">
        <f aca="false">IF($B281="","",_xlfn.TEXTJOIN(", ",TRUE(),IF($N281="Attended",Setup!$D$15,""),IF($O281="Attended",Setup!$D$16,""),IF($P281="Attended",Setup!$D$17,""),IF($Q281="Attended",Setup!$D$18,""),IF($R281="Attended",Setup!$D$19,"")))</f>
        <v/>
      </c>
      <c r="W281" s="48" t="str">
        <f aca="true">IF(OR($B281="",NOT(ISNUMBER($H281))),"",TODAY()-$H281)</f>
        <v/>
      </c>
      <c r="X281" s="47" t="str">
        <f aca="false">IF($B281="","",IF($U281&gt;0,"Event attendee",IF($G281="Yes","Met (no event)",IF($T281&gt;0,"Invited only",IF(OR($L281="Yes",$M281="Yes"),"Contacted only","Not yet contacted")))))</f>
        <v>Contacted only</v>
      </c>
      <c r="Y281" s="47" t="n">
        <f aca="false">IF($B281="","",COUNTIF(c_Firm,"&lt;"&amp;$D281)+COUNTIFS(c_Firm,$D281,c_Name,"&lt;"&amp;$B281)+COUNTIFS($D$2:$D281,$D281,$B$2:$B281,$B281))</f>
        <v>280</v>
      </c>
      <c r="Z281" s="47" t="n">
        <f aca="false">IF($B281="","",IF(AND(OR(Contacts!$C$3="(All)",$D281=Contacts!$C$3),OR(Contacts!$E$3="(All)",$G281=Contacts!$E$3),OR(Contacts!$G$3="(All)",ISNUMBER(SEARCH(Contacts!$G$3,$V281))),OR(Contacts!$I$3="(All)",$X281=Contacts!$I$3),OR(Contacts!$K$3="",ISNUMBER(SEARCH(Contacts!$K$3,$B281&amp;" "&amp;$C281&amp;" "&amp;$D281&amp;" "&amp;$S281)))),1,0))</f>
        <v>1</v>
      </c>
      <c r="AA281" s="47" t="n">
        <f aca="false">IF($Z281=1,COUNTIFS(c_Pass,1,c_Sort,"&lt;="&amp;$Y281),"")</f>
        <v>280</v>
      </c>
      <c r="AB281" s="47" t="str">
        <f aca="false">IF(OR($G281&lt;&gt;"Yes",NOT(ISNUMBER($H281))),"",COUNTIFS(c_Met,"Yes",c_Date,"&lt;"&amp;$H281)+COUNTIFS($G$2:$G281,"Yes",$H$2:$H281,$H281))</f>
        <v/>
      </c>
    </row>
    <row r="282" customFormat="false" ht="15" hidden="false" customHeight="false" outlineLevel="0" collapsed="false">
      <c r="A282" s="44" t="n">
        <f aca="false">IF($B282="","",COUNTA($B$2:$B282))</f>
        <v>281</v>
      </c>
      <c r="B282" s="11" t="s">
        <v>724</v>
      </c>
      <c r="C282" s="11" t="s">
        <v>725</v>
      </c>
      <c r="D282" s="11" t="s">
        <v>26</v>
      </c>
      <c r="E282" s="11" t="s">
        <v>131</v>
      </c>
      <c r="F282" s="11" t="s">
        <v>70</v>
      </c>
      <c r="G282" s="34" t="s">
        <v>132</v>
      </c>
      <c r="H282" s="25"/>
      <c r="I282" s="40" t="n">
        <v>0</v>
      </c>
      <c r="J282" s="34" t="s">
        <v>132</v>
      </c>
      <c r="K282" s="45"/>
      <c r="L282" s="34" t="s">
        <v>142</v>
      </c>
      <c r="M282" s="34"/>
      <c r="N282" s="11" t="s">
        <v>133</v>
      </c>
      <c r="O282" s="11" t="s">
        <v>133</v>
      </c>
      <c r="P282" s="11" t="s">
        <v>133</v>
      </c>
      <c r="Q282" s="11" t="s">
        <v>133</v>
      </c>
      <c r="R282" s="11" t="s">
        <v>133</v>
      </c>
      <c r="S282" s="46"/>
      <c r="T282" s="44" t="n">
        <f aca="false">IF($B282="","",COUNTA($N282:$R282)-COUNTIF($N282:$R282,"Not Invited"))</f>
        <v>0</v>
      </c>
      <c r="U282" s="44" t="n">
        <f aca="false">IF($B282="","",COUNTIF($N282:$R282,"Attended"))</f>
        <v>0</v>
      </c>
      <c r="V282" s="47" t="str">
        <f aca="false">IF($B282="","",_xlfn.TEXTJOIN(", ",TRUE(),IF($N282="Attended",Setup!$D$15,""),IF($O282="Attended",Setup!$D$16,""),IF($P282="Attended",Setup!$D$17,""),IF($Q282="Attended",Setup!$D$18,""),IF($R282="Attended",Setup!$D$19,"")))</f>
        <v/>
      </c>
      <c r="W282" s="48" t="str">
        <f aca="true">IF(OR($B282="",NOT(ISNUMBER($H282))),"",TODAY()-$H282)</f>
        <v/>
      </c>
      <c r="X282" s="47" t="str">
        <f aca="false">IF($B282="","",IF($U282&gt;0,"Event attendee",IF($G282="Yes","Met (no event)",IF($T282&gt;0,"Invited only",IF(OR($L282="Yes",$M282="Yes"),"Contacted only","Not yet contacted")))))</f>
        <v>Contacted only</v>
      </c>
      <c r="Y282" s="47" t="n">
        <f aca="false">IF($B282="","",COUNTIF(c_Firm,"&lt;"&amp;$D282)+COUNTIFS(c_Firm,$D282,c_Name,"&lt;"&amp;$B282)+COUNTIFS($D$2:$D282,$D282,$B$2:$B282,$B282))</f>
        <v>281</v>
      </c>
      <c r="Z282" s="47" t="n">
        <f aca="false">IF($B282="","",IF(AND(OR(Contacts!$C$3="(All)",$D282=Contacts!$C$3),OR(Contacts!$E$3="(All)",$G282=Contacts!$E$3),OR(Contacts!$G$3="(All)",ISNUMBER(SEARCH(Contacts!$G$3,$V282))),OR(Contacts!$I$3="(All)",$X282=Contacts!$I$3),OR(Contacts!$K$3="",ISNUMBER(SEARCH(Contacts!$K$3,$B282&amp;" "&amp;$C282&amp;" "&amp;$D282&amp;" "&amp;$S282)))),1,0))</f>
        <v>1</v>
      </c>
      <c r="AA282" s="47" t="n">
        <f aca="false">IF($Z282=1,COUNTIFS(c_Pass,1,c_Sort,"&lt;="&amp;$Y282),"")</f>
        <v>281</v>
      </c>
      <c r="AB282" s="47" t="str">
        <f aca="false">IF(OR($G282&lt;&gt;"Yes",NOT(ISNUMBER($H282))),"",COUNTIFS(c_Met,"Yes",c_Date,"&lt;"&amp;$H282)+COUNTIFS($G$2:$G282,"Yes",$H$2:$H282,$H282))</f>
        <v/>
      </c>
    </row>
    <row r="283" customFormat="false" ht="15" hidden="false" customHeight="false" outlineLevel="0" collapsed="false">
      <c r="A283" s="44" t="n">
        <f aca="false">IF($B283="","",COUNTA($B$2:$B283))</f>
        <v>282</v>
      </c>
      <c r="B283" s="11" t="s">
        <v>726</v>
      </c>
      <c r="C283" s="11"/>
      <c r="D283" s="11" t="s">
        <v>26</v>
      </c>
      <c r="E283" s="11" t="s">
        <v>193</v>
      </c>
      <c r="F283" s="11" t="s">
        <v>68</v>
      </c>
      <c r="G283" s="34" t="s">
        <v>132</v>
      </c>
      <c r="H283" s="25"/>
      <c r="I283" s="40" t="n">
        <v>0</v>
      </c>
      <c r="J283" s="34" t="s">
        <v>132</v>
      </c>
      <c r="K283" s="45"/>
      <c r="L283" s="34"/>
      <c r="M283" s="34" t="s">
        <v>142</v>
      </c>
      <c r="N283" s="11" t="s">
        <v>133</v>
      </c>
      <c r="O283" s="11" t="s">
        <v>133</v>
      </c>
      <c r="P283" s="11" t="s">
        <v>133</v>
      </c>
      <c r="Q283" s="11" t="s">
        <v>133</v>
      </c>
      <c r="R283" s="11" t="s">
        <v>133</v>
      </c>
      <c r="S283" s="46" t="s">
        <v>727</v>
      </c>
      <c r="T283" s="44" t="n">
        <f aca="false">IF($B283="","",COUNTA($N283:$R283)-COUNTIF($N283:$R283,"Not Invited"))</f>
        <v>0</v>
      </c>
      <c r="U283" s="44" t="n">
        <f aca="false">IF($B283="","",COUNTIF($N283:$R283,"Attended"))</f>
        <v>0</v>
      </c>
      <c r="V283" s="47" t="str">
        <f aca="false">IF($B283="","",_xlfn.TEXTJOIN(", ",TRUE(),IF($N283="Attended",Setup!$D$15,""),IF($O283="Attended",Setup!$D$16,""),IF($P283="Attended",Setup!$D$17,""),IF($Q283="Attended",Setup!$D$18,""),IF($R283="Attended",Setup!$D$19,"")))</f>
        <v/>
      </c>
      <c r="W283" s="48" t="str">
        <f aca="true">IF(OR($B283="",NOT(ISNUMBER($H283))),"",TODAY()-$H283)</f>
        <v/>
      </c>
      <c r="X283" s="47" t="str">
        <f aca="false">IF($B283="","",IF($U283&gt;0,"Event attendee",IF($G283="Yes","Met (no event)",IF($T283&gt;0,"Invited only",IF(OR($L283="Yes",$M283="Yes"),"Contacted only","Not yet contacted")))))</f>
        <v>Contacted only</v>
      </c>
      <c r="Y283" s="47" t="n">
        <f aca="false">IF($B283="","",COUNTIF(c_Firm,"&lt;"&amp;$D283)+COUNTIFS(c_Firm,$D283,c_Name,"&lt;"&amp;$B283)+COUNTIFS($D$2:$D283,$D283,$B$2:$B283,$B283))</f>
        <v>282</v>
      </c>
      <c r="Z283" s="47" t="n">
        <f aca="false">IF($B283="","",IF(AND(OR(Contacts!$C$3="(All)",$D283=Contacts!$C$3),OR(Contacts!$E$3="(All)",$G283=Contacts!$E$3),OR(Contacts!$G$3="(All)",ISNUMBER(SEARCH(Contacts!$G$3,$V283))),OR(Contacts!$I$3="(All)",$X283=Contacts!$I$3),OR(Contacts!$K$3="",ISNUMBER(SEARCH(Contacts!$K$3,$B283&amp;" "&amp;$C283&amp;" "&amp;$D283&amp;" "&amp;$S283)))),1,0))</f>
        <v>1</v>
      </c>
      <c r="AA283" s="47" t="n">
        <f aca="false">IF($Z283=1,COUNTIFS(c_Pass,1,c_Sort,"&lt;="&amp;$Y283),"")</f>
        <v>282</v>
      </c>
      <c r="AB283" s="47" t="str">
        <f aca="false">IF(OR($G283&lt;&gt;"Yes",NOT(ISNUMBER($H283))),"",COUNTIFS(c_Met,"Yes",c_Date,"&lt;"&amp;$H283)+COUNTIFS($G$2:$G283,"Yes",$H$2:$H283,$H283))</f>
        <v/>
      </c>
    </row>
    <row r="284" customFormat="false" ht="15" hidden="false" customHeight="false" outlineLevel="0" collapsed="false">
      <c r="A284" s="44" t="n">
        <f aca="false">IF($B284="","",COUNTA($B$2:$B284))</f>
        <v>283</v>
      </c>
      <c r="B284" s="11" t="s">
        <v>728</v>
      </c>
      <c r="C284" s="11" t="s">
        <v>729</v>
      </c>
      <c r="D284" s="11" t="s">
        <v>26</v>
      </c>
      <c r="E284" s="11" t="s">
        <v>131</v>
      </c>
      <c r="F284" s="11" t="s">
        <v>70</v>
      </c>
      <c r="G284" s="34" t="s">
        <v>132</v>
      </c>
      <c r="H284" s="25"/>
      <c r="I284" s="40" t="n">
        <v>0</v>
      </c>
      <c r="J284" s="34" t="s">
        <v>132</v>
      </c>
      <c r="K284" s="45"/>
      <c r="L284" s="34" t="s">
        <v>142</v>
      </c>
      <c r="M284" s="34"/>
      <c r="N284" s="11" t="s">
        <v>133</v>
      </c>
      <c r="O284" s="11" t="s">
        <v>133</v>
      </c>
      <c r="P284" s="11" t="s">
        <v>133</v>
      </c>
      <c r="Q284" s="11" t="s">
        <v>133</v>
      </c>
      <c r="R284" s="11" t="s">
        <v>133</v>
      </c>
      <c r="S284" s="46"/>
      <c r="T284" s="44" t="n">
        <f aca="false">IF($B284="","",COUNTA($N284:$R284)-COUNTIF($N284:$R284,"Not Invited"))</f>
        <v>0</v>
      </c>
      <c r="U284" s="44" t="n">
        <f aca="false">IF($B284="","",COUNTIF($N284:$R284,"Attended"))</f>
        <v>0</v>
      </c>
      <c r="V284" s="47" t="str">
        <f aca="false">IF($B284="","",_xlfn.TEXTJOIN(", ",TRUE(),IF($N284="Attended",Setup!$D$15,""),IF($O284="Attended",Setup!$D$16,""),IF($P284="Attended",Setup!$D$17,""),IF($Q284="Attended",Setup!$D$18,""),IF($R284="Attended",Setup!$D$19,"")))</f>
        <v/>
      </c>
      <c r="W284" s="48" t="str">
        <f aca="true">IF(OR($B284="",NOT(ISNUMBER($H284))),"",TODAY()-$H284)</f>
        <v/>
      </c>
      <c r="X284" s="47" t="str">
        <f aca="false">IF($B284="","",IF($U284&gt;0,"Event attendee",IF($G284="Yes","Met (no event)",IF($T284&gt;0,"Invited only",IF(OR($L284="Yes",$M284="Yes"),"Contacted only","Not yet contacted")))))</f>
        <v>Contacted only</v>
      </c>
      <c r="Y284" s="47" t="n">
        <f aca="false">IF($B284="","",COUNTIF(c_Firm,"&lt;"&amp;$D284)+COUNTIFS(c_Firm,$D284,c_Name,"&lt;"&amp;$B284)+COUNTIFS($D$2:$D284,$D284,$B$2:$B284,$B284))</f>
        <v>283</v>
      </c>
      <c r="Z284" s="47" t="n">
        <f aca="false">IF($B284="","",IF(AND(OR(Contacts!$C$3="(All)",$D284=Contacts!$C$3),OR(Contacts!$E$3="(All)",$G284=Contacts!$E$3),OR(Contacts!$G$3="(All)",ISNUMBER(SEARCH(Contacts!$G$3,$V284))),OR(Contacts!$I$3="(All)",$X284=Contacts!$I$3),OR(Contacts!$K$3="",ISNUMBER(SEARCH(Contacts!$K$3,$B284&amp;" "&amp;$C284&amp;" "&amp;$D284&amp;" "&amp;$S284)))),1,0))</f>
        <v>1</v>
      </c>
      <c r="AA284" s="47" t="n">
        <f aca="false">IF($Z284=1,COUNTIFS(c_Pass,1,c_Sort,"&lt;="&amp;$Y284),"")</f>
        <v>283</v>
      </c>
      <c r="AB284" s="47" t="str">
        <f aca="false">IF(OR($G284&lt;&gt;"Yes",NOT(ISNUMBER($H284))),"",COUNTIFS(c_Met,"Yes",c_Date,"&lt;"&amp;$H284)+COUNTIFS($G$2:$G284,"Yes",$H$2:$H284,$H284))</f>
        <v/>
      </c>
    </row>
    <row r="285" customFormat="false" ht="15" hidden="false" customHeight="false" outlineLevel="0" collapsed="false">
      <c r="A285" s="44" t="n">
        <f aca="false">IF($B285="","",COUNTA($B$2:$B285))</f>
        <v>284</v>
      </c>
      <c r="B285" s="11" t="s">
        <v>730</v>
      </c>
      <c r="C285" s="11" t="s">
        <v>731</v>
      </c>
      <c r="D285" s="11" t="s">
        <v>26</v>
      </c>
      <c r="E285" s="11" t="s">
        <v>131</v>
      </c>
      <c r="F285" s="11" t="s">
        <v>70</v>
      </c>
      <c r="G285" s="34" t="s">
        <v>132</v>
      </c>
      <c r="H285" s="25"/>
      <c r="I285" s="40" t="n">
        <v>0</v>
      </c>
      <c r="J285" s="34" t="s">
        <v>132</v>
      </c>
      <c r="K285" s="45"/>
      <c r="L285" s="34" t="s">
        <v>142</v>
      </c>
      <c r="M285" s="34"/>
      <c r="N285" s="11" t="s">
        <v>133</v>
      </c>
      <c r="O285" s="11" t="s">
        <v>133</v>
      </c>
      <c r="P285" s="11" t="s">
        <v>133</v>
      </c>
      <c r="Q285" s="11" t="s">
        <v>133</v>
      </c>
      <c r="R285" s="11" t="s">
        <v>133</v>
      </c>
      <c r="S285" s="46"/>
      <c r="T285" s="44" t="n">
        <f aca="false">IF($B285="","",COUNTA($N285:$R285)-COUNTIF($N285:$R285,"Not Invited"))</f>
        <v>0</v>
      </c>
      <c r="U285" s="44" t="n">
        <f aca="false">IF($B285="","",COUNTIF($N285:$R285,"Attended"))</f>
        <v>0</v>
      </c>
      <c r="V285" s="47" t="str">
        <f aca="false">IF($B285="","",_xlfn.TEXTJOIN(", ",TRUE(),IF($N285="Attended",Setup!$D$15,""),IF($O285="Attended",Setup!$D$16,""),IF($P285="Attended",Setup!$D$17,""),IF($Q285="Attended",Setup!$D$18,""),IF($R285="Attended",Setup!$D$19,"")))</f>
        <v/>
      </c>
      <c r="W285" s="48" t="str">
        <f aca="true">IF(OR($B285="",NOT(ISNUMBER($H285))),"",TODAY()-$H285)</f>
        <v/>
      </c>
      <c r="X285" s="47" t="str">
        <f aca="false">IF($B285="","",IF($U285&gt;0,"Event attendee",IF($G285="Yes","Met (no event)",IF($T285&gt;0,"Invited only",IF(OR($L285="Yes",$M285="Yes"),"Contacted only","Not yet contacted")))))</f>
        <v>Contacted only</v>
      </c>
      <c r="Y285" s="47" t="n">
        <f aca="false">IF($B285="","",COUNTIF(c_Firm,"&lt;"&amp;$D285)+COUNTIFS(c_Firm,$D285,c_Name,"&lt;"&amp;$B285)+COUNTIFS($D$2:$D285,$D285,$B$2:$B285,$B285))</f>
        <v>284</v>
      </c>
      <c r="Z285" s="47" t="n">
        <f aca="false">IF($B285="","",IF(AND(OR(Contacts!$C$3="(All)",$D285=Contacts!$C$3),OR(Contacts!$E$3="(All)",$G285=Contacts!$E$3),OR(Contacts!$G$3="(All)",ISNUMBER(SEARCH(Contacts!$G$3,$V285))),OR(Contacts!$I$3="(All)",$X285=Contacts!$I$3),OR(Contacts!$K$3="",ISNUMBER(SEARCH(Contacts!$K$3,$B285&amp;" "&amp;$C285&amp;" "&amp;$D285&amp;" "&amp;$S285)))),1,0))</f>
        <v>1</v>
      </c>
      <c r="AA285" s="47" t="n">
        <f aca="false">IF($Z285=1,COUNTIFS(c_Pass,1,c_Sort,"&lt;="&amp;$Y285),"")</f>
        <v>284</v>
      </c>
      <c r="AB285" s="47" t="str">
        <f aca="false">IF(OR($G285&lt;&gt;"Yes",NOT(ISNUMBER($H285))),"",COUNTIFS(c_Met,"Yes",c_Date,"&lt;"&amp;$H285)+COUNTIFS($G$2:$G285,"Yes",$H$2:$H285,$H285))</f>
        <v/>
      </c>
    </row>
    <row r="286" customFormat="false" ht="15" hidden="false" customHeight="false" outlineLevel="0" collapsed="false">
      <c r="A286" s="44" t="n">
        <f aca="false">IF($B286="","",COUNTA($B$2:$B286))</f>
        <v>285</v>
      </c>
      <c r="B286" s="11" t="s">
        <v>732</v>
      </c>
      <c r="C286" s="11" t="s">
        <v>733</v>
      </c>
      <c r="D286" s="11" t="s">
        <v>26</v>
      </c>
      <c r="E286" s="11" t="s">
        <v>131</v>
      </c>
      <c r="F286" s="11" t="s">
        <v>70</v>
      </c>
      <c r="G286" s="34" t="s">
        <v>132</v>
      </c>
      <c r="H286" s="25"/>
      <c r="I286" s="40" t="n">
        <v>0</v>
      </c>
      <c r="J286" s="34" t="s">
        <v>132</v>
      </c>
      <c r="K286" s="45"/>
      <c r="L286" s="34" t="s">
        <v>142</v>
      </c>
      <c r="M286" s="34"/>
      <c r="N286" s="11" t="s">
        <v>133</v>
      </c>
      <c r="O286" s="11" t="s">
        <v>133</v>
      </c>
      <c r="P286" s="11" t="s">
        <v>133</v>
      </c>
      <c r="Q286" s="11" t="s">
        <v>133</v>
      </c>
      <c r="R286" s="11" t="s">
        <v>133</v>
      </c>
      <c r="S286" s="46"/>
      <c r="T286" s="44" t="n">
        <f aca="false">IF($B286="","",COUNTA($N286:$R286)-COUNTIF($N286:$R286,"Not Invited"))</f>
        <v>0</v>
      </c>
      <c r="U286" s="44" t="n">
        <f aca="false">IF($B286="","",COUNTIF($N286:$R286,"Attended"))</f>
        <v>0</v>
      </c>
      <c r="V286" s="47" t="str">
        <f aca="false">IF($B286="","",_xlfn.TEXTJOIN(", ",TRUE(),IF($N286="Attended",Setup!$D$15,""),IF($O286="Attended",Setup!$D$16,""),IF($P286="Attended",Setup!$D$17,""),IF($Q286="Attended",Setup!$D$18,""),IF($R286="Attended",Setup!$D$19,"")))</f>
        <v/>
      </c>
      <c r="W286" s="48" t="str">
        <f aca="true">IF(OR($B286="",NOT(ISNUMBER($H286))),"",TODAY()-$H286)</f>
        <v/>
      </c>
      <c r="X286" s="47" t="str">
        <f aca="false">IF($B286="","",IF($U286&gt;0,"Event attendee",IF($G286="Yes","Met (no event)",IF($T286&gt;0,"Invited only",IF(OR($L286="Yes",$M286="Yes"),"Contacted only","Not yet contacted")))))</f>
        <v>Contacted only</v>
      </c>
      <c r="Y286" s="47" t="n">
        <f aca="false">IF($B286="","",COUNTIF(c_Firm,"&lt;"&amp;$D286)+COUNTIFS(c_Firm,$D286,c_Name,"&lt;"&amp;$B286)+COUNTIFS($D$2:$D286,$D286,$B$2:$B286,$B286))</f>
        <v>285</v>
      </c>
      <c r="Z286" s="47" t="n">
        <f aca="false">IF($B286="","",IF(AND(OR(Contacts!$C$3="(All)",$D286=Contacts!$C$3),OR(Contacts!$E$3="(All)",$G286=Contacts!$E$3),OR(Contacts!$G$3="(All)",ISNUMBER(SEARCH(Contacts!$G$3,$V286))),OR(Contacts!$I$3="(All)",$X286=Contacts!$I$3),OR(Contacts!$K$3="",ISNUMBER(SEARCH(Contacts!$K$3,$B286&amp;" "&amp;$C286&amp;" "&amp;$D286&amp;" "&amp;$S286)))),1,0))</f>
        <v>1</v>
      </c>
      <c r="AA286" s="47" t="n">
        <f aca="false">IF($Z286=1,COUNTIFS(c_Pass,1,c_Sort,"&lt;="&amp;$Y286),"")</f>
        <v>285</v>
      </c>
      <c r="AB286" s="47" t="str">
        <f aca="false">IF(OR($G286&lt;&gt;"Yes",NOT(ISNUMBER($H286))),"",COUNTIFS(c_Met,"Yes",c_Date,"&lt;"&amp;$H286)+COUNTIFS($G$2:$G286,"Yes",$H$2:$H286,$H286))</f>
        <v/>
      </c>
    </row>
    <row r="287" customFormat="false" ht="15" hidden="false" customHeight="false" outlineLevel="0" collapsed="false">
      <c r="A287" s="44" t="n">
        <f aca="false">IF($B287="","",COUNTA($B$2:$B287))</f>
        <v>286</v>
      </c>
      <c r="B287" s="11" t="s">
        <v>734</v>
      </c>
      <c r="C287" s="11" t="s">
        <v>735</v>
      </c>
      <c r="D287" s="11" t="s">
        <v>26</v>
      </c>
      <c r="E287" s="11" t="s">
        <v>131</v>
      </c>
      <c r="F287" s="11" t="s">
        <v>70</v>
      </c>
      <c r="G287" s="34" t="s">
        <v>132</v>
      </c>
      <c r="H287" s="25"/>
      <c r="I287" s="40" t="n">
        <v>0</v>
      </c>
      <c r="J287" s="34" t="s">
        <v>132</v>
      </c>
      <c r="K287" s="45"/>
      <c r="L287" s="34" t="s">
        <v>142</v>
      </c>
      <c r="M287" s="34"/>
      <c r="N287" s="11" t="s">
        <v>133</v>
      </c>
      <c r="O287" s="11" t="s">
        <v>133</v>
      </c>
      <c r="P287" s="11" t="s">
        <v>133</v>
      </c>
      <c r="Q287" s="11" t="s">
        <v>133</v>
      </c>
      <c r="R287" s="11" t="s">
        <v>133</v>
      </c>
      <c r="S287" s="46"/>
      <c r="T287" s="44" t="n">
        <f aca="false">IF($B287="","",COUNTA($N287:$R287)-COUNTIF($N287:$R287,"Not Invited"))</f>
        <v>0</v>
      </c>
      <c r="U287" s="44" t="n">
        <f aca="false">IF($B287="","",COUNTIF($N287:$R287,"Attended"))</f>
        <v>0</v>
      </c>
      <c r="V287" s="47" t="str">
        <f aca="false">IF($B287="","",_xlfn.TEXTJOIN(", ",TRUE(),IF($N287="Attended",Setup!$D$15,""),IF($O287="Attended",Setup!$D$16,""),IF($P287="Attended",Setup!$D$17,""),IF($Q287="Attended",Setup!$D$18,""),IF($R287="Attended",Setup!$D$19,"")))</f>
        <v/>
      </c>
      <c r="W287" s="48" t="str">
        <f aca="true">IF(OR($B287="",NOT(ISNUMBER($H287))),"",TODAY()-$H287)</f>
        <v/>
      </c>
      <c r="X287" s="47" t="str">
        <f aca="false">IF($B287="","",IF($U287&gt;0,"Event attendee",IF($G287="Yes","Met (no event)",IF($T287&gt;0,"Invited only",IF(OR($L287="Yes",$M287="Yes"),"Contacted only","Not yet contacted")))))</f>
        <v>Contacted only</v>
      </c>
      <c r="Y287" s="47" t="n">
        <f aca="false">IF($B287="","",COUNTIF(c_Firm,"&lt;"&amp;$D287)+COUNTIFS(c_Firm,$D287,c_Name,"&lt;"&amp;$B287)+COUNTIFS($D$2:$D287,$D287,$B$2:$B287,$B287))</f>
        <v>286</v>
      </c>
      <c r="Z287" s="47" t="n">
        <f aca="false">IF($B287="","",IF(AND(OR(Contacts!$C$3="(All)",$D287=Contacts!$C$3),OR(Contacts!$E$3="(All)",$G287=Contacts!$E$3),OR(Contacts!$G$3="(All)",ISNUMBER(SEARCH(Contacts!$G$3,$V287))),OR(Contacts!$I$3="(All)",$X287=Contacts!$I$3),OR(Contacts!$K$3="",ISNUMBER(SEARCH(Contacts!$K$3,$B287&amp;" "&amp;$C287&amp;" "&amp;$D287&amp;" "&amp;$S287)))),1,0))</f>
        <v>1</v>
      </c>
      <c r="AA287" s="47" t="n">
        <f aca="false">IF($Z287=1,COUNTIFS(c_Pass,1,c_Sort,"&lt;="&amp;$Y287),"")</f>
        <v>286</v>
      </c>
      <c r="AB287" s="47" t="str">
        <f aca="false">IF(OR($G287&lt;&gt;"Yes",NOT(ISNUMBER($H287))),"",COUNTIFS(c_Met,"Yes",c_Date,"&lt;"&amp;$H287)+COUNTIFS($G$2:$G287,"Yes",$H$2:$H287,$H287))</f>
        <v/>
      </c>
    </row>
    <row r="288" customFormat="false" ht="15" hidden="false" customHeight="false" outlineLevel="0" collapsed="false">
      <c r="A288" s="44" t="n">
        <f aca="false">IF($B288="","",COUNTA($B$2:$B288))</f>
        <v>287</v>
      </c>
      <c r="B288" s="11" t="s">
        <v>736</v>
      </c>
      <c r="C288" s="11" t="s">
        <v>737</v>
      </c>
      <c r="D288" s="11" t="s">
        <v>26</v>
      </c>
      <c r="E288" s="11" t="s">
        <v>131</v>
      </c>
      <c r="F288" s="11" t="s">
        <v>70</v>
      </c>
      <c r="G288" s="34" t="s">
        <v>132</v>
      </c>
      <c r="H288" s="25"/>
      <c r="I288" s="40" t="n">
        <v>0</v>
      </c>
      <c r="J288" s="34" t="s">
        <v>132</v>
      </c>
      <c r="K288" s="45"/>
      <c r="L288" s="34" t="s">
        <v>142</v>
      </c>
      <c r="M288" s="34"/>
      <c r="N288" s="11" t="s">
        <v>133</v>
      </c>
      <c r="O288" s="11" t="s">
        <v>133</v>
      </c>
      <c r="P288" s="11" t="s">
        <v>133</v>
      </c>
      <c r="Q288" s="11" t="s">
        <v>133</v>
      </c>
      <c r="R288" s="11" t="s">
        <v>133</v>
      </c>
      <c r="S288" s="46"/>
      <c r="T288" s="44" t="n">
        <f aca="false">IF($B288="","",COUNTA($N288:$R288)-COUNTIF($N288:$R288,"Not Invited"))</f>
        <v>0</v>
      </c>
      <c r="U288" s="44" t="n">
        <f aca="false">IF($B288="","",COUNTIF($N288:$R288,"Attended"))</f>
        <v>0</v>
      </c>
      <c r="V288" s="47" t="str">
        <f aca="false">IF($B288="","",_xlfn.TEXTJOIN(", ",TRUE(),IF($N288="Attended",Setup!$D$15,""),IF($O288="Attended",Setup!$D$16,""),IF($P288="Attended",Setup!$D$17,""),IF($Q288="Attended",Setup!$D$18,""),IF($R288="Attended",Setup!$D$19,"")))</f>
        <v/>
      </c>
      <c r="W288" s="48" t="str">
        <f aca="true">IF(OR($B288="",NOT(ISNUMBER($H288))),"",TODAY()-$H288)</f>
        <v/>
      </c>
      <c r="X288" s="47" t="str">
        <f aca="false">IF($B288="","",IF($U288&gt;0,"Event attendee",IF($G288="Yes","Met (no event)",IF($T288&gt;0,"Invited only",IF(OR($L288="Yes",$M288="Yes"),"Contacted only","Not yet contacted")))))</f>
        <v>Contacted only</v>
      </c>
      <c r="Y288" s="47" t="n">
        <f aca="false">IF($B288="","",COUNTIF(c_Firm,"&lt;"&amp;$D288)+COUNTIFS(c_Firm,$D288,c_Name,"&lt;"&amp;$B288)+COUNTIFS($D$2:$D288,$D288,$B$2:$B288,$B288))</f>
        <v>287</v>
      </c>
      <c r="Z288" s="47" t="n">
        <f aca="false">IF($B288="","",IF(AND(OR(Contacts!$C$3="(All)",$D288=Contacts!$C$3),OR(Contacts!$E$3="(All)",$G288=Contacts!$E$3),OR(Contacts!$G$3="(All)",ISNUMBER(SEARCH(Contacts!$G$3,$V288))),OR(Contacts!$I$3="(All)",$X288=Contacts!$I$3),OR(Contacts!$K$3="",ISNUMBER(SEARCH(Contacts!$K$3,$B288&amp;" "&amp;$C288&amp;" "&amp;$D288&amp;" "&amp;$S288)))),1,0))</f>
        <v>1</v>
      </c>
      <c r="AA288" s="47" t="n">
        <f aca="false">IF($Z288=1,COUNTIFS(c_Pass,1,c_Sort,"&lt;="&amp;$Y288),"")</f>
        <v>287</v>
      </c>
      <c r="AB288" s="47" t="str">
        <f aca="false">IF(OR($G288&lt;&gt;"Yes",NOT(ISNUMBER($H288))),"",COUNTIFS(c_Met,"Yes",c_Date,"&lt;"&amp;$H288)+COUNTIFS($G$2:$G288,"Yes",$H$2:$H288,$H288))</f>
        <v/>
      </c>
    </row>
    <row r="289" customFormat="false" ht="15" hidden="false" customHeight="false" outlineLevel="0" collapsed="false">
      <c r="A289" s="44" t="n">
        <f aca="false">IF($B289="","",COUNTA($B$2:$B289))</f>
        <v>288</v>
      </c>
      <c r="B289" s="11" t="s">
        <v>738</v>
      </c>
      <c r="C289" s="11" t="s">
        <v>739</v>
      </c>
      <c r="D289" s="11" t="s">
        <v>26</v>
      </c>
      <c r="E289" s="11" t="s">
        <v>131</v>
      </c>
      <c r="F289" s="11" t="s">
        <v>70</v>
      </c>
      <c r="G289" s="34" t="s">
        <v>132</v>
      </c>
      <c r="H289" s="25"/>
      <c r="I289" s="40" t="n">
        <v>0</v>
      </c>
      <c r="J289" s="34" t="s">
        <v>132</v>
      </c>
      <c r="K289" s="45"/>
      <c r="L289" s="34" t="s">
        <v>142</v>
      </c>
      <c r="M289" s="34"/>
      <c r="N289" s="11" t="s">
        <v>133</v>
      </c>
      <c r="O289" s="11" t="s">
        <v>133</v>
      </c>
      <c r="P289" s="11" t="s">
        <v>133</v>
      </c>
      <c r="Q289" s="11" t="s">
        <v>133</v>
      </c>
      <c r="R289" s="11" t="s">
        <v>133</v>
      </c>
      <c r="S289" s="46"/>
      <c r="T289" s="44" t="n">
        <f aca="false">IF($B289="","",COUNTA($N289:$R289)-COUNTIF($N289:$R289,"Not Invited"))</f>
        <v>0</v>
      </c>
      <c r="U289" s="44" t="n">
        <f aca="false">IF($B289="","",COUNTIF($N289:$R289,"Attended"))</f>
        <v>0</v>
      </c>
      <c r="V289" s="47" t="str">
        <f aca="false">IF($B289="","",_xlfn.TEXTJOIN(", ",TRUE(),IF($N289="Attended",Setup!$D$15,""),IF($O289="Attended",Setup!$D$16,""),IF($P289="Attended",Setup!$D$17,""),IF($Q289="Attended",Setup!$D$18,""),IF($R289="Attended",Setup!$D$19,"")))</f>
        <v/>
      </c>
      <c r="W289" s="48" t="str">
        <f aca="true">IF(OR($B289="",NOT(ISNUMBER($H289))),"",TODAY()-$H289)</f>
        <v/>
      </c>
      <c r="X289" s="47" t="str">
        <f aca="false">IF($B289="","",IF($U289&gt;0,"Event attendee",IF($G289="Yes","Met (no event)",IF($T289&gt;0,"Invited only",IF(OR($L289="Yes",$M289="Yes"),"Contacted only","Not yet contacted")))))</f>
        <v>Contacted only</v>
      </c>
      <c r="Y289" s="47" t="n">
        <f aca="false">IF($B289="","",COUNTIF(c_Firm,"&lt;"&amp;$D289)+COUNTIFS(c_Firm,$D289,c_Name,"&lt;"&amp;$B289)+COUNTIFS($D$2:$D289,$D289,$B$2:$B289,$B289))</f>
        <v>288</v>
      </c>
      <c r="Z289" s="47" t="n">
        <f aca="false">IF($B289="","",IF(AND(OR(Contacts!$C$3="(All)",$D289=Contacts!$C$3),OR(Contacts!$E$3="(All)",$G289=Contacts!$E$3),OR(Contacts!$G$3="(All)",ISNUMBER(SEARCH(Contacts!$G$3,$V289))),OR(Contacts!$I$3="(All)",$X289=Contacts!$I$3),OR(Contacts!$K$3="",ISNUMBER(SEARCH(Contacts!$K$3,$B289&amp;" "&amp;$C289&amp;" "&amp;$D289&amp;" "&amp;$S289)))),1,0))</f>
        <v>1</v>
      </c>
      <c r="AA289" s="47" t="n">
        <f aca="false">IF($Z289=1,COUNTIFS(c_Pass,1,c_Sort,"&lt;="&amp;$Y289),"")</f>
        <v>288</v>
      </c>
      <c r="AB289" s="47" t="str">
        <f aca="false">IF(OR($G289&lt;&gt;"Yes",NOT(ISNUMBER($H289))),"",COUNTIFS(c_Met,"Yes",c_Date,"&lt;"&amp;$H289)+COUNTIFS($G$2:$G289,"Yes",$H$2:$H289,$H289))</f>
        <v/>
      </c>
    </row>
    <row r="290" customFormat="false" ht="15" hidden="false" customHeight="false" outlineLevel="0" collapsed="false">
      <c r="A290" s="44" t="n">
        <f aca="false">IF($B290="","",COUNTA($B$2:$B290))</f>
        <v>289</v>
      </c>
      <c r="B290" s="11" t="s">
        <v>740</v>
      </c>
      <c r="C290" s="11" t="s">
        <v>741</v>
      </c>
      <c r="D290" s="11" t="s">
        <v>26</v>
      </c>
      <c r="E290" s="11" t="s">
        <v>131</v>
      </c>
      <c r="F290" s="11" t="s">
        <v>70</v>
      </c>
      <c r="G290" s="34" t="s">
        <v>132</v>
      </c>
      <c r="H290" s="25"/>
      <c r="I290" s="40" t="n">
        <v>0</v>
      </c>
      <c r="J290" s="34" t="s">
        <v>132</v>
      </c>
      <c r="K290" s="45"/>
      <c r="L290" s="34" t="s">
        <v>142</v>
      </c>
      <c r="M290" s="34"/>
      <c r="N290" s="11" t="s">
        <v>133</v>
      </c>
      <c r="O290" s="11" t="s">
        <v>133</v>
      </c>
      <c r="P290" s="11" t="s">
        <v>133</v>
      </c>
      <c r="Q290" s="11" t="s">
        <v>133</v>
      </c>
      <c r="R290" s="11" t="s">
        <v>133</v>
      </c>
      <c r="S290" s="46"/>
      <c r="T290" s="44" t="n">
        <f aca="false">IF($B290="","",COUNTA($N290:$R290)-COUNTIF($N290:$R290,"Not Invited"))</f>
        <v>0</v>
      </c>
      <c r="U290" s="44" t="n">
        <f aca="false">IF($B290="","",COUNTIF($N290:$R290,"Attended"))</f>
        <v>0</v>
      </c>
      <c r="V290" s="47" t="str">
        <f aca="false">IF($B290="","",_xlfn.TEXTJOIN(", ",TRUE(),IF($N290="Attended",Setup!$D$15,""),IF($O290="Attended",Setup!$D$16,""),IF($P290="Attended",Setup!$D$17,""),IF($Q290="Attended",Setup!$D$18,""),IF($R290="Attended",Setup!$D$19,"")))</f>
        <v/>
      </c>
      <c r="W290" s="48" t="str">
        <f aca="true">IF(OR($B290="",NOT(ISNUMBER($H290))),"",TODAY()-$H290)</f>
        <v/>
      </c>
      <c r="X290" s="47" t="str">
        <f aca="false">IF($B290="","",IF($U290&gt;0,"Event attendee",IF($G290="Yes","Met (no event)",IF($T290&gt;0,"Invited only",IF(OR($L290="Yes",$M290="Yes"),"Contacted only","Not yet contacted")))))</f>
        <v>Contacted only</v>
      </c>
      <c r="Y290" s="47" t="n">
        <f aca="false">IF($B290="","",COUNTIF(c_Firm,"&lt;"&amp;$D290)+COUNTIFS(c_Firm,$D290,c_Name,"&lt;"&amp;$B290)+COUNTIFS($D$2:$D290,$D290,$B$2:$B290,$B290))</f>
        <v>289</v>
      </c>
      <c r="Z290" s="47" t="n">
        <f aca="false">IF($B290="","",IF(AND(OR(Contacts!$C$3="(All)",$D290=Contacts!$C$3),OR(Contacts!$E$3="(All)",$G290=Contacts!$E$3),OR(Contacts!$G$3="(All)",ISNUMBER(SEARCH(Contacts!$G$3,$V290))),OR(Contacts!$I$3="(All)",$X290=Contacts!$I$3),OR(Contacts!$K$3="",ISNUMBER(SEARCH(Contacts!$K$3,$B290&amp;" "&amp;$C290&amp;" "&amp;$D290&amp;" "&amp;$S290)))),1,0))</f>
        <v>1</v>
      </c>
      <c r="AA290" s="47" t="n">
        <f aca="false">IF($Z290=1,COUNTIFS(c_Pass,1,c_Sort,"&lt;="&amp;$Y290),"")</f>
        <v>289</v>
      </c>
      <c r="AB290" s="47" t="str">
        <f aca="false">IF(OR($G290&lt;&gt;"Yes",NOT(ISNUMBER($H290))),"",COUNTIFS(c_Met,"Yes",c_Date,"&lt;"&amp;$H290)+COUNTIFS($G$2:$G290,"Yes",$H$2:$H290,$H290))</f>
        <v/>
      </c>
    </row>
    <row r="291" customFormat="false" ht="15" hidden="false" customHeight="false" outlineLevel="0" collapsed="false">
      <c r="A291" s="44" t="n">
        <f aca="false">IF($B291="","",COUNTA($B$2:$B291))</f>
        <v>290</v>
      </c>
      <c r="B291" s="11" t="s">
        <v>742</v>
      </c>
      <c r="C291" s="11" t="s">
        <v>743</v>
      </c>
      <c r="D291" s="11" t="s">
        <v>26</v>
      </c>
      <c r="E291" s="11" t="s">
        <v>131</v>
      </c>
      <c r="F291" s="11" t="s">
        <v>70</v>
      </c>
      <c r="G291" s="34" t="s">
        <v>132</v>
      </c>
      <c r="H291" s="25"/>
      <c r="I291" s="40" t="n">
        <v>0</v>
      </c>
      <c r="J291" s="34" t="s">
        <v>132</v>
      </c>
      <c r="K291" s="45"/>
      <c r="L291" s="34" t="s">
        <v>142</v>
      </c>
      <c r="M291" s="34"/>
      <c r="N291" s="11" t="s">
        <v>133</v>
      </c>
      <c r="O291" s="11" t="s">
        <v>133</v>
      </c>
      <c r="P291" s="11" t="s">
        <v>133</v>
      </c>
      <c r="Q291" s="11" t="s">
        <v>133</v>
      </c>
      <c r="R291" s="11" t="s">
        <v>133</v>
      </c>
      <c r="S291" s="46"/>
      <c r="T291" s="44" t="n">
        <f aca="false">IF($B291="","",COUNTA($N291:$R291)-COUNTIF($N291:$R291,"Not Invited"))</f>
        <v>0</v>
      </c>
      <c r="U291" s="44" t="n">
        <f aca="false">IF($B291="","",COUNTIF($N291:$R291,"Attended"))</f>
        <v>0</v>
      </c>
      <c r="V291" s="47" t="str">
        <f aca="false">IF($B291="","",_xlfn.TEXTJOIN(", ",TRUE(),IF($N291="Attended",Setup!$D$15,""),IF($O291="Attended",Setup!$D$16,""),IF($P291="Attended",Setup!$D$17,""),IF($Q291="Attended",Setup!$D$18,""),IF($R291="Attended",Setup!$D$19,"")))</f>
        <v/>
      </c>
      <c r="W291" s="48" t="str">
        <f aca="true">IF(OR($B291="",NOT(ISNUMBER($H291))),"",TODAY()-$H291)</f>
        <v/>
      </c>
      <c r="X291" s="47" t="str">
        <f aca="false">IF($B291="","",IF($U291&gt;0,"Event attendee",IF($G291="Yes","Met (no event)",IF($T291&gt;0,"Invited only",IF(OR($L291="Yes",$M291="Yes"),"Contacted only","Not yet contacted")))))</f>
        <v>Contacted only</v>
      </c>
      <c r="Y291" s="47" t="n">
        <f aca="false">IF($B291="","",COUNTIF(c_Firm,"&lt;"&amp;$D291)+COUNTIFS(c_Firm,$D291,c_Name,"&lt;"&amp;$B291)+COUNTIFS($D$2:$D291,$D291,$B$2:$B291,$B291))</f>
        <v>290</v>
      </c>
      <c r="Z291" s="47" t="n">
        <f aca="false">IF($B291="","",IF(AND(OR(Contacts!$C$3="(All)",$D291=Contacts!$C$3),OR(Contacts!$E$3="(All)",$G291=Contacts!$E$3),OR(Contacts!$G$3="(All)",ISNUMBER(SEARCH(Contacts!$G$3,$V291))),OR(Contacts!$I$3="(All)",$X291=Contacts!$I$3),OR(Contacts!$K$3="",ISNUMBER(SEARCH(Contacts!$K$3,$B291&amp;" "&amp;$C291&amp;" "&amp;$D291&amp;" "&amp;$S291)))),1,0))</f>
        <v>1</v>
      </c>
      <c r="AA291" s="47" t="n">
        <f aca="false">IF($Z291=1,COUNTIFS(c_Pass,1,c_Sort,"&lt;="&amp;$Y291),"")</f>
        <v>290</v>
      </c>
      <c r="AB291" s="47" t="str">
        <f aca="false">IF(OR($G291&lt;&gt;"Yes",NOT(ISNUMBER($H291))),"",COUNTIFS(c_Met,"Yes",c_Date,"&lt;"&amp;$H291)+COUNTIFS($G$2:$G291,"Yes",$H$2:$H291,$H291))</f>
        <v/>
      </c>
    </row>
    <row r="292" customFormat="false" ht="15" hidden="false" customHeight="false" outlineLevel="0" collapsed="false">
      <c r="A292" s="44" t="n">
        <f aca="false">IF($B292="","",COUNTA($B$2:$B292))</f>
        <v>291</v>
      </c>
      <c r="B292" s="11" t="s">
        <v>744</v>
      </c>
      <c r="C292" s="11" t="s">
        <v>745</v>
      </c>
      <c r="D292" s="11" t="s">
        <v>26</v>
      </c>
      <c r="E292" s="11" t="s">
        <v>131</v>
      </c>
      <c r="F292" s="11" t="s">
        <v>70</v>
      </c>
      <c r="G292" s="34" t="s">
        <v>132</v>
      </c>
      <c r="H292" s="25"/>
      <c r="I292" s="40" t="n">
        <v>0</v>
      </c>
      <c r="J292" s="34" t="s">
        <v>132</v>
      </c>
      <c r="K292" s="45"/>
      <c r="L292" s="34" t="s">
        <v>142</v>
      </c>
      <c r="M292" s="34"/>
      <c r="N292" s="11" t="s">
        <v>133</v>
      </c>
      <c r="O292" s="11" t="s">
        <v>133</v>
      </c>
      <c r="P292" s="11" t="s">
        <v>133</v>
      </c>
      <c r="Q292" s="11" t="s">
        <v>133</v>
      </c>
      <c r="R292" s="11" t="s">
        <v>133</v>
      </c>
      <c r="S292" s="46"/>
      <c r="T292" s="44" t="n">
        <f aca="false">IF($B292="","",COUNTA($N292:$R292)-COUNTIF($N292:$R292,"Not Invited"))</f>
        <v>0</v>
      </c>
      <c r="U292" s="44" t="n">
        <f aca="false">IF($B292="","",COUNTIF($N292:$R292,"Attended"))</f>
        <v>0</v>
      </c>
      <c r="V292" s="47" t="str">
        <f aca="false">IF($B292="","",_xlfn.TEXTJOIN(", ",TRUE(),IF($N292="Attended",Setup!$D$15,""),IF($O292="Attended",Setup!$D$16,""),IF($P292="Attended",Setup!$D$17,""),IF($Q292="Attended",Setup!$D$18,""),IF($R292="Attended",Setup!$D$19,"")))</f>
        <v/>
      </c>
      <c r="W292" s="48" t="str">
        <f aca="true">IF(OR($B292="",NOT(ISNUMBER($H292))),"",TODAY()-$H292)</f>
        <v/>
      </c>
      <c r="X292" s="47" t="str">
        <f aca="false">IF($B292="","",IF($U292&gt;0,"Event attendee",IF($G292="Yes","Met (no event)",IF($T292&gt;0,"Invited only",IF(OR($L292="Yes",$M292="Yes"),"Contacted only","Not yet contacted")))))</f>
        <v>Contacted only</v>
      </c>
      <c r="Y292" s="47" t="n">
        <f aca="false">IF($B292="","",COUNTIF(c_Firm,"&lt;"&amp;$D292)+COUNTIFS(c_Firm,$D292,c_Name,"&lt;"&amp;$B292)+COUNTIFS($D$2:$D292,$D292,$B$2:$B292,$B292))</f>
        <v>291</v>
      </c>
      <c r="Z292" s="47" t="n">
        <f aca="false">IF($B292="","",IF(AND(OR(Contacts!$C$3="(All)",$D292=Contacts!$C$3),OR(Contacts!$E$3="(All)",$G292=Contacts!$E$3),OR(Contacts!$G$3="(All)",ISNUMBER(SEARCH(Contacts!$G$3,$V292))),OR(Contacts!$I$3="(All)",$X292=Contacts!$I$3),OR(Contacts!$K$3="",ISNUMBER(SEARCH(Contacts!$K$3,$B292&amp;" "&amp;$C292&amp;" "&amp;$D292&amp;" "&amp;$S292)))),1,0))</f>
        <v>1</v>
      </c>
      <c r="AA292" s="47" t="n">
        <f aca="false">IF($Z292=1,COUNTIFS(c_Pass,1,c_Sort,"&lt;="&amp;$Y292),"")</f>
        <v>291</v>
      </c>
      <c r="AB292" s="47" t="str">
        <f aca="false">IF(OR($G292&lt;&gt;"Yes",NOT(ISNUMBER($H292))),"",COUNTIFS(c_Met,"Yes",c_Date,"&lt;"&amp;$H292)+COUNTIFS($G$2:$G292,"Yes",$H$2:$H292,$H292))</f>
        <v/>
      </c>
    </row>
    <row r="293" customFormat="false" ht="15" hidden="false" customHeight="false" outlineLevel="0" collapsed="false">
      <c r="A293" s="44" t="n">
        <f aca="false">IF($B293="","",COUNTA($B$2:$B293))</f>
        <v>292</v>
      </c>
      <c r="B293" s="11" t="s">
        <v>746</v>
      </c>
      <c r="C293" s="11" t="s">
        <v>747</v>
      </c>
      <c r="D293" s="11" t="s">
        <v>26</v>
      </c>
      <c r="E293" s="11" t="s">
        <v>131</v>
      </c>
      <c r="F293" s="11" t="s">
        <v>70</v>
      </c>
      <c r="G293" s="34" t="s">
        <v>132</v>
      </c>
      <c r="H293" s="25"/>
      <c r="I293" s="40" t="n">
        <v>0</v>
      </c>
      <c r="J293" s="34" t="s">
        <v>132</v>
      </c>
      <c r="K293" s="45"/>
      <c r="L293" s="34" t="s">
        <v>142</v>
      </c>
      <c r="M293" s="34"/>
      <c r="N293" s="11" t="s">
        <v>133</v>
      </c>
      <c r="O293" s="11" t="s">
        <v>133</v>
      </c>
      <c r="P293" s="11" t="s">
        <v>133</v>
      </c>
      <c r="Q293" s="11" t="s">
        <v>133</v>
      </c>
      <c r="R293" s="11" t="s">
        <v>133</v>
      </c>
      <c r="S293" s="46"/>
      <c r="T293" s="44" t="n">
        <f aca="false">IF($B293="","",COUNTA($N293:$R293)-COUNTIF($N293:$R293,"Not Invited"))</f>
        <v>0</v>
      </c>
      <c r="U293" s="44" t="n">
        <f aca="false">IF($B293="","",COUNTIF($N293:$R293,"Attended"))</f>
        <v>0</v>
      </c>
      <c r="V293" s="47" t="str">
        <f aca="false">IF($B293="","",_xlfn.TEXTJOIN(", ",TRUE(),IF($N293="Attended",Setup!$D$15,""),IF($O293="Attended",Setup!$D$16,""),IF($P293="Attended",Setup!$D$17,""),IF($Q293="Attended",Setup!$D$18,""),IF($R293="Attended",Setup!$D$19,"")))</f>
        <v/>
      </c>
      <c r="W293" s="48" t="str">
        <f aca="true">IF(OR($B293="",NOT(ISNUMBER($H293))),"",TODAY()-$H293)</f>
        <v/>
      </c>
      <c r="X293" s="47" t="str">
        <f aca="false">IF($B293="","",IF($U293&gt;0,"Event attendee",IF($G293="Yes","Met (no event)",IF($T293&gt;0,"Invited only",IF(OR($L293="Yes",$M293="Yes"),"Contacted only","Not yet contacted")))))</f>
        <v>Contacted only</v>
      </c>
      <c r="Y293" s="47" t="n">
        <f aca="false">IF($B293="","",COUNTIF(c_Firm,"&lt;"&amp;$D293)+COUNTIFS(c_Firm,$D293,c_Name,"&lt;"&amp;$B293)+COUNTIFS($D$2:$D293,$D293,$B$2:$B293,$B293))</f>
        <v>292</v>
      </c>
      <c r="Z293" s="47" t="n">
        <f aca="false">IF($B293="","",IF(AND(OR(Contacts!$C$3="(All)",$D293=Contacts!$C$3),OR(Contacts!$E$3="(All)",$G293=Contacts!$E$3),OR(Contacts!$G$3="(All)",ISNUMBER(SEARCH(Contacts!$G$3,$V293))),OR(Contacts!$I$3="(All)",$X293=Contacts!$I$3),OR(Contacts!$K$3="",ISNUMBER(SEARCH(Contacts!$K$3,$B293&amp;" "&amp;$C293&amp;" "&amp;$D293&amp;" "&amp;$S293)))),1,0))</f>
        <v>1</v>
      </c>
      <c r="AA293" s="47" t="n">
        <f aca="false">IF($Z293=1,COUNTIFS(c_Pass,1,c_Sort,"&lt;="&amp;$Y293),"")</f>
        <v>292</v>
      </c>
      <c r="AB293" s="47" t="str">
        <f aca="false">IF(OR($G293&lt;&gt;"Yes",NOT(ISNUMBER($H293))),"",COUNTIFS(c_Met,"Yes",c_Date,"&lt;"&amp;$H293)+COUNTIFS($G$2:$G293,"Yes",$H$2:$H293,$H293))</f>
        <v/>
      </c>
    </row>
    <row r="294" customFormat="false" ht="15" hidden="false" customHeight="false" outlineLevel="0" collapsed="false">
      <c r="A294" s="44" t="n">
        <f aca="false">IF($B294="","",COUNTA($B$2:$B294))</f>
        <v>293</v>
      </c>
      <c r="B294" s="11" t="s">
        <v>748</v>
      </c>
      <c r="C294" s="11"/>
      <c r="D294" s="11" t="s">
        <v>26</v>
      </c>
      <c r="E294" s="11" t="s">
        <v>193</v>
      </c>
      <c r="F294" s="11" t="s">
        <v>68</v>
      </c>
      <c r="G294" s="34" t="s">
        <v>132</v>
      </c>
      <c r="H294" s="25"/>
      <c r="I294" s="40" t="n">
        <v>0</v>
      </c>
      <c r="J294" s="34" t="s">
        <v>132</v>
      </c>
      <c r="K294" s="45"/>
      <c r="L294" s="34"/>
      <c r="M294" s="34" t="s">
        <v>142</v>
      </c>
      <c r="N294" s="11" t="s">
        <v>133</v>
      </c>
      <c r="O294" s="11" t="s">
        <v>133</v>
      </c>
      <c r="P294" s="11" t="s">
        <v>133</v>
      </c>
      <c r="Q294" s="11" t="s">
        <v>133</v>
      </c>
      <c r="R294" s="11" t="s">
        <v>133</v>
      </c>
      <c r="S294" s="46" t="s">
        <v>749</v>
      </c>
      <c r="T294" s="44" t="n">
        <f aca="false">IF($B294="","",COUNTA($N294:$R294)-COUNTIF($N294:$R294,"Not Invited"))</f>
        <v>0</v>
      </c>
      <c r="U294" s="44" t="n">
        <f aca="false">IF($B294="","",COUNTIF($N294:$R294,"Attended"))</f>
        <v>0</v>
      </c>
      <c r="V294" s="47" t="str">
        <f aca="false">IF($B294="","",_xlfn.TEXTJOIN(", ",TRUE(),IF($N294="Attended",Setup!$D$15,""),IF($O294="Attended",Setup!$D$16,""),IF($P294="Attended",Setup!$D$17,""),IF($Q294="Attended",Setup!$D$18,""),IF($R294="Attended",Setup!$D$19,"")))</f>
        <v/>
      </c>
      <c r="W294" s="48" t="str">
        <f aca="true">IF(OR($B294="",NOT(ISNUMBER($H294))),"",TODAY()-$H294)</f>
        <v/>
      </c>
      <c r="X294" s="47" t="str">
        <f aca="false">IF($B294="","",IF($U294&gt;0,"Event attendee",IF($G294="Yes","Met (no event)",IF($T294&gt;0,"Invited only",IF(OR($L294="Yes",$M294="Yes"),"Contacted only","Not yet contacted")))))</f>
        <v>Contacted only</v>
      </c>
      <c r="Y294" s="47" t="n">
        <f aca="false">IF($B294="","",COUNTIF(c_Firm,"&lt;"&amp;$D294)+COUNTIFS(c_Firm,$D294,c_Name,"&lt;"&amp;$B294)+COUNTIFS($D$2:$D294,$D294,$B$2:$B294,$B294))</f>
        <v>293</v>
      </c>
      <c r="Z294" s="47" t="n">
        <f aca="false">IF($B294="","",IF(AND(OR(Contacts!$C$3="(All)",$D294=Contacts!$C$3),OR(Contacts!$E$3="(All)",$G294=Contacts!$E$3),OR(Contacts!$G$3="(All)",ISNUMBER(SEARCH(Contacts!$G$3,$V294))),OR(Contacts!$I$3="(All)",$X294=Contacts!$I$3),OR(Contacts!$K$3="",ISNUMBER(SEARCH(Contacts!$K$3,$B294&amp;" "&amp;$C294&amp;" "&amp;$D294&amp;" "&amp;$S294)))),1,0))</f>
        <v>1</v>
      </c>
      <c r="AA294" s="47" t="n">
        <f aca="false">IF($Z294=1,COUNTIFS(c_Pass,1,c_Sort,"&lt;="&amp;$Y294),"")</f>
        <v>293</v>
      </c>
      <c r="AB294" s="47" t="str">
        <f aca="false">IF(OR($G294&lt;&gt;"Yes",NOT(ISNUMBER($H294))),"",COUNTIFS(c_Met,"Yes",c_Date,"&lt;"&amp;$H294)+COUNTIFS($G$2:$G294,"Yes",$H$2:$H294,$H294))</f>
        <v/>
      </c>
    </row>
    <row r="295" customFormat="false" ht="15" hidden="false" customHeight="false" outlineLevel="0" collapsed="false">
      <c r="A295" s="44" t="n">
        <f aca="false">IF($B295="","",COUNTA($B$2:$B295))</f>
        <v>294</v>
      </c>
      <c r="B295" s="11" t="s">
        <v>750</v>
      </c>
      <c r="C295" s="11"/>
      <c r="D295" s="11" t="s">
        <v>26</v>
      </c>
      <c r="E295" s="11" t="s">
        <v>193</v>
      </c>
      <c r="F295" s="11" t="s">
        <v>68</v>
      </c>
      <c r="G295" s="34" t="s">
        <v>132</v>
      </c>
      <c r="H295" s="25"/>
      <c r="I295" s="40" t="n">
        <v>0</v>
      </c>
      <c r="J295" s="34" t="s">
        <v>132</v>
      </c>
      <c r="K295" s="45"/>
      <c r="L295" s="34"/>
      <c r="M295" s="34" t="s">
        <v>142</v>
      </c>
      <c r="N295" s="11" t="s">
        <v>133</v>
      </c>
      <c r="O295" s="11" t="s">
        <v>133</v>
      </c>
      <c r="P295" s="11" t="s">
        <v>133</v>
      </c>
      <c r="Q295" s="11" t="s">
        <v>133</v>
      </c>
      <c r="R295" s="11" t="s">
        <v>133</v>
      </c>
      <c r="S295" s="46" t="s">
        <v>751</v>
      </c>
      <c r="T295" s="44" t="n">
        <f aca="false">IF($B295="","",COUNTA($N295:$R295)-COUNTIF($N295:$R295,"Not Invited"))</f>
        <v>0</v>
      </c>
      <c r="U295" s="44" t="n">
        <f aca="false">IF($B295="","",COUNTIF($N295:$R295,"Attended"))</f>
        <v>0</v>
      </c>
      <c r="V295" s="47" t="str">
        <f aca="false">IF($B295="","",_xlfn.TEXTJOIN(", ",TRUE(),IF($N295="Attended",Setup!$D$15,""),IF($O295="Attended",Setup!$D$16,""),IF($P295="Attended",Setup!$D$17,""),IF($Q295="Attended",Setup!$D$18,""),IF($R295="Attended",Setup!$D$19,"")))</f>
        <v/>
      </c>
      <c r="W295" s="48" t="str">
        <f aca="true">IF(OR($B295="",NOT(ISNUMBER($H295))),"",TODAY()-$H295)</f>
        <v/>
      </c>
      <c r="X295" s="47" t="str">
        <f aca="false">IF($B295="","",IF($U295&gt;0,"Event attendee",IF($G295="Yes","Met (no event)",IF($T295&gt;0,"Invited only",IF(OR($L295="Yes",$M295="Yes"),"Contacted only","Not yet contacted")))))</f>
        <v>Contacted only</v>
      </c>
      <c r="Y295" s="47" t="n">
        <f aca="false">IF($B295="","",COUNTIF(c_Firm,"&lt;"&amp;$D295)+COUNTIFS(c_Firm,$D295,c_Name,"&lt;"&amp;$B295)+COUNTIFS($D$2:$D295,$D295,$B$2:$B295,$B295))</f>
        <v>294</v>
      </c>
      <c r="Z295" s="47" t="n">
        <f aca="false">IF($B295="","",IF(AND(OR(Contacts!$C$3="(All)",$D295=Contacts!$C$3),OR(Contacts!$E$3="(All)",$G295=Contacts!$E$3),OR(Contacts!$G$3="(All)",ISNUMBER(SEARCH(Contacts!$G$3,$V295))),OR(Contacts!$I$3="(All)",$X295=Contacts!$I$3),OR(Contacts!$K$3="",ISNUMBER(SEARCH(Contacts!$K$3,$B295&amp;" "&amp;$C295&amp;" "&amp;$D295&amp;" "&amp;$S295)))),1,0))</f>
        <v>1</v>
      </c>
      <c r="AA295" s="47" t="n">
        <f aca="false">IF($Z295=1,COUNTIFS(c_Pass,1,c_Sort,"&lt;="&amp;$Y295),"")</f>
        <v>294</v>
      </c>
      <c r="AB295" s="47" t="str">
        <f aca="false">IF(OR($G295&lt;&gt;"Yes",NOT(ISNUMBER($H295))),"",COUNTIFS(c_Met,"Yes",c_Date,"&lt;"&amp;$H295)+COUNTIFS($G$2:$G295,"Yes",$H$2:$H295,$H295))</f>
        <v/>
      </c>
    </row>
    <row r="296" customFormat="false" ht="15" hidden="false" customHeight="false" outlineLevel="0" collapsed="false">
      <c r="A296" s="44" t="n">
        <f aca="false">IF($B296="","",COUNTA($B$2:$B296))</f>
        <v>295</v>
      </c>
      <c r="B296" s="11" t="s">
        <v>752</v>
      </c>
      <c r="C296" s="11" t="s">
        <v>753</v>
      </c>
      <c r="D296" s="11" t="s">
        <v>26</v>
      </c>
      <c r="E296" s="11" t="s">
        <v>131</v>
      </c>
      <c r="F296" s="11" t="s">
        <v>70</v>
      </c>
      <c r="G296" s="34" t="s">
        <v>132</v>
      </c>
      <c r="H296" s="25"/>
      <c r="I296" s="40" t="n">
        <v>0</v>
      </c>
      <c r="J296" s="34" t="s">
        <v>132</v>
      </c>
      <c r="K296" s="45"/>
      <c r="L296" s="34" t="s">
        <v>142</v>
      </c>
      <c r="M296" s="34"/>
      <c r="N296" s="11" t="s">
        <v>133</v>
      </c>
      <c r="O296" s="11" t="s">
        <v>133</v>
      </c>
      <c r="P296" s="11" t="s">
        <v>133</v>
      </c>
      <c r="Q296" s="11" t="s">
        <v>133</v>
      </c>
      <c r="R296" s="11" t="s">
        <v>133</v>
      </c>
      <c r="S296" s="46"/>
      <c r="T296" s="44" t="n">
        <f aca="false">IF($B296="","",COUNTA($N296:$R296)-COUNTIF($N296:$R296,"Not Invited"))</f>
        <v>0</v>
      </c>
      <c r="U296" s="44" t="n">
        <f aca="false">IF($B296="","",COUNTIF($N296:$R296,"Attended"))</f>
        <v>0</v>
      </c>
      <c r="V296" s="47" t="str">
        <f aca="false">IF($B296="","",_xlfn.TEXTJOIN(", ",TRUE(),IF($N296="Attended",Setup!$D$15,""),IF($O296="Attended",Setup!$D$16,""),IF($P296="Attended",Setup!$D$17,""),IF($Q296="Attended",Setup!$D$18,""),IF($R296="Attended",Setup!$D$19,"")))</f>
        <v/>
      </c>
      <c r="W296" s="48" t="str">
        <f aca="true">IF(OR($B296="",NOT(ISNUMBER($H296))),"",TODAY()-$H296)</f>
        <v/>
      </c>
      <c r="X296" s="47" t="str">
        <f aca="false">IF($B296="","",IF($U296&gt;0,"Event attendee",IF($G296="Yes","Met (no event)",IF($T296&gt;0,"Invited only",IF(OR($L296="Yes",$M296="Yes"),"Contacted only","Not yet contacted")))))</f>
        <v>Contacted only</v>
      </c>
      <c r="Y296" s="47" t="n">
        <f aca="false">IF($B296="","",COUNTIF(c_Firm,"&lt;"&amp;$D296)+COUNTIFS(c_Firm,$D296,c_Name,"&lt;"&amp;$B296)+COUNTIFS($D$2:$D296,$D296,$B$2:$B296,$B296))</f>
        <v>295</v>
      </c>
      <c r="Z296" s="47" t="n">
        <f aca="false">IF($B296="","",IF(AND(OR(Contacts!$C$3="(All)",$D296=Contacts!$C$3),OR(Contacts!$E$3="(All)",$G296=Contacts!$E$3),OR(Contacts!$G$3="(All)",ISNUMBER(SEARCH(Contacts!$G$3,$V296))),OR(Contacts!$I$3="(All)",$X296=Contacts!$I$3),OR(Contacts!$K$3="",ISNUMBER(SEARCH(Contacts!$K$3,$B296&amp;" "&amp;$C296&amp;" "&amp;$D296&amp;" "&amp;$S296)))),1,0))</f>
        <v>1</v>
      </c>
      <c r="AA296" s="47" t="n">
        <f aca="false">IF($Z296=1,COUNTIFS(c_Pass,1,c_Sort,"&lt;="&amp;$Y296),"")</f>
        <v>295</v>
      </c>
      <c r="AB296" s="47" t="str">
        <f aca="false">IF(OR($G296&lt;&gt;"Yes",NOT(ISNUMBER($H296))),"",COUNTIFS(c_Met,"Yes",c_Date,"&lt;"&amp;$H296)+COUNTIFS($G$2:$G296,"Yes",$H$2:$H296,$H296))</f>
        <v/>
      </c>
    </row>
    <row r="297" customFormat="false" ht="15" hidden="false" customHeight="false" outlineLevel="0" collapsed="false">
      <c r="A297" s="44" t="n">
        <f aca="false">IF($B297="","",COUNTA($B$2:$B297))</f>
        <v>296</v>
      </c>
      <c r="B297" s="11" t="s">
        <v>754</v>
      </c>
      <c r="C297" s="11" t="s">
        <v>755</v>
      </c>
      <c r="D297" s="11" t="s">
        <v>26</v>
      </c>
      <c r="E297" s="11" t="s">
        <v>131</v>
      </c>
      <c r="F297" s="11" t="s">
        <v>70</v>
      </c>
      <c r="G297" s="34" t="s">
        <v>132</v>
      </c>
      <c r="H297" s="25"/>
      <c r="I297" s="40" t="n">
        <v>0</v>
      </c>
      <c r="J297" s="34" t="s">
        <v>132</v>
      </c>
      <c r="K297" s="45"/>
      <c r="L297" s="34" t="s">
        <v>142</v>
      </c>
      <c r="M297" s="34"/>
      <c r="N297" s="11" t="s">
        <v>133</v>
      </c>
      <c r="O297" s="11" t="s">
        <v>133</v>
      </c>
      <c r="P297" s="11" t="s">
        <v>133</v>
      </c>
      <c r="Q297" s="11" t="s">
        <v>133</v>
      </c>
      <c r="R297" s="11" t="s">
        <v>133</v>
      </c>
      <c r="S297" s="46"/>
      <c r="T297" s="44" t="n">
        <f aca="false">IF($B297="","",COUNTA($N297:$R297)-COUNTIF($N297:$R297,"Not Invited"))</f>
        <v>0</v>
      </c>
      <c r="U297" s="44" t="n">
        <f aca="false">IF($B297="","",COUNTIF($N297:$R297,"Attended"))</f>
        <v>0</v>
      </c>
      <c r="V297" s="47" t="str">
        <f aca="false">IF($B297="","",_xlfn.TEXTJOIN(", ",TRUE(),IF($N297="Attended",Setup!$D$15,""),IF($O297="Attended",Setup!$D$16,""),IF($P297="Attended",Setup!$D$17,""),IF($Q297="Attended",Setup!$D$18,""),IF($R297="Attended",Setup!$D$19,"")))</f>
        <v/>
      </c>
      <c r="W297" s="48" t="str">
        <f aca="true">IF(OR($B297="",NOT(ISNUMBER($H297))),"",TODAY()-$H297)</f>
        <v/>
      </c>
      <c r="X297" s="47" t="str">
        <f aca="false">IF($B297="","",IF($U297&gt;0,"Event attendee",IF($G297="Yes","Met (no event)",IF($T297&gt;0,"Invited only",IF(OR($L297="Yes",$M297="Yes"),"Contacted only","Not yet contacted")))))</f>
        <v>Contacted only</v>
      </c>
      <c r="Y297" s="47" t="n">
        <f aca="false">IF($B297="","",COUNTIF(c_Firm,"&lt;"&amp;$D297)+COUNTIFS(c_Firm,$D297,c_Name,"&lt;"&amp;$B297)+COUNTIFS($D$2:$D297,$D297,$B$2:$B297,$B297))</f>
        <v>296</v>
      </c>
      <c r="Z297" s="47" t="n">
        <f aca="false">IF($B297="","",IF(AND(OR(Contacts!$C$3="(All)",$D297=Contacts!$C$3),OR(Contacts!$E$3="(All)",$G297=Contacts!$E$3),OR(Contacts!$G$3="(All)",ISNUMBER(SEARCH(Contacts!$G$3,$V297))),OR(Contacts!$I$3="(All)",$X297=Contacts!$I$3),OR(Contacts!$K$3="",ISNUMBER(SEARCH(Contacts!$K$3,$B297&amp;" "&amp;$C297&amp;" "&amp;$D297&amp;" "&amp;$S297)))),1,0))</f>
        <v>1</v>
      </c>
      <c r="AA297" s="47" t="n">
        <f aca="false">IF($Z297=1,COUNTIFS(c_Pass,1,c_Sort,"&lt;="&amp;$Y297),"")</f>
        <v>296</v>
      </c>
      <c r="AB297" s="47" t="str">
        <f aca="false">IF(OR($G297&lt;&gt;"Yes",NOT(ISNUMBER($H297))),"",COUNTIFS(c_Met,"Yes",c_Date,"&lt;"&amp;$H297)+COUNTIFS($G$2:$G297,"Yes",$H$2:$H297,$H297))</f>
        <v/>
      </c>
    </row>
    <row r="298" customFormat="false" ht="15" hidden="false" customHeight="false" outlineLevel="0" collapsed="false">
      <c r="A298" s="44" t="n">
        <f aca="false">IF($B298="","",COUNTA($B$2:$B298))</f>
        <v>297</v>
      </c>
      <c r="B298" s="11" t="s">
        <v>756</v>
      </c>
      <c r="C298" s="11"/>
      <c r="D298" s="11" t="s">
        <v>26</v>
      </c>
      <c r="E298" s="11" t="s">
        <v>193</v>
      </c>
      <c r="F298" s="11" t="s">
        <v>68</v>
      </c>
      <c r="G298" s="34" t="s">
        <v>132</v>
      </c>
      <c r="H298" s="25"/>
      <c r="I298" s="40" t="n">
        <v>0</v>
      </c>
      <c r="J298" s="34" t="s">
        <v>132</v>
      </c>
      <c r="K298" s="45"/>
      <c r="L298" s="34"/>
      <c r="M298" s="34" t="s">
        <v>142</v>
      </c>
      <c r="N298" s="11" t="s">
        <v>133</v>
      </c>
      <c r="O298" s="11" t="s">
        <v>133</v>
      </c>
      <c r="P298" s="11" t="s">
        <v>133</v>
      </c>
      <c r="Q298" s="11" t="s">
        <v>133</v>
      </c>
      <c r="R298" s="11" t="s">
        <v>133</v>
      </c>
      <c r="S298" s="46" t="s">
        <v>757</v>
      </c>
      <c r="T298" s="44" t="n">
        <f aca="false">IF($B298="","",COUNTA($N298:$R298)-COUNTIF($N298:$R298,"Not Invited"))</f>
        <v>0</v>
      </c>
      <c r="U298" s="44" t="n">
        <f aca="false">IF($B298="","",COUNTIF($N298:$R298,"Attended"))</f>
        <v>0</v>
      </c>
      <c r="V298" s="47" t="str">
        <f aca="false">IF($B298="","",_xlfn.TEXTJOIN(", ",TRUE(),IF($N298="Attended",Setup!$D$15,""),IF($O298="Attended",Setup!$D$16,""),IF($P298="Attended",Setup!$D$17,""),IF($Q298="Attended",Setup!$D$18,""),IF($R298="Attended",Setup!$D$19,"")))</f>
        <v/>
      </c>
      <c r="W298" s="48" t="str">
        <f aca="true">IF(OR($B298="",NOT(ISNUMBER($H298))),"",TODAY()-$H298)</f>
        <v/>
      </c>
      <c r="X298" s="47" t="str">
        <f aca="false">IF($B298="","",IF($U298&gt;0,"Event attendee",IF($G298="Yes","Met (no event)",IF($T298&gt;0,"Invited only",IF(OR($L298="Yes",$M298="Yes"),"Contacted only","Not yet contacted")))))</f>
        <v>Contacted only</v>
      </c>
      <c r="Y298" s="47" t="n">
        <f aca="false">IF($B298="","",COUNTIF(c_Firm,"&lt;"&amp;$D298)+COUNTIFS(c_Firm,$D298,c_Name,"&lt;"&amp;$B298)+COUNTIFS($D$2:$D298,$D298,$B$2:$B298,$B298))</f>
        <v>297</v>
      </c>
      <c r="Z298" s="47" t="n">
        <f aca="false">IF($B298="","",IF(AND(OR(Contacts!$C$3="(All)",$D298=Contacts!$C$3),OR(Contacts!$E$3="(All)",$G298=Contacts!$E$3),OR(Contacts!$G$3="(All)",ISNUMBER(SEARCH(Contacts!$G$3,$V298))),OR(Contacts!$I$3="(All)",$X298=Contacts!$I$3),OR(Contacts!$K$3="",ISNUMBER(SEARCH(Contacts!$K$3,$B298&amp;" "&amp;$C298&amp;" "&amp;$D298&amp;" "&amp;$S298)))),1,0))</f>
        <v>1</v>
      </c>
      <c r="AA298" s="47" t="n">
        <f aca="false">IF($Z298=1,COUNTIFS(c_Pass,1,c_Sort,"&lt;="&amp;$Y298),"")</f>
        <v>297</v>
      </c>
      <c r="AB298" s="47" t="str">
        <f aca="false">IF(OR($G298&lt;&gt;"Yes",NOT(ISNUMBER($H298))),"",COUNTIFS(c_Met,"Yes",c_Date,"&lt;"&amp;$H298)+COUNTIFS($G$2:$G298,"Yes",$H$2:$H298,$H298))</f>
        <v/>
      </c>
    </row>
    <row r="299" customFormat="false" ht="15" hidden="false" customHeight="false" outlineLevel="0" collapsed="false">
      <c r="A299" s="44" t="n">
        <f aca="false">IF($B299="","",COUNTA($B$2:$B299))</f>
        <v>298</v>
      </c>
      <c r="B299" s="11" t="s">
        <v>758</v>
      </c>
      <c r="C299" s="11" t="s">
        <v>759</v>
      </c>
      <c r="D299" s="11" t="s">
        <v>26</v>
      </c>
      <c r="E299" s="11" t="s">
        <v>131</v>
      </c>
      <c r="F299" s="11" t="s">
        <v>70</v>
      </c>
      <c r="G299" s="34" t="s">
        <v>132</v>
      </c>
      <c r="H299" s="25"/>
      <c r="I299" s="40" t="n">
        <v>0</v>
      </c>
      <c r="J299" s="34" t="s">
        <v>132</v>
      </c>
      <c r="K299" s="45"/>
      <c r="L299" s="34" t="s">
        <v>142</v>
      </c>
      <c r="M299" s="34"/>
      <c r="N299" s="11" t="s">
        <v>133</v>
      </c>
      <c r="O299" s="11" t="s">
        <v>133</v>
      </c>
      <c r="P299" s="11" t="s">
        <v>133</v>
      </c>
      <c r="Q299" s="11" t="s">
        <v>133</v>
      </c>
      <c r="R299" s="11" t="s">
        <v>133</v>
      </c>
      <c r="S299" s="46"/>
      <c r="T299" s="44" t="n">
        <f aca="false">IF($B299="","",COUNTA($N299:$R299)-COUNTIF($N299:$R299,"Not Invited"))</f>
        <v>0</v>
      </c>
      <c r="U299" s="44" t="n">
        <f aca="false">IF($B299="","",COUNTIF($N299:$R299,"Attended"))</f>
        <v>0</v>
      </c>
      <c r="V299" s="47" t="str">
        <f aca="false">IF($B299="","",_xlfn.TEXTJOIN(", ",TRUE(),IF($N299="Attended",Setup!$D$15,""),IF($O299="Attended",Setup!$D$16,""),IF($P299="Attended",Setup!$D$17,""),IF($Q299="Attended",Setup!$D$18,""),IF($R299="Attended",Setup!$D$19,"")))</f>
        <v/>
      </c>
      <c r="W299" s="48" t="str">
        <f aca="true">IF(OR($B299="",NOT(ISNUMBER($H299))),"",TODAY()-$H299)</f>
        <v/>
      </c>
      <c r="X299" s="47" t="str">
        <f aca="false">IF($B299="","",IF($U299&gt;0,"Event attendee",IF($G299="Yes","Met (no event)",IF($T299&gt;0,"Invited only",IF(OR($L299="Yes",$M299="Yes"),"Contacted only","Not yet contacted")))))</f>
        <v>Contacted only</v>
      </c>
      <c r="Y299" s="47" t="n">
        <f aca="false">IF($B299="","",COUNTIF(c_Firm,"&lt;"&amp;$D299)+COUNTIFS(c_Firm,$D299,c_Name,"&lt;"&amp;$B299)+COUNTIFS($D$2:$D299,$D299,$B$2:$B299,$B299))</f>
        <v>298</v>
      </c>
      <c r="Z299" s="47" t="n">
        <f aca="false">IF($B299="","",IF(AND(OR(Contacts!$C$3="(All)",$D299=Contacts!$C$3),OR(Contacts!$E$3="(All)",$G299=Contacts!$E$3),OR(Contacts!$G$3="(All)",ISNUMBER(SEARCH(Contacts!$G$3,$V299))),OR(Contacts!$I$3="(All)",$X299=Contacts!$I$3),OR(Contacts!$K$3="",ISNUMBER(SEARCH(Contacts!$K$3,$B299&amp;" "&amp;$C299&amp;" "&amp;$D299&amp;" "&amp;$S299)))),1,0))</f>
        <v>1</v>
      </c>
      <c r="AA299" s="47" t="n">
        <f aca="false">IF($Z299=1,COUNTIFS(c_Pass,1,c_Sort,"&lt;="&amp;$Y299),"")</f>
        <v>298</v>
      </c>
      <c r="AB299" s="47" t="str">
        <f aca="false">IF(OR($G299&lt;&gt;"Yes",NOT(ISNUMBER($H299))),"",COUNTIFS(c_Met,"Yes",c_Date,"&lt;"&amp;$H299)+COUNTIFS($G$2:$G299,"Yes",$H$2:$H299,$H299))</f>
        <v/>
      </c>
    </row>
    <row r="300" customFormat="false" ht="15" hidden="false" customHeight="false" outlineLevel="0" collapsed="false">
      <c r="A300" s="44" t="n">
        <f aca="false">IF($B300="","",COUNTA($B$2:$B300))</f>
        <v>299</v>
      </c>
      <c r="B300" s="11" t="s">
        <v>760</v>
      </c>
      <c r="C300" s="11"/>
      <c r="D300" s="11" t="s">
        <v>26</v>
      </c>
      <c r="E300" s="11" t="s">
        <v>193</v>
      </c>
      <c r="F300" s="11" t="s">
        <v>68</v>
      </c>
      <c r="G300" s="34" t="s">
        <v>132</v>
      </c>
      <c r="H300" s="25"/>
      <c r="I300" s="40" t="n">
        <v>0</v>
      </c>
      <c r="J300" s="34" t="s">
        <v>132</v>
      </c>
      <c r="K300" s="45"/>
      <c r="L300" s="34"/>
      <c r="M300" s="34" t="s">
        <v>142</v>
      </c>
      <c r="N300" s="11" t="s">
        <v>133</v>
      </c>
      <c r="O300" s="11" t="s">
        <v>133</v>
      </c>
      <c r="P300" s="11" t="s">
        <v>133</v>
      </c>
      <c r="Q300" s="11" t="s">
        <v>133</v>
      </c>
      <c r="R300" s="11" t="s">
        <v>133</v>
      </c>
      <c r="S300" s="46" t="s">
        <v>761</v>
      </c>
      <c r="T300" s="44" t="n">
        <f aca="false">IF($B300="","",COUNTA($N300:$R300)-COUNTIF($N300:$R300,"Not Invited"))</f>
        <v>0</v>
      </c>
      <c r="U300" s="44" t="n">
        <f aca="false">IF($B300="","",COUNTIF($N300:$R300,"Attended"))</f>
        <v>0</v>
      </c>
      <c r="V300" s="47" t="str">
        <f aca="false">IF($B300="","",_xlfn.TEXTJOIN(", ",TRUE(),IF($N300="Attended",Setup!$D$15,""),IF($O300="Attended",Setup!$D$16,""),IF($P300="Attended",Setup!$D$17,""),IF($Q300="Attended",Setup!$D$18,""),IF($R300="Attended",Setup!$D$19,"")))</f>
        <v/>
      </c>
      <c r="W300" s="48" t="str">
        <f aca="true">IF(OR($B300="",NOT(ISNUMBER($H300))),"",TODAY()-$H300)</f>
        <v/>
      </c>
      <c r="X300" s="47" t="str">
        <f aca="false">IF($B300="","",IF($U300&gt;0,"Event attendee",IF($G300="Yes","Met (no event)",IF($T300&gt;0,"Invited only",IF(OR($L300="Yes",$M300="Yes"),"Contacted only","Not yet contacted")))))</f>
        <v>Contacted only</v>
      </c>
      <c r="Y300" s="47" t="n">
        <f aca="false">IF($B300="","",COUNTIF(c_Firm,"&lt;"&amp;$D300)+COUNTIFS(c_Firm,$D300,c_Name,"&lt;"&amp;$B300)+COUNTIFS($D$2:$D300,$D300,$B$2:$B300,$B300))</f>
        <v>299</v>
      </c>
      <c r="Z300" s="47" t="n">
        <f aca="false">IF($B300="","",IF(AND(OR(Contacts!$C$3="(All)",$D300=Contacts!$C$3),OR(Contacts!$E$3="(All)",$G300=Contacts!$E$3),OR(Contacts!$G$3="(All)",ISNUMBER(SEARCH(Contacts!$G$3,$V300))),OR(Contacts!$I$3="(All)",$X300=Contacts!$I$3),OR(Contacts!$K$3="",ISNUMBER(SEARCH(Contacts!$K$3,$B300&amp;" "&amp;$C300&amp;" "&amp;$D300&amp;" "&amp;$S300)))),1,0))</f>
        <v>1</v>
      </c>
      <c r="AA300" s="47" t="n">
        <f aca="false">IF($Z300=1,COUNTIFS(c_Pass,1,c_Sort,"&lt;="&amp;$Y300),"")</f>
        <v>299</v>
      </c>
      <c r="AB300" s="47" t="str">
        <f aca="false">IF(OR($G300&lt;&gt;"Yes",NOT(ISNUMBER($H300))),"",COUNTIFS(c_Met,"Yes",c_Date,"&lt;"&amp;$H300)+COUNTIFS($G$2:$G300,"Yes",$H$2:$H300,$H300))</f>
        <v/>
      </c>
    </row>
    <row r="301" customFormat="false" ht="15" hidden="false" customHeight="false" outlineLevel="0" collapsed="false">
      <c r="A301" s="44" t="n">
        <f aca="false">IF($B301="","",COUNTA($B$2:$B301))</f>
        <v>300</v>
      </c>
      <c r="B301" s="11" t="s">
        <v>762</v>
      </c>
      <c r="C301" s="11"/>
      <c r="D301" s="11" t="s">
        <v>26</v>
      </c>
      <c r="E301" s="11" t="s">
        <v>193</v>
      </c>
      <c r="F301" s="11" t="s">
        <v>68</v>
      </c>
      <c r="G301" s="34" t="s">
        <v>132</v>
      </c>
      <c r="H301" s="25"/>
      <c r="I301" s="40" t="n">
        <v>0</v>
      </c>
      <c r="J301" s="34" t="s">
        <v>132</v>
      </c>
      <c r="K301" s="45"/>
      <c r="L301" s="34"/>
      <c r="M301" s="34" t="s">
        <v>142</v>
      </c>
      <c r="N301" s="11" t="s">
        <v>133</v>
      </c>
      <c r="O301" s="11" t="s">
        <v>133</v>
      </c>
      <c r="P301" s="11" t="s">
        <v>133</v>
      </c>
      <c r="Q301" s="11" t="s">
        <v>133</v>
      </c>
      <c r="R301" s="11" t="s">
        <v>133</v>
      </c>
      <c r="S301" s="46" t="s">
        <v>763</v>
      </c>
      <c r="T301" s="44" t="n">
        <f aca="false">IF($B301="","",COUNTA($N301:$R301)-COUNTIF($N301:$R301,"Not Invited"))</f>
        <v>0</v>
      </c>
      <c r="U301" s="44" t="n">
        <f aca="false">IF($B301="","",COUNTIF($N301:$R301,"Attended"))</f>
        <v>0</v>
      </c>
      <c r="V301" s="47" t="str">
        <f aca="false">IF($B301="","",_xlfn.TEXTJOIN(", ",TRUE(),IF($N301="Attended",Setup!$D$15,""),IF($O301="Attended",Setup!$D$16,""),IF($P301="Attended",Setup!$D$17,""),IF($Q301="Attended",Setup!$D$18,""),IF($R301="Attended",Setup!$D$19,"")))</f>
        <v/>
      </c>
      <c r="W301" s="48" t="str">
        <f aca="true">IF(OR($B301="",NOT(ISNUMBER($H301))),"",TODAY()-$H301)</f>
        <v/>
      </c>
      <c r="X301" s="47" t="str">
        <f aca="false">IF($B301="","",IF($U301&gt;0,"Event attendee",IF($G301="Yes","Met (no event)",IF($T301&gt;0,"Invited only",IF(OR($L301="Yes",$M301="Yes"),"Contacted only","Not yet contacted")))))</f>
        <v>Contacted only</v>
      </c>
      <c r="Y301" s="47" t="n">
        <f aca="false">IF($B301="","",COUNTIF(c_Firm,"&lt;"&amp;$D301)+COUNTIFS(c_Firm,$D301,c_Name,"&lt;"&amp;$B301)+COUNTIFS($D$2:$D301,$D301,$B$2:$B301,$B301))</f>
        <v>300</v>
      </c>
      <c r="Z301" s="47" t="n">
        <f aca="false">IF($B301="","",IF(AND(OR(Contacts!$C$3="(All)",$D301=Contacts!$C$3),OR(Contacts!$E$3="(All)",$G301=Contacts!$E$3),OR(Contacts!$G$3="(All)",ISNUMBER(SEARCH(Contacts!$G$3,$V301))),OR(Contacts!$I$3="(All)",$X301=Contacts!$I$3),OR(Contacts!$K$3="",ISNUMBER(SEARCH(Contacts!$K$3,$B301&amp;" "&amp;$C301&amp;" "&amp;$D301&amp;" "&amp;$S301)))),1,0))</f>
        <v>1</v>
      </c>
      <c r="AA301" s="47" t="n">
        <f aca="false">IF($Z301=1,COUNTIFS(c_Pass,1,c_Sort,"&lt;="&amp;$Y301),"")</f>
        <v>300</v>
      </c>
      <c r="AB301" s="47" t="str">
        <f aca="false">IF(OR($G301&lt;&gt;"Yes",NOT(ISNUMBER($H301))),"",COUNTIFS(c_Met,"Yes",c_Date,"&lt;"&amp;$H301)+COUNTIFS($G$2:$G301,"Yes",$H$2:$H301,$H301))</f>
        <v/>
      </c>
    </row>
    <row r="302" customFormat="false" ht="15" hidden="false" customHeight="false" outlineLevel="0" collapsed="false">
      <c r="A302" s="44" t="n">
        <f aca="false">IF($B302="","",COUNTA($B$2:$B302))</f>
        <v>301</v>
      </c>
      <c r="B302" s="11" t="s">
        <v>764</v>
      </c>
      <c r="C302" s="11" t="s">
        <v>765</v>
      </c>
      <c r="D302" s="11" t="s">
        <v>26</v>
      </c>
      <c r="E302" s="11" t="s">
        <v>131</v>
      </c>
      <c r="F302" s="11" t="s">
        <v>70</v>
      </c>
      <c r="G302" s="34" t="s">
        <v>132</v>
      </c>
      <c r="H302" s="25"/>
      <c r="I302" s="40" t="n">
        <v>0</v>
      </c>
      <c r="J302" s="34" t="s">
        <v>132</v>
      </c>
      <c r="K302" s="45"/>
      <c r="L302" s="34" t="s">
        <v>142</v>
      </c>
      <c r="M302" s="34"/>
      <c r="N302" s="11" t="s">
        <v>133</v>
      </c>
      <c r="O302" s="11" t="s">
        <v>133</v>
      </c>
      <c r="P302" s="11" t="s">
        <v>133</v>
      </c>
      <c r="Q302" s="11" t="s">
        <v>133</v>
      </c>
      <c r="R302" s="11" t="s">
        <v>133</v>
      </c>
      <c r="S302" s="46"/>
      <c r="T302" s="44" t="n">
        <f aca="false">IF($B302="","",COUNTA($N302:$R302)-COUNTIF($N302:$R302,"Not Invited"))</f>
        <v>0</v>
      </c>
      <c r="U302" s="44" t="n">
        <f aca="false">IF($B302="","",COUNTIF($N302:$R302,"Attended"))</f>
        <v>0</v>
      </c>
      <c r="V302" s="47" t="str">
        <f aca="false">IF($B302="","",_xlfn.TEXTJOIN(", ",TRUE(),IF($N302="Attended",Setup!$D$15,""),IF($O302="Attended",Setup!$D$16,""),IF($P302="Attended",Setup!$D$17,""),IF($Q302="Attended",Setup!$D$18,""),IF($R302="Attended",Setup!$D$19,"")))</f>
        <v/>
      </c>
      <c r="W302" s="48" t="str">
        <f aca="true">IF(OR($B302="",NOT(ISNUMBER($H302))),"",TODAY()-$H302)</f>
        <v/>
      </c>
      <c r="X302" s="47" t="str">
        <f aca="false">IF($B302="","",IF($U302&gt;0,"Event attendee",IF($G302="Yes","Met (no event)",IF($T302&gt;0,"Invited only",IF(OR($L302="Yes",$M302="Yes"),"Contacted only","Not yet contacted")))))</f>
        <v>Contacted only</v>
      </c>
      <c r="Y302" s="47" t="n">
        <f aca="false">IF($B302="","",COUNTIF(c_Firm,"&lt;"&amp;$D302)+COUNTIFS(c_Firm,$D302,c_Name,"&lt;"&amp;$B302)+COUNTIFS($D$2:$D302,$D302,$B$2:$B302,$B302))</f>
        <v>301</v>
      </c>
      <c r="Z302" s="47" t="n">
        <f aca="false">IF($B302="","",IF(AND(OR(Contacts!$C$3="(All)",$D302=Contacts!$C$3),OR(Contacts!$E$3="(All)",$G302=Contacts!$E$3),OR(Contacts!$G$3="(All)",ISNUMBER(SEARCH(Contacts!$G$3,$V302))),OR(Contacts!$I$3="(All)",$X302=Contacts!$I$3),OR(Contacts!$K$3="",ISNUMBER(SEARCH(Contacts!$K$3,$B302&amp;" "&amp;$C302&amp;" "&amp;$D302&amp;" "&amp;$S302)))),1,0))</f>
        <v>1</v>
      </c>
      <c r="AA302" s="47" t="n">
        <f aca="false">IF($Z302=1,COUNTIFS(c_Pass,1,c_Sort,"&lt;="&amp;$Y302),"")</f>
        <v>301</v>
      </c>
      <c r="AB302" s="47" t="str">
        <f aca="false">IF(OR($G302&lt;&gt;"Yes",NOT(ISNUMBER($H302))),"",COUNTIFS(c_Met,"Yes",c_Date,"&lt;"&amp;$H302)+COUNTIFS($G$2:$G302,"Yes",$H$2:$H302,$H302))</f>
        <v/>
      </c>
    </row>
    <row r="303" customFormat="false" ht="15" hidden="false" customHeight="false" outlineLevel="0" collapsed="false">
      <c r="A303" s="44" t="n">
        <f aca="false">IF($B303="","",COUNTA($B$2:$B303))</f>
        <v>302</v>
      </c>
      <c r="B303" s="11" t="s">
        <v>766</v>
      </c>
      <c r="C303" s="11" t="s">
        <v>767</v>
      </c>
      <c r="D303" s="11" t="s">
        <v>26</v>
      </c>
      <c r="E303" s="11" t="s">
        <v>131</v>
      </c>
      <c r="F303" s="11" t="s">
        <v>70</v>
      </c>
      <c r="G303" s="34" t="s">
        <v>132</v>
      </c>
      <c r="H303" s="25"/>
      <c r="I303" s="40" t="n">
        <v>0</v>
      </c>
      <c r="J303" s="34" t="s">
        <v>132</v>
      </c>
      <c r="K303" s="45"/>
      <c r="L303" s="34" t="s">
        <v>142</v>
      </c>
      <c r="M303" s="34"/>
      <c r="N303" s="11" t="s">
        <v>133</v>
      </c>
      <c r="O303" s="11" t="s">
        <v>133</v>
      </c>
      <c r="P303" s="11" t="s">
        <v>133</v>
      </c>
      <c r="Q303" s="11" t="s">
        <v>133</v>
      </c>
      <c r="R303" s="11" t="s">
        <v>133</v>
      </c>
      <c r="S303" s="46"/>
      <c r="T303" s="44" t="n">
        <f aca="false">IF($B303="","",COUNTA($N303:$R303)-COUNTIF($N303:$R303,"Not Invited"))</f>
        <v>0</v>
      </c>
      <c r="U303" s="44" t="n">
        <f aca="false">IF($B303="","",COUNTIF($N303:$R303,"Attended"))</f>
        <v>0</v>
      </c>
      <c r="V303" s="47" t="str">
        <f aca="false">IF($B303="","",_xlfn.TEXTJOIN(", ",TRUE(),IF($N303="Attended",Setup!$D$15,""),IF($O303="Attended",Setup!$D$16,""),IF($P303="Attended",Setup!$D$17,""),IF($Q303="Attended",Setup!$D$18,""),IF($R303="Attended",Setup!$D$19,"")))</f>
        <v/>
      </c>
      <c r="W303" s="48" t="str">
        <f aca="true">IF(OR($B303="",NOT(ISNUMBER($H303))),"",TODAY()-$H303)</f>
        <v/>
      </c>
      <c r="X303" s="47" t="str">
        <f aca="false">IF($B303="","",IF($U303&gt;0,"Event attendee",IF($G303="Yes","Met (no event)",IF($T303&gt;0,"Invited only",IF(OR($L303="Yes",$M303="Yes"),"Contacted only","Not yet contacted")))))</f>
        <v>Contacted only</v>
      </c>
      <c r="Y303" s="47" t="n">
        <f aca="false">IF($B303="","",COUNTIF(c_Firm,"&lt;"&amp;$D303)+COUNTIFS(c_Firm,$D303,c_Name,"&lt;"&amp;$B303)+COUNTIFS($D$2:$D303,$D303,$B$2:$B303,$B303))</f>
        <v>302</v>
      </c>
      <c r="Z303" s="47" t="n">
        <f aca="false">IF($B303="","",IF(AND(OR(Contacts!$C$3="(All)",$D303=Contacts!$C$3),OR(Contacts!$E$3="(All)",$G303=Contacts!$E$3),OR(Contacts!$G$3="(All)",ISNUMBER(SEARCH(Contacts!$G$3,$V303))),OR(Contacts!$I$3="(All)",$X303=Contacts!$I$3),OR(Contacts!$K$3="",ISNUMBER(SEARCH(Contacts!$K$3,$B303&amp;" "&amp;$C303&amp;" "&amp;$D303&amp;" "&amp;$S303)))),1,0))</f>
        <v>1</v>
      </c>
      <c r="AA303" s="47" t="n">
        <f aca="false">IF($Z303=1,COUNTIFS(c_Pass,1,c_Sort,"&lt;="&amp;$Y303),"")</f>
        <v>302</v>
      </c>
      <c r="AB303" s="47" t="str">
        <f aca="false">IF(OR($G303&lt;&gt;"Yes",NOT(ISNUMBER($H303))),"",COUNTIFS(c_Met,"Yes",c_Date,"&lt;"&amp;$H303)+COUNTIFS($G$2:$G303,"Yes",$H$2:$H303,$H303))</f>
        <v/>
      </c>
    </row>
    <row r="304" customFormat="false" ht="15" hidden="false" customHeight="false" outlineLevel="0" collapsed="false">
      <c r="A304" s="44" t="n">
        <f aca="false">IF($B304="","",COUNTA($B$2:$B304))</f>
        <v>303</v>
      </c>
      <c r="B304" s="11" t="s">
        <v>768</v>
      </c>
      <c r="C304" s="11" t="s">
        <v>769</v>
      </c>
      <c r="D304" s="11" t="s">
        <v>26</v>
      </c>
      <c r="E304" s="11" t="s">
        <v>131</v>
      </c>
      <c r="F304" s="11" t="s">
        <v>70</v>
      </c>
      <c r="G304" s="34" t="s">
        <v>132</v>
      </c>
      <c r="H304" s="25"/>
      <c r="I304" s="40" t="n">
        <v>0</v>
      </c>
      <c r="J304" s="34" t="s">
        <v>132</v>
      </c>
      <c r="K304" s="45"/>
      <c r="L304" s="34" t="s">
        <v>142</v>
      </c>
      <c r="M304" s="34"/>
      <c r="N304" s="11" t="s">
        <v>133</v>
      </c>
      <c r="O304" s="11" t="s">
        <v>133</v>
      </c>
      <c r="P304" s="11" t="s">
        <v>133</v>
      </c>
      <c r="Q304" s="11" t="s">
        <v>133</v>
      </c>
      <c r="R304" s="11" t="s">
        <v>133</v>
      </c>
      <c r="S304" s="46"/>
      <c r="T304" s="44" t="n">
        <f aca="false">IF($B304="","",COUNTA($N304:$R304)-COUNTIF($N304:$R304,"Not Invited"))</f>
        <v>0</v>
      </c>
      <c r="U304" s="44" t="n">
        <f aca="false">IF($B304="","",COUNTIF($N304:$R304,"Attended"))</f>
        <v>0</v>
      </c>
      <c r="V304" s="47" t="str">
        <f aca="false">IF($B304="","",_xlfn.TEXTJOIN(", ",TRUE(),IF($N304="Attended",Setup!$D$15,""),IF($O304="Attended",Setup!$D$16,""),IF($P304="Attended",Setup!$D$17,""),IF($Q304="Attended",Setup!$D$18,""),IF($R304="Attended",Setup!$D$19,"")))</f>
        <v/>
      </c>
      <c r="W304" s="48" t="str">
        <f aca="true">IF(OR($B304="",NOT(ISNUMBER($H304))),"",TODAY()-$H304)</f>
        <v/>
      </c>
      <c r="X304" s="47" t="str">
        <f aca="false">IF($B304="","",IF($U304&gt;0,"Event attendee",IF($G304="Yes","Met (no event)",IF($T304&gt;0,"Invited only",IF(OR($L304="Yes",$M304="Yes"),"Contacted only","Not yet contacted")))))</f>
        <v>Contacted only</v>
      </c>
      <c r="Y304" s="47" t="n">
        <f aca="false">IF($B304="","",COUNTIF(c_Firm,"&lt;"&amp;$D304)+COUNTIFS(c_Firm,$D304,c_Name,"&lt;"&amp;$B304)+COUNTIFS($D$2:$D304,$D304,$B$2:$B304,$B304))</f>
        <v>303</v>
      </c>
      <c r="Z304" s="47" t="n">
        <f aca="false">IF($B304="","",IF(AND(OR(Contacts!$C$3="(All)",$D304=Contacts!$C$3),OR(Contacts!$E$3="(All)",$G304=Contacts!$E$3),OR(Contacts!$G$3="(All)",ISNUMBER(SEARCH(Contacts!$G$3,$V304))),OR(Contacts!$I$3="(All)",$X304=Contacts!$I$3),OR(Contacts!$K$3="",ISNUMBER(SEARCH(Contacts!$K$3,$B304&amp;" "&amp;$C304&amp;" "&amp;$D304&amp;" "&amp;$S304)))),1,0))</f>
        <v>1</v>
      </c>
      <c r="AA304" s="47" t="n">
        <f aca="false">IF($Z304=1,COUNTIFS(c_Pass,1,c_Sort,"&lt;="&amp;$Y304),"")</f>
        <v>303</v>
      </c>
      <c r="AB304" s="47" t="str">
        <f aca="false">IF(OR($G304&lt;&gt;"Yes",NOT(ISNUMBER($H304))),"",COUNTIFS(c_Met,"Yes",c_Date,"&lt;"&amp;$H304)+COUNTIFS($G$2:$G304,"Yes",$H$2:$H304,$H304))</f>
        <v/>
      </c>
    </row>
    <row r="305" customFormat="false" ht="15" hidden="false" customHeight="false" outlineLevel="0" collapsed="false">
      <c r="A305" s="44" t="n">
        <f aca="false">IF($B305="","",COUNTA($B$2:$B305))</f>
        <v>304</v>
      </c>
      <c r="B305" s="11" t="s">
        <v>770</v>
      </c>
      <c r="C305" s="11" t="s">
        <v>771</v>
      </c>
      <c r="D305" s="11" t="s">
        <v>26</v>
      </c>
      <c r="E305" s="11" t="s">
        <v>131</v>
      </c>
      <c r="F305" s="11" t="s">
        <v>70</v>
      </c>
      <c r="G305" s="34" t="s">
        <v>132</v>
      </c>
      <c r="H305" s="25"/>
      <c r="I305" s="40" t="n">
        <v>0</v>
      </c>
      <c r="J305" s="34" t="s">
        <v>132</v>
      </c>
      <c r="K305" s="45"/>
      <c r="L305" s="34" t="s">
        <v>142</v>
      </c>
      <c r="M305" s="34"/>
      <c r="N305" s="11" t="s">
        <v>133</v>
      </c>
      <c r="O305" s="11" t="s">
        <v>133</v>
      </c>
      <c r="P305" s="11" t="s">
        <v>133</v>
      </c>
      <c r="Q305" s="11" t="s">
        <v>133</v>
      </c>
      <c r="R305" s="11" t="s">
        <v>133</v>
      </c>
      <c r="S305" s="46"/>
      <c r="T305" s="44" t="n">
        <f aca="false">IF($B305="","",COUNTA($N305:$R305)-COUNTIF($N305:$R305,"Not Invited"))</f>
        <v>0</v>
      </c>
      <c r="U305" s="44" t="n">
        <f aca="false">IF($B305="","",COUNTIF($N305:$R305,"Attended"))</f>
        <v>0</v>
      </c>
      <c r="V305" s="47" t="str">
        <f aca="false">IF($B305="","",_xlfn.TEXTJOIN(", ",TRUE(),IF($N305="Attended",Setup!$D$15,""),IF($O305="Attended",Setup!$D$16,""),IF($P305="Attended",Setup!$D$17,""),IF($Q305="Attended",Setup!$D$18,""),IF($R305="Attended",Setup!$D$19,"")))</f>
        <v/>
      </c>
      <c r="W305" s="48" t="str">
        <f aca="true">IF(OR($B305="",NOT(ISNUMBER($H305))),"",TODAY()-$H305)</f>
        <v/>
      </c>
      <c r="X305" s="47" t="str">
        <f aca="false">IF($B305="","",IF($U305&gt;0,"Event attendee",IF($G305="Yes","Met (no event)",IF($T305&gt;0,"Invited only",IF(OR($L305="Yes",$M305="Yes"),"Contacted only","Not yet contacted")))))</f>
        <v>Contacted only</v>
      </c>
      <c r="Y305" s="47" t="n">
        <f aca="false">IF($B305="","",COUNTIF(c_Firm,"&lt;"&amp;$D305)+COUNTIFS(c_Firm,$D305,c_Name,"&lt;"&amp;$B305)+COUNTIFS($D$2:$D305,$D305,$B$2:$B305,$B305))</f>
        <v>304</v>
      </c>
      <c r="Z305" s="47" t="n">
        <f aca="false">IF($B305="","",IF(AND(OR(Contacts!$C$3="(All)",$D305=Contacts!$C$3),OR(Contacts!$E$3="(All)",$G305=Contacts!$E$3),OR(Contacts!$G$3="(All)",ISNUMBER(SEARCH(Contacts!$G$3,$V305))),OR(Contacts!$I$3="(All)",$X305=Contacts!$I$3),OR(Contacts!$K$3="",ISNUMBER(SEARCH(Contacts!$K$3,$B305&amp;" "&amp;$C305&amp;" "&amp;$D305&amp;" "&amp;$S305)))),1,0))</f>
        <v>1</v>
      </c>
      <c r="AA305" s="47" t="n">
        <f aca="false">IF($Z305=1,COUNTIFS(c_Pass,1,c_Sort,"&lt;="&amp;$Y305),"")</f>
        <v>304</v>
      </c>
      <c r="AB305" s="47" t="str">
        <f aca="false">IF(OR($G305&lt;&gt;"Yes",NOT(ISNUMBER($H305))),"",COUNTIFS(c_Met,"Yes",c_Date,"&lt;"&amp;$H305)+COUNTIFS($G$2:$G305,"Yes",$H$2:$H305,$H305))</f>
        <v/>
      </c>
    </row>
    <row r="306" customFormat="false" ht="15" hidden="false" customHeight="false" outlineLevel="0" collapsed="false">
      <c r="A306" s="44" t="n">
        <f aca="false">IF($B306="","",COUNTA($B$2:$B306))</f>
        <v>305</v>
      </c>
      <c r="B306" s="11" t="s">
        <v>772</v>
      </c>
      <c r="C306" s="11" t="s">
        <v>773</v>
      </c>
      <c r="D306" s="11" t="s">
        <v>26</v>
      </c>
      <c r="E306" s="11" t="s">
        <v>131</v>
      </c>
      <c r="F306" s="11" t="s">
        <v>70</v>
      </c>
      <c r="G306" s="34" t="s">
        <v>132</v>
      </c>
      <c r="H306" s="25"/>
      <c r="I306" s="40" t="n">
        <v>0</v>
      </c>
      <c r="J306" s="34" t="s">
        <v>132</v>
      </c>
      <c r="K306" s="45"/>
      <c r="L306" s="34" t="s">
        <v>142</v>
      </c>
      <c r="M306" s="34"/>
      <c r="N306" s="11" t="s">
        <v>133</v>
      </c>
      <c r="O306" s="11" t="s">
        <v>133</v>
      </c>
      <c r="P306" s="11" t="s">
        <v>133</v>
      </c>
      <c r="Q306" s="11" t="s">
        <v>133</v>
      </c>
      <c r="R306" s="11" t="s">
        <v>133</v>
      </c>
      <c r="S306" s="46"/>
      <c r="T306" s="44" t="n">
        <f aca="false">IF($B306="","",COUNTA($N306:$R306)-COUNTIF($N306:$R306,"Not Invited"))</f>
        <v>0</v>
      </c>
      <c r="U306" s="44" t="n">
        <f aca="false">IF($B306="","",COUNTIF($N306:$R306,"Attended"))</f>
        <v>0</v>
      </c>
      <c r="V306" s="47" t="str">
        <f aca="false">IF($B306="","",_xlfn.TEXTJOIN(", ",TRUE(),IF($N306="Attended",Setup!$D$15,""),IF($O306="Attended",Setup!$D$16,""),IF($P306="Attended",Setup!$D$17,""),IF($Q306="Attended",Setup!$D$18,""),IF($R306="Attended",Setup!$D$19,"")))</f>
        <v/>
      </c>
      <c r="W306" s="48" t="str">
        <f aca="true">IF(OR($B306="",NOT(ISNUMBER($H306))),"",TODAY()-$H306)</f>
        <v/>
      </c>
      <c r="X306" s="47" t="str">
        <f aca="false">IF($B306="","",IF($U306&gt;0,"Event attendee",IF($G306="Yes","Met (no event)",IF($T306&gt;0,"Invited only",IF(OR($L306="Yes",$M306="Yes"),"Contacted only","Not yet contacted")))))</f>
        <v>Contacted only</v>
      </c>
      <c r="Y306" s="47" t="n">
        <f aca="false">IF($B306="","",COUNTIF(c_Firm,"&lt;"&amp;$D306)+COUNTIFS(c_Firm,$D306,c_Name,"&lt;"&amp;$B306)+COUNTIFS($D$2:$D306,$D306,$B$2:$B306,$B306))</f>
        <v>305</v>
      </c>
      <c r="Z306" s="47" t="n">
        <f aca="false">IF($B306="","",IF(AND(OR(Contacts!$C$3="(All)",$D306=Contacts!$C$3),OR(Contacts!$E$3="(All)",$G306=Contacts!$E$3),OR(Contacts!$G$3="(All)",ISNUMBER(SEARCH(Contacts!$G$3,$V306))),OR(Contacts!$I$3="(All)",$X306=Contacts!$I$3),OR(Contacts!$K$3="",ISNUMBER(SEARCH(Contacts!$K$3,$B306&amp;" "&amp;$C306&amp;" "&amp;$D306&amp;" "&amp;$S306)))),1,0))</f>
        <v>1</v>
      </c>
      <c r="AA306" s="47" t="n">
        <f aca="false">IF($Z306=1,COUNTIFS(c_Pass,1,c_Sort,"&lt;="&amp;$Y306),"")</f>
        <v>305</v>
      </c>
      <c r="AB306" s="47" t="str">
        <f aca="false">IF(OR($G306&lt;&gt;"Yes",NOT(ISNUMBER($H306))),"",COUNTIFS(c_Met,"Yes",c_Date,"&lt;"&amp;$H306)+COUNTIFS($G$2:$G306,"Yes",$H$2:$H306,$H306))</f>
        <v/>
      </c>
    </row>
    <row r="307" customFormat="false" ht="15" hidden="false" customHeight="false" outlineLevel="0" collapsed="false">
      <c r="A307" s="44" t="n">
        <f aca="false">IF($B307="","",COUNTA($B$2:$B307))</f>
        <v>306</v>
      </c>
      <c r="B307" s="11" t="s">
        <v>774</v>
      </c>
      <c r="C307" s="11"/>
      <c r="D307" s="11" t="s">
        <v>26</v>
      </c>
      <c r="E307" s="11" t="s">
        <v>193</v>
      </c>
      <c r="F307" s="11" t="s">
        <v>68</v>
      </c>
      <c r="G307" s="34" t="s">
        <v>132</v>
      </c>
      <c r="H307" s="25"/>
      <c r="I307" s="40" t="n">
        <v>0</v>
      </c>
      <c r="J307" s="34" t="s">
        <v>132</v>
      </c>
      <c r="K307" s="45"/>
      <c r="L307" s="34"/>
      <c r="M307" s="34" t="s">
        <v>142</v>
      </c>
      <c r="N307" s="11" t="s">
        <v>133</v>
      </c>
      <c r="O307" s="11" t="s">
        <v>133</v>
      </c>
      <c r="P307" s="11" t="s">
        <v>133</v>
      </c>
      <c r="Q307" s="11" t="s">
        <v>133</v>
      </c>
      <c r="R307" s="11" t="s">
        <v>133</v>
      </c>
      <c r="S307" s="46" t="s">
        <v>775</v>
      </c>
      <c r="T307" s="44" t="n">
        <f aca="false">IF($B307="","",COUNTA($N307:$R307)-COUNTIF($N307:$R307,"Not Invited"))</f>
        <v>0</v>
      </c>
      <c r="U307" s="44" t="n">
        <f aca="false">IF($B307="","",COUNTIF($N307:$R307,"Attended"))</f>
        <v>0</v>
      </c>
      <c r="V307" s="47" t="str">
        <f aca="false">IF($B307="","",_xlfn.TEXTJOIN(", ",TRUE(),IF($N307="Attended",Setup!$D$15,""),IF($O307="Attended",Setup!$D$16,""),IF($P307="Attended",Setup!$D$17,""),IF($Q307="Attended",Setup!$D$18,""),IF($R307="Attended",Setup!$D$19,"")))</f>
        <v/>
      </c>
      <c r="W307" s="48" t="str">
        <f aca="true">IF(OR($B307="",NOT(ISNUMBER($H307))),"",TODAY()-$H307)</f>
        <v/>
      </c>
      <c r="X307" s="47" t="str">
        <f aca="false">IF($B307="","",IF($U307&gt;0,"Event attendee",IF($G307="Yes","Met (no event)",IF($T307&gt;0,"Invited only",IF(OR($L307="Yes",$M307="Yes"),"Contacted only","Not yet contacted")))))</f>
        <v>Contacted only</v>
      </c>
      <c r="Y307" s="47" t="n">
        <f aca="false">IF($B307="","",COUNTIF(c_Firm,"&lt;"&amp;$D307)+COUNTIFS(c_Firm,$D307,c_Name,"&lt;"&amp;$B307)+COUNTIFS($D$2:$D307,$D307,$B$2:$B307,$B307))</f>
        <v>306</v>
      </c>
      <c r="Z307" s="47" t="n">
        <f aca="false">IF($B307="","",IF(AND(OR(Contacts!$C$3="(All)",$D307=Contacts!$C$3),OR(Contacts!$E$3="(All)",$G307=Contacts!$E$3),OR(Contacts!$G$3="(All)",ISNUMBER(SEARCH(Contacts!$G$3,$V307))),OR(Contacts!$I$3="(All)",$X307=Contacts!$I$3),OR(Contacts!$K$3="",ISNUMBER(SEARCH(Contacts!$K$3,$B307&amp;" "&amp;$C307&amp;" "&amp;$D307&amp;" "&amp;$S307)))),1,0))</f>
        <v>1</v>
      </c>
      <c r="AA307" s="47" t="n">
        <f aca="false">IF($Z307=1,COUNTIFS(c_Pass,1,c_Sort,"&lt;="&amp;$Y307),"")</f>
        <v>306</v>
      </c>
      <c r="AB307" s="47" t="str">
        <f aca="false">IF(OR($G307&lt;&gt;"Yes",NOT(ISNUMBER($H307))),"",COUNTIFS(c_Met,"Yes",c_Date,"&lt;"&amp;$H307)+COUNTIFS($G$2:$G307,"Yes",$H$2:$H307,$H307))</f>
        <v/>
      </c>
    </row>
    <row r="308" customFormat="false" ht="15" hidden="false" customHeight="false" outlineLevel="0" collapsed="false">
      <c r="A308" s="44" t="n">
        <f aca="false">IF($B308="","",COUNTA($B$2:$B308))</f>
        <v>307</v>
      </c>
      <c r="B308" s="11" t="s">
        <v>776</v>
      </c>
      <c r="C308" s="11" t="s">
        <v>777</v>
      </c>
      <c r="D308" s="11" t="s">
        <v>26</v>
      </c>
      <c r="E308" s="11" t="s">
        <v>131</v>
      </c>
      <c r="F308" s="11" t="s">
        <v>70</v>
      </c>
      <c r="G308" s="34" t="s">
        <v>132</v>
      </c>
      <c r="H308" s="25"/>
      <c r="I308" s="40" t="n">
        <v>0</v>
      </c>
      <c r="J308" s="34" t="s">
        <v>132</v>
      </c>
      <c r="K308" s="45"/>
      <c r="L308" s="34" t="s">
        <v>142</v>
      </c>
      <c r="M308" s="34"/>
      <c r="N308" s="11" t="s">
        <v>133</v>
      </c>
      <c r="O308" s="11" t="s">
        <v>133</v>
      </c>
      <c r="P308" s="11" t="s">
        <v>133</v>
      </c>
      <c r="Q308" s="11" t="s">
        <v>133</v>
      </c>
      <c r="R308" s="11" t="s">
        <v>133</v>
      </c>
      <c r="S308" s="46"/>
      <c r="T308" s="44" t="n">
        <f aca="false">IF($B308="","",COUNTA($N308:$R308)-COUNTIF($N308:$R308,"Not Invited"))</f>
        <v>0</v>
      </c>
      <c r="U308" s="44" t="n">
        <f aca="false">IF($B308="","",COUNTIF($N308:$R308,"Attended"))</f>
        <v>0</v>
      </c>
      <c r="V308" s="47" t="str">
        <f aca="false">IF($B308="","",_xlfn.TEXTJOIN(", ",TRUE(),IF($N308="Attended",Setup!$D$15,""),IF($O308="Attended",Setup!$D$16,""),IF($P308="Attended",Setup!$D$17,""),IF($Q308="Attended",Setup!$D$18,""),IF($R308="Attended",Setup!$D$19,"")))</f>
        <v/>
      </c>
      <c r="W308" s="48" t="str">
        <f aca="true">IF(OR($B308="",NOT(ISNUMBER($H308))),"",TODAY()-$H308)</f>
        <v/>
      </c>
      <c r="X308" s="47" t="str">
        <f aca="false">IF($B308="","",IF($U308&gt;0,"Event attendee",IF($G308="Yes","Met (no event)",IF($T308&gt;0,"Invited only",IF(OR($L308="Yes",$M308="Yes"),"Contacted only","Not yet contacted")))))</f>
        <v>Contacted only</v>
      </c>
      <c r="Y308" s="47" t="n">
        <f aca="false">IF($B308="","",COUNTIF(c_Firm,"&lt;"&amp;$D308)+COUNTIFS(c_Firm,$D308,c_Name,"&lt;"&amp;$B308)+COUNTIFS($D$2:$D308,$D308,$B$2:$B308,$B308))</f>
        <v>307</v>
      </c>
      <c r="Z308" s="47" t="n">
        <f aca="false">IF($B308="","",IF(AND(OR(Contacts!$C$3="(All)",$D308=Contacts!$C$3),OR(Contacts!$E$3="(All)",$G308=Contacts!$E$3),OR(Contacts!$G$3="(All)",ISNUMBER(SEARCH(Contacts!$G$3,$V308))),OR(Contacts!$I$3="(All)",$X308=Contacts!$I$3),OR(Contacts!$K$3="",ISNUMBER(SEARCH(Contacts!$K$3,$B308&amp;" "&amp;$C308&amp;" "&amp;$D308&amp;" "&amp;$S308)))),1,0))</f>
        <v>1</v>
      </c>
      <c r="AA308" s="47" t="n">
        <f aca="false">IF($Z308=1,COUNTIFS(c_Pass,1,c_Sort,"&lt;="&amp;$Y308),"")</f>
        <v>307</v>
      </c>
      <c r="AB308" s="47" t="str">
        <f aca="false">IF(OR($G308&lt;&gt;"Yes",NOT(ISNUMBER($H308))),"",COUNTIFS(c_Met,"Yes",c_Date,"&lt;"&amp;$H308)+COUNTIFS($G$2:$G308,"Yes",$H$2:$H308,$H308))</f>
        <v/>
      </c>
    </row>
    <row r="309" customFormat="false" ht="15" hidden="false" customHeight="false" outlineLevel="0" collapsed="false">
      <c r="A309" s="44" t="n">
        <f aca="false">IF($B309="","",COUNTA($B$2:$B309))</f>
        <v>308</v>
      </c>
      <c r="B309" s="11" t="s">
        <v>778</v>
      </c>
      <c r="C309" s="11" t="s">
        <v>779</v>
      </c>
      <c r="D309" s="11" t="s">
        <v>26</v>
      </c>
      <c r="E309" s="11" t="s">
        <v>131</v>
      </c>
      <c r="F309" s="11" t="s">
        <v>70</v>
      </c>
      <c r="G309" s="34" t="s">
        <v>132</v>
      </c>
      <c r="H309" s="25"/>
      <c r="I309" s="40" t="n">
        <v>0</v>
      </c>
      <c r="J309" s="34" t="s">
        <v>132</v>
      </c>
      <c r="K309" s="45"/>
      <c r="L309" s="34" t="s">
        <v>142</v>
      </c>
      <c r="M309" s="34"/>
      <c r="N309" s="11" t="s">
        <v>133</v>
      </c>
      <c r="O309" s="11" t="s">
        <v>133</v>
      </c>
      <c r="P309" s="11" t="s">
        <v>133</v>
      </c>
      <c r="Q309" s="11" t="s">
        <v>133</v>
      </c>
      <c r="R309" s="11" t="s">
        <v>133</v>
      </c>
      <c r="S309" s="46"/>
      <c r="T309" s="44" t="n">
        <f aca="false">IF($B309="","",COUNTA($N309:$R309)-COUNTIF($N309:$R309,"Not Invited"))</f>
        <v>0</v>
      </c>
      <c r="U309" s="44" t="n">
        <f aca="false">IF($B309="","",COUNTIF($N309:$R309,"Attended"))</f>
        <v>0</v>
      </c>
      <c r="V309" s="47" t="str">
        <f aca="false">IF($B309="","",_xlfn.TEXTJOIN(", ",TRUE(),IF($N309="Attended",Setup!$D$15,""),IF($O309="Attended",Setup!$D$16,""),IF($P309="Attended",Setup!$D$17,""),IF($Q309="Attended",Setup!$D$18,""),IF($R309="Attended",Setup!$D$19,"")))</f>
        <v/>
      </c>
      <c r="W309" s="48" t="str">
        <f aca="true">IF(OR($B309="",NOT(ISNUMBER($H309))),"",TODAY()-$H309)</f>
        <v/>
      </c>
      <c r="X309" s="47" t="str">
        <f aca="false">IF($B309="","",IF($U309&gt;0,"Event attendee",IF($G309="Yes","Met (no event)",IF($T309&gt;0,"Invited only",IF(OR($L309="Yes",$M309="Yes"),"Contacted only","Not yet contacted")))))</f>
        <v>Contacted only</v>
      </c>
      <c r="Y309" s="47" t="n">
        <f aca="false">IF($B309="","",COUNTIF(c_Firm,"&lt;"&amp;$D309)+COUNTIFS(c_Firm,$D309,c_Name,"&lt;"&amp;$B309)+COUNTIFS($D$2:$D309,$D309,$B$2:$B309,$B309))</f>
        <v>308</v>
      </c>
      <c r="Z309" s="47" t="n">
        <f aca="false">IF($B309="","",IF(AND(OR(Contacts!$C$3="(All)",$D309=Contacts!$C$3),OR(Contacts!$E$3="(All)",$G309=Contacts!$E$3),OR(Contacts!$G$3="(All)",ISNUMBER(SEARCH(Contacts!$G$3,$V309))),OR(Contacts!$I$3="(All)",$X309=Contacts!$I$3),OR(Contacts!$K$3="",ISNUMBER(SEARCH(Contacts!$K$3,$B309&amp;" "&amp;$C309&amp;" "&amp;$D309&amp;" "&amp;$S309)))),1,0))</f>
        <v>1</v>
      </c>
      <c r="AA309" s="47" t="n">
        <f aca="false">IF($Z309=1,COUNTIFS(c_Pass,1,c_Sort,"&lt;="&amp;$Y309),"")</f>
        <v>308</v>
      </c>
      <c r="AB309" s="47" t="str">
        <f aca="false">IF(OR($G309&lt;&gt;"Yes",NOT(ISNUMBER($H309))),"",COUNTIFS(c_Met,"Yes",c_Date,"&lt;"&amp;$H309)+COUNTIFS($G$2:$G309,"Yes",$H$2:$H309,$H309))</f>
        <v/>
      </c>
    </row>
    <row r="310" customFormat="false" ht="15" hidden="false" customHeight="false" outlineLevel="0" collapsed="false">
      <c r="A310" s="44" t="n">
        <f aca="false">IF($B310="","",COUNTA($B$2:$B310))</f>
        <v>309</v>
      </c>
      <c r="B310" s="11" t="s">
        <v>780</v>
      </c>
      <c r="C310" s="11" t="s">
        <v>781</v>
      </c>
      <c r="D310" s="11" t="s">
        <v>26</v>
      </c>
      <c r="E310" s="11" t="s">
        <v>131</v>
      </c>
      <c r="F310" s="11" t="s">
        <v>70</v>
      </c>
      <c r="G310" s="34" t="s">
        <v>132</v>
      </c>
      <c r="H310" s="25"/>
      <c r="I310" s="40" t="n">
        <v>0</v>
      </c>
      <c r="J310" s="34" t="s">
        <v>132</v>
      </c>
      <c r="K310" s="45"/>
      <c r="L310" s="34" t="s">
        <v>142</v>
      </c>
      <c r="M310" s="34"/>
      <c r="N310" s="11" t="s">
        <v>133</v>
      </c>
      <c r="O310" s="11" t="s">
        <v>133</v>
      </c>
      <c r="P310" s="11" t="s">
        <v>133</v>
      </c>
      <c r="Q310" s="11" t="s">
        <v>133</v>
      </c>
      <c r="R310" s="11" t="s">
        <v>133</v>
      </c>
      <c r="S310" s="46"/>
      <c r="T310" s="44" t="n">
        <f aca="false">IF($B310="","",COUNTA($N310:$R310)-COUNTIF($N310:$R310,"Not Invited"))</f>
        <v>0</v>
      </c>
      <c r="U310" s="44" t="n">
        <f aca="false">IF($B310="","",COUNTIF($N310:$R310,"Attended"))</f>
        <v>0</v>
      </c>
      <c r="V310" s="47" t="str">
        <f aca="false">IF($B310="","",_xlfn.TEXTJOIN(", ",TRUE(),IF($N310="Attended",Setup!$D$15,""),IF($O310="Attended",Setup!$D$16,""),IF($P310="Attended",Setup!$D$17,""),IF($Q310="Attended",Setup!$D$18,""),IF($R310="Attended",Setup!$D$19,"")))</f>
        <v/>
      </c>
      <c r="W310" s="48" t="str">
        <f aca="true">IF(OR($B310="",NOT(ISNUMBER($H310))),"",TODAY()-$H310)</f>
        <v/>
      </c>
      <c r="X310" s="47" t="str">
        <f aca="false">IF($B310="","",IF($U310&gt;0,"Event attendee",IF($G310="Yes","Met (no event)",IF($T310&gt;0,"Invited only",IF(OR($L310="Yes",$M310="Yes"),"Contacted only","Not yet contacted")))))</f>
        <v>Contacted only</v>
      </c>
      <c r="Y310" s="47" t="n">
        <f aca="false">IF($B310="","",COUNTIF(c_Firm,"&lt;"&amp;$D310)+COUNTIFS(c_Firm,$D310,c_Name,"&lt;"&amp;$B310)+COUNTIFS($D$2:$D310,$D310,$B$2:$B310,$B310))</f>
        <v>309</v>
      </c>
      <c r="Z310" s="47" t="n">
        <f aca="false">IF($B310="","",IF(AND(OR(Contacts!$C$3="(All)",$D310=Contacts!$C$3),OR(Contacts!$E$3="(All)",$G310=Contacts!$E$3),OR(Contacts!$G$3="(All)",ISNUMBER(SEARCH(Contacts!$G$3,$V310))),OR(Contacts!$I$3="(All)",$X310=Contacts!$I$3),OR(Contacts!$K$3="",ISNUMBER(SEARCH(Contacts!$K$3,$B310&amp;" "&amp;$C310&amp;" "&amp;$D310&amp;" "&amp;$S310)))),1,0))</f>
        <v>1</v>
      </c>
      <c r="AA310" s="47" t="n">
        <f aca="false">IF($Z310=1,COUNTIFS(c_Pass,1,c_Sort,"&lt;="&amp;$Y310),"")</f>
        <v>309</v>
      </c>
      <c r="AB310" s="47" t="str">
        <f aca="false">IF(OR($G310&lt;&gt;"Yes",NOT(ISNUMBER($H310))),"",COUNTIFS(c_Met,"Yes",c_Date,"&lt;"&amp;$H310)+COUNTIFS($G$2:$G310,"Yes",$H$2:$H310,$H310))</f>
        <v/>
      </c>
    </row>
    <row r="311" customFormat="false" ht="15" hidden="false" customHeight="false" outlineLevel="0" collapsed="false">
      <c r="A311" s="44" t="n">
        <f aca="false">IF($B311="","",COUNTA($B$2:$B311))</f>
        <v>310</v>
      </c>
      <c r="B311" s="11" t="s">
        <v>782</v>
      </c>
      <c r="C311" s="11" t="s">
        <v>783</v>
      </c>
      <c r="D311" s="11" t="s">
        <v>26</v>
      </c>
      <c r="E311" s="11" t="s">
        <v>131</v>
      </c>
      <c r="F311" s="11" t="s">
        <v>70</v>
      </c>
      <c r="G311" s="34" t="s">
        <v>132</v>
      </c>
      <c r="H311" s="25"/>
      <c r="I311" s="40" t="n">
        <v>0</v>
      </c>
      <c r="J311" s="34" t="s">
        <v>132</v>
      </c>
      <c r="K311" s="45"/>
      <c r="L311" s="34" t="s">
        <v>142</v>
      </c>
      <c r="M311" s="34"/>
      <c r="N311" s="11" t="s">
        <v>133</v>
      </c>
      <c r="O311" s="11" t="s">
        <v>133</v>
      </c>
      <c r="P311" s="11" t="s">
        <v>133</v>
      </c>
      <c r="Q311" s="11" t="s">
        <v>133</v>
      </c>
      <c r="R311" s="11" t="s">
        <v>133</v>
      </c>
      <c r="S311" s="46"/>
      <c r="T311" s="44" t="n">
        <f aca="false">IF($B311="","",COUNTA($N311:$R311)-COUNTIF($N311:$R311,"Not Invited"))</f>
        <v>0</v>
      </c>
      <c r="U311" s="44" t="n">
        <f aca="false">IF($B311="","",COUNTIF($N311:$R311,"Attended"))</f>
        <v>0</v>
      </c>
      <c r="V311" s="47" t="str">
        <f aca="false">IF($B311="","",_xlfn.TEXTJOIN(", ",TRUE(),IF($N311="Attended",Setup!$D$15,""),IF($O311="Attended",Setup!$D$16,""),IF($P311="Attended",Setup!$D$17,""),IF($Q311="Attended",Setup!$D$18,""),IF($R311="Attended",Setup!$D$19,"")))</f>
        <v/>
      </c>
      <c r="W311" s="48" t="str">
        <f aca="true">IF(OR($B311="",NOT(ISNUMBER($H311))),"",TODAY()-$H311)</f>
        <v/>
      </c>
      <c r="X311" s="47" t="str">
        <f aca="false">IF($B311="","",IF($U311&gt;0,"Event attendee",IF($G311="Yes","Met (no event)",IF($T311&gt;0,"Invited only",IF(OR($L311="Yes",$M311="Yes"),"Contacted only","Not yet contacted")))))</f>
        <v>Contacted only</v>
      </c>
      <c r="Y311" s="47" t="n">
        <f aca="false">IF($B311="","",COUNTIF(c_Firm,"&lt;"&amp;$D311)+COUNTIFS(c_Firm,$D311,c_Name,"&lt;"&amp;$B311)+COUNTIFS($D$2:$D311,$D311,$B$2:$B311,$B311))</f>
        <v>310</v>
      </c>
      <c r="Z311" s="47" t="n">
        <f aca="false">IF($B311="","",IF(AND(OR(Contacts!$C$3="(All)",$D311=Contacts!$C$3),OR(Contacts!$E$3="(All)",$G311=Contacts!$E$3),OR(Contacts!$G$3="(All)",ISNUMBER(SEARCH(Contacts!$G$3,$V311))),OR(Contacts!$I$3="(All)",$X311=Contacts!$I$3),OR(Contacts!$K$3="",ISNUMBER(SEARCH(Contacts!$K$3,$B311&amp;" "&amp;$C311&amp;" "&amp;$D311&amp;" "&amp;$S311)))),1,0))</f>
        <v>1</v>
      </c>
      <c r="AA311" s="47" t="n">
        <f aca="false">IF($Z311=1,COUNTIFS(c_Pass,1,c_Sort,"&lt;="&amp;$Y311),"")</f>
        <v>310</v>
      </c>
      <c r="AB311" s="47" t="str">
        <f aca="false">IF(OR($G311&lt;&gt;"Yes",NOT(ISNUMBER($H311))),"",COUNTIFS(c_Met,"Yes",c_Date,"&lt;"&amp;$H311)+COUNTIFS($G$2:$G311,"Yes",$H$2:$H311,$H311))</f>
        <v/>
      </c>
    </row>
    <row r="312" customFormat="false" ht="15" hidden="false" customHeight="false" outlineLevel="0" collapsed="false">
      <c r="A312" s="44" t="n">
        <f aca="false">IF($B312="","",COUNTA($B$2:$B312))</f>
        <v>311</v>
      </c>
      <c r="B312" s="11" t="s">
        <v>784</v>
      </c>
      <c r="C312" s="11" t="s">
        <v>785</v>
      </c>
      <c r="D312" s="11" t="s">
        <v>26</v>
      </c>
      <c r="E312" s="11" t="s">
        <v>131</v>
      </c>
      <c r="F312" s="11" t="s">
        <v>70</v>
      </c>
      <c r="G312" s="34" t="s">
        <v>132</v>
      </c>
      <c r="H312" s="25"/>
      <c r="I312" s="40" t="n">
        <v>0</v>
      </c>
      <c r="J312" s="34" t="s">
        <v>132</v>
      </c>
      <c r="K312" s="45"/>
      <c r="L312" s="34" t="s">
        <v>142</v>
      </c>
      <c r="M312" s="34"/>
      <c r="N312" s="11" t="s">
        <v>133</v>
      </c>
      <c r="O312" s="11" t="s">
        <v>133</v>
      </c>
      <c r="P312" s="11" t="s">
        <v>133</v>
      </c>
      <c r="Q312" s="11" t="s">
        <v>133</v>
      </c>
      <c r="R312" s="11" t="s">
        <v>133</v>
      </c>
      <c r="S312" s="46"/>
      <c r="T312" s="44" t="n">
        <f aca="false">IF($B312="","",COUNTA($N312:$R312)-COUNTIF($N312:$R312,"Not Invited"))</f>
        <v>0</v>
      </c>
      <c r="U312" s="44" t="n">
        <f aca="false">IF($B312="","",COUNTIF($N312:$R312,"Attended"))</f>
        <v>0</v>
      </c>
      <c r="V312" s="47" t="str">
        <f aca="false">IF($B312="","",_xlfn.TEXTJOIN(", ",TRUE(),IF($N312="Attended",Setup!$D$15,""),IF($O312="Attended",Setup!$D$16,""),IF($P312="Attended",Setup!$D$17,""),IF($Q312="Attended",Setup!$D$18,""),IF($R312="Attended",Setup!$D$19,"")))</f>
        <v/>
      </c>
      <c r="W312" s="48" t="str">
        <f aca="true">IF(OR($B312="",NOT(ISNUMBER($H312))),"",TODAY()-$H312)</f>
        <v/>
      </c>
      <c r="X312" s="47" t="str">
        <f aca="false">IF($B312="","",IF($U312&gt;0,"Event attendee",IF($G312="Yes","Met (no event)",IF($T312&gt;0,"Invited only",IF(OR($L312="Yes",$M312="Yes"),"Contacted only","Not yet contacted")))))</f>
        <v>Contacted only</v>
      </c>
      <c r="Y312" s="47" t="n">
        <f aca="false">IF($B312="","",COUNTIF(c_Firm,"&lt;"&amp;$D312)+COUNTIFS(c_Firm,$D312,c_Name,"&lt;"&amp;$B312)+COUNTIFS($D$2:$D312,$D312,$B$2:$B312,$B312))</f>
        <v>311</v>
      </c>
      <c r="Z312" s="47" t="n">
        <f aca="false">IF($B312="","",IF(AND(OR(Contacts!$C$3="(All)",$D312=Contacts!$C$3),OR(Contacts!$E$3="(All)",$G312=Contacts!$E$3),OR(Contacts!$G$3="(All)",ISNUMBER(SEARCH(Contacts!$G$3,$V312))),OR(Contacts!$I$3="(All)",$X312=Contacts!$I$3),OR(Contacts!$K$3="",ISNUMBER(SEARCH(Contacts!$K$3,$B312&amp;" "&amp;$C312&amp;" "&amp;$D312&amp;" "&amp;$S312)))),1,0))</f>
        <v>1</v>
      </c>
      <c r="AA312" s="47" t="n">
        <f aca="false">IF($Z312=1,COUNTIFS(c_Pass,1,c_Sort,"&lt;="&amp;$Y312),"")</f>
        <v>311</v>
      </c>
      <c r="AB312" s="47" t="str">
        <f aca="false">IF(OR($G312&lt;&gt;"Yes",NOT(ISNUMBER($H312))),"",COUNTIFS(c_Met,"Yes",c_Date,"&lt;"&amp;$H312)+COUNTIFS($G$2:$G312,"Yes",$H$2:$H312,$H312))</f>
        <v/>
      </c>
    </row>
    <row r="313" customFormat="false" ht="15" hidden="false" customHeight="false" outlineLevel="0" collapsed="false">
      <c r="A313" s="44" t="n">
        <f aca="false">IF($B313="","",COUNTA($B$2:$B313))</f>
        <v>312</v>
      </c>
      <c r="B313" s="11" t="s">
        <v>786</v>
      </c>
      <c r="C313" s="11" t="s">
        <v>787</v>
      </c>
      <c r="D313" s="11" t="s">
        <v>26</v>
      </c>
      <c r="E313" s="11" t="s">
        <v>131</v>
      </c>
      <c r="F313" s="11" t="s">
        <v>70</v>
      </c>
      <c r="G313" s="34" t="s">
        <v>132</v>
      </c>
      <c r="H313" s="25"/>
      <c r="I313" s="40" t="n">
        <v>0</v>
      </c>
      <c r="J313" s="34" t="s">
        <v>132</v>
      </c>
      <c r="K313" s="45"/>
      <c r="L313" s="34" t="s">
        <v>142</v>
      </c>
      <c r="M313" s="34"/>
      <c r="N313" s="11" t="s">
        <v>133</v>
      </c>
      <c r="O313" s="11" t="s">
        <v>133</v>
      </c>
      <c r="P313" s="11" t="s">
        <v>133</v>
      </c>
      <c r="Q313" s="11" t="s">
        <v>133</v>
      </c>
      <c r="R313" s="11" t="s">
        <v>133</v>
      </c>
      <c r="S313" s="46"/>
      <c r="T313" s="44" t="n">
        <f aca="false">IF($B313="","",COUNTA($N313:$R313)-COUNTIF($N313:$R313,"Not Invited"))</f>
        <v>0</v>
      </c>
      <c r="U313" s="44" t="n">
        <f aca="false">IF($B313="","",COUNTIF($N313:$R313,"Attended"))</f>
        <v>0</v>
      </c>
      <c r="V313" s="47" t="str">
        <f aca="false">IF($B313="","",_xlfn.TEXTJOIN(", ",TRUE(),IF($N313="Attended",Setup!$D$15,""),IF($O313="Attended",Setup!$D$16,""),IF($P313="Attended",Setup!$D$17,""),IF($Q313="Attended",Setup!$D$18,""),IF($R313="Attended",Setup!$D$19,"")))</f>
        <v/>
      </c>
      <c r="W313" s="48" t="str">
        <f aca="true">IF(OR($B313="",NOT(ISNUMBER($H313))),"",TODAY()-$H313)</f>
        <v/>
      </c>
      <c r="X313" s="47" t="str">
        <f aca="false">IF($B313="","",IF($U313&gt;0,"Event attendee",IF($G313="Yes","Met (no event)",IF($T313&gt;0,"Invited only",IF(OR($L313="Yes",$M313="Yes"),"Contacted only","Not yet contacted")))))</f>
        <v>Contacted only</v>
      </c>
      <c r="Y313" s="47" t="n">
        <f aca="false">IF($B313="","",COUNTIF(c_Firm,"&lt;"&amp;$D313)+COUNTIFS(c_Firm,$D313,c_Name,"&lt;"&amp;$B313)+COUNTIFS($D$2:$D313,$D313,$B$2:$B313,$B313))</f>
        <v>312</v>
      </c>
      <c r="Z313" s="47" t="n">
        <f aca="false">IF($B313="","",IF(AND(OR(Contacts!$C$3="(All)",$D313=Contacts!$C$3),OR(Contacts!$E$3="(All)",$G313=Contacts!$E$3),OR(Contacts!$G$3="(All)",ISNUMBER(SEARCH(Contacts!$G$3,$V313))),OR(Contacts!$I$3="(All)",$X313=Contacts!$I$3),OR(Contacts!$K$3="",ISNUMBER(SEARCH(Contacts!$K$3,$B313&amp;" "&amp;$C313&amp;" "&amp;$D313&amp;" "&amp;$S313)))),1,0))</f>
        <v>1</v>
      </c>
      <c r="AA313" s="47" t="n">
        <f aca="false">IF($Z313=1,COUNTIFS(c_Pass,1,c_Sort,"&lt;="&amp;$Y313),"")</f>
        <v>312</v>
      </c>
      <c r="AB313" s="47" t="str">
        <f aca="false">IF(OR($G313&lt;&gt;"Yes",NOT(ISNUMBER($H313))),"",COUNTIFS(c_Met,"Yes",c_Date,"&lt;"&amp;$H313)+COUNTIFS($G$2:$G313,"Yes",$H$2:$H313,$H313))</f>
        <v/>
      </c>
    </row>
    <row r="314" customFormat="false" ht="15" hidden="false" customHeight="false" outlineLevel="0" collapsed="false">
      <c r="A314" s="44" t="n">
        <f aca="false">IF($B314="","",COUNTA($B$2:$B314))</f>
        <v>313</v>
      </c>
      <c r="B314" s="11" t="s">
        <v>788</v>
      </c>
      <c r="C314" s="11" t="s">
        <v>789</v>
      </c>
      <c r="D314" s="11" t="s">
        <v>26</v>
      </c>
      <c r="E314" s="11" t="s">
        <v>131</v>
      </c>
      <c r="F314" s="11" t="s">
        <v>70</v>
      </c>
      <c r="G314" s="34" t="s">
        <v>132</v>
      </c>
      <c r="H314" s="25"/>
      <c r="I314" s="40" t="n">
        <v>0</v>
      </c>
      <c r="J314" s="34" t="s">
        <v>132</v>
      </c>
      <c r="K314" s="45"/>
      <c r="L314" s="34" t="s">
        <v>142</v>
      </c>
      <c r="M314" s="34"/>
      <c r="N314" s="11" t="s">
        <v>133</v>
      </c>
      <c r="O314" s="11" t="s">
        <v>133</v>
      </c>
      <c r="P314" s="11" t="s">
        <v>133</v>
      </c>
      <c r="Q314" s="11" t="s">
        <v>133</v>
      </c>
      <c r="R314" s="11" t="s">
        <v>133</v>
      </c>
      <c r="S314" s="46"/>
      <c r="T314" s="44" t="n">
        <f aca="false">IF($B314="","",COUNTA($N314:$R314)-COUNTIF($N314:$R314,"Not Invited"))</f>
        <v>0</v>
      </c>
      <c r="U314" s="44" t="n">
        <f aca="false">IF($B314="","",COUNTIF($N314:$R314,"Attended"))</f>
        <v>0</v>
      </c>
      <c r="V314" s="47" t="str">
        <f aca="false">IF($B314="","",_xlfn.TEXTJOIN(", ",TRUE(),IF($N314="Attended",Setup!$D$15,""),IF($O314="Attended",Setup!$D$16,""),IF($P314="Attended",Setup!$D$17,""),IF($Q314="Attended",Setup!$D$18,""),IF($R314="Attended",Setup!$D$19,"")))</f>
        <v/>
      </c>
      <c r="W314" s="48" t="str">
        <f aca="true">IF(OR($B314="",NOT(ISNUMBER($H314))),"",TODAY()-$H314)</f>
        <v/>
      </c>
      <c r="X314" s="47" t="str">
        <f aca="false">IF($B314="","",IF($U314&gt;0,"Event attendee",IF($G314="Yes","Met (no event)",IF($T314&gt;0,"Invited only",IF(OR($L314="Yes",$M314="Yes"),"Contacted only","Not yet contacted")))))</f>
        <v>Contacted only</v>
      </c>
      <c r="Y314" s="47" t="n">
        <f aca="false">IF($B314="","",COUNTIF(c_Firm,"&lt;"&amp;$D314)+COUNTIFS(c_Firm,$D314,c_Name,"&lt;"&amp;$B314)+COUNTIFS($D$2:$D314,$D314,$B$2:$B314,$B314))</f>
        <v>313</v>
      </c>
      <c r="Z314" s="47" t="n">
        <f aca="false">IF($B314="","",IF(AND(OR(Contacts!$C$3="(All)",$D314=Contacts!$C$3),OR(Contacts!$E$3="(All)",$G314=Contacts!$E$3),OR(Contacts!$G$3="(All)",ISNUMBER(SEARCH(Contacts!$G$3,$V314))),OR(Contacts!$I$3="(All)",$X314=Contacts!$I$3),OR(Contacts!$K$3="",ISNUMBER(SEARCH(Contacts!$K$3,$B314&amp;" "&amp;$C314&amp;" "&amp;$D314&amp;" "&amp;$S314)))),1,0))</f>
        <v>1</v>
      </c>
      <c r="AA314" s="47" t="n">
        <f aca="false">IF($Z314=1,COUNTIFS(c_Pass,1,c_Sort,"&lt;="&amp;$Y314),"")</f>
        <v>313</v>
      </c>
      <c r="AB314" s="47" t="str">
        <f aca="false">IF(OR($G314&lt;&gt;"Yes",NOT(ISNUMBER($H314))),"",COUNTIFS(c_Met,"Yes",c_Date,"&lt;"&amp;$H314)+COUNTIFS($G$2:$G314,"Yes",$H$2:$H314,$H314))</f>
        <v/>
      </c>
    </row>
    <row r="315" customFormat="false" ht="15" hidden="false" customHeight="false" outlineLevel="0" collapsed="false">
      <c r="A315" s="44" t="n">
        <f aca="false">IF($B315="","",COUNTA($B$2:$B315))</f>
        <v>314</v>
      </c>
      <c r="B315" s="11" t="s">
        <v>790</v>
      </c>
      <c r="C315" s="11" t="s">
        <v>791</v>
      </c>
      <c r="D315" s="11" t="s">
        <v>26</v>
      </c>
      <c r="E315" s="11" t="s">
        <v>131</v>
      </c>
      <c r="F315" s="11" t="s">
        <v>141</v>
      </c>
      <c r="G315" s="34" t="s">
        <v>142</v>
      </c>
      <c r="H315" s="25" t="n">
        <v>45924</v>
      </c>
      <c r="I315" s="40" t="n">
        <v>1</v>
      </c>
      <c r="J315" s="34" t="s">
        <v>132</v>
      </c>
      <c r="K315" s="45" t="n">
        <v>6000000</v>
      </c>
      <c r="L315" s="34"/>
      <c r="M315" s="34"/>
      <c r="N315" s="11" t="s">
        <v>55</v>
      </c>
      <c r="O315" s="11" t="s">
        <v>134</v>
      </c>
      <c r="P315" s="11" t="s">
        <v>133</v>
      </c>
      <c r="Q315" s="11" t="s">
        <v>133</v>
      </c>
      <c r="R315" s="11" t="s">
        <v>133</v>
      </c>
      <c r="S315" s="46"/>
      <c r="T315" s="44" t="n">
        <f aca="false">IF($B315="","",COUNTA($N315:$R315)-COUNTIF($N315:$R315,"Not Invited"))</f>
        <v>2</v>
      </c>
      <c r="U315" s="44" t="n">
        <f aca="false">IF($B315="","",COUNTIF($N315:$R315,"Attended"))</f>
        <v>1</v>
      </c>
      <c r="V315" s="47" t="str">
        <f aca="false">IF($B315="","",_xlfn.TEXTJOIN(", ",TRUE(),IF($N315="Attended",Setup!$D$15,""),IF($O315="Attended",Setup!$D$16,""),IF($P315="Attended",Setup!$D$17,""),IF($Q315="Attended",Setup!$D$18,""),IF($R315="Attended",Setup!$D$19,"")))</f>
        <v>Oct-25 Symposium</v>
      </c>
      <c r="W315" s="48" t="n">
        <f aca="true">IF(OR($B315="",NOT(ISNUMBER($H315))),"",TODAY()-$H315)</f>
        <v>317</v>
      </c>
      <c r="X315" s="47" t="str">
        <f aca="false">IF($B315="","",IF($U315&gt;0,"Event attendee",IF($G315="Yes","Met (no event)",IF($T315&gt;0,"Invited only",IF(OR($L315="Yes",$M315="Yes"),"Contacted only","Not yet contacted")))))</f>
        <v>Event attendee</v>
      </c>
      <c r="Y315" s="47" t="n">
        <f aca="false">IF($B315="","",COUNTIF(c_Firm,"&lt;"&amp;$D315)+COUNTIFS(c_Firm,$D315,c_Name,"&lt;"&amp;$B315)+COUNTIFS($D$2:$D315,$D315,$B$2:$B315,$B315))</f>
        <v>314</v>
      </c>
      <c r="Z315" s="47" t="n">
        <f aca="false">IF($B315="","",IF(AND(OR(Contacts!$C$3="(All)",$D315=Contacts!$C$3),OR(Contacts!$E$3="(All)",$G315=Contacts!$E$3),OR(Contacts!$G$3="(All)",ISNUMBER(SEARCH(Contacts!$G$3,$V315))),OR(Contacts!$I$3="(All)",$X315=Contacts!$I$3),OR(Contacts!$K$3="",ISNUMBER(SEARCH(Contacts!$K$3,$B315&amp;" "&amp;$C315&amp;" "&amp;$D315&amp;" "&amp;$S315)))),1,0))</f>
        <v>1</v>
      </c>
      <c r="AA315" s="47" t="n">
        <f aca="false">IF($Z315=1,COUNTIFS(c_Pass,1,c_Sort,"&lt;="&amp;$Y315),"")</f>
        <v>314</v>
      </c>
      <c r="AB315" s="47" t="n">
        <f aca="false">IF(OR($G315&lt;&gt;"Yes",NOT(ISNUMBER($H315))),"",COUNTIFS(c_Met,"Yes",c_Date,"&lt;"&amp;$H315)+COUNTIFS($G$2:$G315,"Yes",$H$2:$H315,$H315))</f>
        <v>21</v>
      </c>
    </row>
    <row r="316" customFormat="false" ht="15" hidden="false" customHeight="false" outlineLevel="0" collapsed="false">
      <c r="A316" s="44" t="n">
        <f aca="false">IF($B316="","",COUNTA($B$2:$B316))</f>
        <v>315</v>
      </c>
      <c r="B316" s="11" t="s">
        <v>792</v>
      </c>
      <c r="C316" s="11" t="s">
        <v>793</v>
      </c>
      <c r="D316" s="11" t="s">
        <v>36</v>
      </c>
      <c r="E316" s="11" t="s">
        <v>193</v>
      </c>
      <c r="F316" s="11" t="s">
        <v>68</v>
      </c>
      <c r="G316" s="34" t="s">
        <v>132</v>
      </c>
      <c r="H316" s="25"/>
      <c r="I316" s="40" t="n">
        <v>0</v>
      </c>
      <c r="J316" s="34" t="s">
        <v>132</v>
      </c>
      <c r="K316" s="45"/>
      <c r="L316" s="34"/>
      <c r="M316" s="34"/>
      <c r="N316" s="11" t="s">
        <v>133</v>
      </c>
      <c r="O316" s="11" t="s">
        <v>133</v>
      </c>
      <c r="P316" s="11" t="s">
        <v>133</v>
      </c>
      <c r="Q316" s="11" t="s">
        <v>133</v>
      </c>
      <c r="R316" s="11" t="s">
        <v>133</v>
      </c>
      <c r="S316" s="46" t="s">
        <v>794</v>
      </c>
      <c r="T316" s="44" t="n">
        <f aca="false">IF($B316="","",COUNTA($N316:$R316)-COUNTIF($N316:$R316,"Not Invited"))</f>
        <v>0</v>
      </c>
      <c r="U316" s="44" t="n">
        <f aca="false">IF($B316="","",COUNTIF($N316:$R316,"Attended"))</f>
        <v>0</v>
      </c>
      <c r="V316" s="47" t="str">
        <f aca="false">IF($B316="","",_xlfn.TEXTJOIN(", ",TRUE(),IF($N316="Attended",Setup!$D$15,""),IF($O316="Attended",Setup!$D$16,""),IF($P316="Attended",Setup!$D$17,""),IF($Q316="Attended",Setup!$D$18,""),IF($R316="Attended",Setup!$D$19,"")))</f>
        <v/>
      </c>
      <c r="W316" s="48" t="str">
        <f aca="true">IF(OR($B316="",NOT(ISNUMBER($H316))),"",TODAY()-$H316)</f>
        <v/>
      </c>
      <c r="X316" s="47" t="str">
        <f aca="false">IF($B316="","",IF($U316&gt;0,"Event attendee",IF($G316="Yes","Met (no event)",IF($T316&gt;0,"Invited only",IF(OR($L316="Yes",$M316="Yes"),"Contacted only","Not yet contacted")))))</f>
        <v>Not yet contacted</v>
      </c>
      <c r="Y316" s="47" t="n">
        <f aca="false">IF($B316="","",COUNTIF(c_Firm,"&lt;"&amp;$D316)+COUNTIFS(c_Firm,$D316,c_Name,"&lt;"&amp;$B316)+COUNTIFS($D$2:$D316,$D316,$B$2:$B316,$B316))</f>
        <v>315</v>
      </c>
      <c r="Z316" s="47" t="n">
        <f aca="false">IF($B316="","",IF(AND(OR(Contacts!$C$3="(All)",$D316=Contacts!$C$3),OR(Contacts!$E$3="(All)",$G316=Contacts!$E$3),OR(Contacts!$G$3="(All)",ISNUMBER(SEARCH(Contacts!$G$3,$V316))),OR(Contacts!$I$3="(All)",$X316=Contacts!$I$3),OR(Contacts!$K$3="",ISNUMBER(SEARCH(Contacts!$K$3,$B316&amp;" "&amp;$C316&amp;" "&amp;$D316&amp;" "&amp;$S316)))),1,0))</f>
        <v>1</v>
      </c>
      <c r="AA316" s="47" t="n">
        <f aca="false">IF($Z316=1,COUNTIFS(c_Pass,1,c_Sort,"&lt;="&amp;$Y316),"")</f>
        <v>315</v>
      </c>
      <c r="AB316" s="47" t="str">
        <f aca="false">IF(OR($G316&lt;&gt;"Yes",NOT(ISNUMBER($H316))),"",COUNTIFS(c_Met,"Yes",c_Date,"&lt;"&amp;$H316)+COUNTIFS($G$2:$G316,"Yes",$H$2:$H316,$H316))</f>
        <v/>
      </c>
    </row>
    <row r="317" customFormat="false" ht="15" hidden="false" customHeight="false" outlineLevel="0" collapsed="false">
      <c r="A317" s="44" t="n">
        <f aca="false">IF($B317="","",COUNTA($B$2:$B317))</f>
        <v>316</v>
      </c>
      <c r="B317" s="11" t="s">
        <v>795</v>
      </c>
      <c r="C317" s="11"/>
      <c r="D317" s="11" t="s">
        <v>36</v>
      </c>
      <c r="E317" s="11" t="s">
        <v>193</v>
      </c>
      <c r="F317" s="11" t="s">
        <v>68</v>
      </c>
      <c r="G317" s="34" t="s">
        <v>132</v>
      </c>
      <c r="H317" s="25"/>
      <c r="I317" s="40" t="n">
        <v>0</v>
      </c>
      <c r="J317" s="34" t="s">
        <v>132</v>
      </c>
      <c r="K317" s="45"/>
      <c r="L317" s="34"/>
      <c r="M317" s="34"/>
      <c r="N317" s="11" t="s">
        <v>133</v>
      </c>
      <c r="O317" s="11" t="s">
        <v>133</v>
      </c>
      <c r="P317" s="11" t="s">
        <v>133</v>
      </c>
      <c r="Q317" s="11" t="s">
        <v>133</v>
      </c>
      <c r="R317" s="11" t="s">
        <v>133</v>
      </c>
      <c r="S317" s="46" t="s">
        <v>796</v>
      </c>
      <c r="T317" s="44" t="n">
        <f aca="false">IF($B317="","",COUNTA($N317:$R317)-COUNTIF($N317:$R317,"Not Invited"))</f>
        <v>0</v>
      </c>
      <c r="U317" s="44" t="n">
        <f aca="false">IF($B317="","",COUNTIF($N317:$R317,"Attended"))</f>
        <v>0</v>
      </c>
      <c r="V317" s="47" t="str">
        <f aca="false">IF($B317="","",_xlfn.TEXTJOIN(", ",TRUE(),IF($N317="Attended",Setup!$D$15,""),IF($O317="Attended",Setup!$D$16,""),IF($P317="Attended",Setup!$D$17,""),IF($Q317="Attended",Setup!$D$18,""),IF($R317="Attended",Setup!$D$19,"")))</f>
        <v/>
      </c>
      <c r="W317" s="48" t="str">
        <f aca="true">IF(OR($B317="",NOT(ISNUMBER($H317))),"",TODAY()-$H317)</f>
        <v/>
      </c>
      <c r="X317" s="47" t="str">
        <f aca="false">IF($B317="","",IF($U317&gt;0,"Event attendee",IF($G317="Yes","Met (no event)",IF($T317&gt;0,"Invited only",IF(OR($L317="Yes",$M317="Yes"),"Contacted only","Not yet contacted")))))</f>
        <v>Not yet contacted</v>
      </c>
      <c r="Y317" s="47" t="n">
        <f aca="false">IF($B317="","",COUNTIF(c_Firm,"&lt;"&amp;$D317)+COUNTIFS(c_Firm,$D317,c_Name,"&lt;"&amp;$B317)+COUNTIFS($D$2:$D317,$D317,$B$2:$B317,$B317))</f>
        <v>316</v>
      </c>
      <c r="Z317" s="47" t="n">
        <f aca="false">IF($B317="","",IF(AND(OR(Contacts!$C$3="(All)",$D317=Contacts!$C$3),OR(Contacts!$E$3="(All)",$G317=Contacts!$E$3),OR(Contacts!$G$3="(All)",ISNUMBER(SEARCH(Contacts!$G$3,$V317))),OR(Contacts!$I$3="(All)",$X317=Contacts!$I$3),OR(Contacts!$K$3="",ISNUMBER(SEARCH(Contacts!$K$3,$B317&amp;" "&amp;$C317&amp;" "&amp;$D317&amp;" "&amp;$S317)))),1,0))</f>
        <v>1</v>
      </c>
      <c r="AA317" s="47" t="n">
        <f aca="false">IF($Z317=1,COUNTIFS(c_Pass,1,c_Sort,"&lt;="&amp;$Y317),"")</f>
        <v>316</v>
      </c>
      <c r="AB317" s="47" t="str">
        <f aca="false">IF(OR($G317&lt;&gt;"Yes",NOT(ISNUMBER($H317))),"",COUNTIFS(c_Met,"Yes",c_Date,"&lt;"&amp;$H317)+COUNTIFS($G$2:$G317,"Yes",$H$2:$H317,$H317))</f>
        <v/>
      </c>
    </row>
    <row r="318" customFormat="false" ht="15" hidden="false" customHeight="false" outlineLevel="0" collapsed="false">
      <c r="A318" s="44" t="n">
        <f aca="false">IF($B318="","",COUNTA($B$2:$B318))</f>
        <v>317</v>
      </c>
      <c r="B318" s="11" t="s">
        <v>797</v>
      </c>
      <c r="C318" s="11" t="s">
        <v>798</v>
      </c>
      <c r="D318" s="11" t="s">
        <v>36</v>
      </c>
      <c r="E318" s="11" t="s">
        <v>131</v>
      </c>
      <c r="F318" s="11" t="s">
        <v>141</v>
      </c>
      <c r="G318" s="34" t="s">
        <v>142</v>
      </c>
      <c r="H318" s="25" t="n">
        <v>45693</v>
      </c>
      <c r="I318" s="40" t="n">
        <v>1</v>
      </c>
      <c r="J318" s="34" t="s">
        <v>132</v>
      </c>
      <c r="K318" s="45" t="n">
        <v>5000000</v>
      </c>
      <c r="L318" s="34"/>
      <c r="M318" s="34"/>
      <c r="N318" s="11" t="s">
        <v>57</v>
      </c>
      <c r="O318" s="11" t="s">
        <v>143</v>
      </c>
      <c r="P318" s="11" t="s">
        <v>133</v>
      </c>
      <c r="Q318" s="11" t="s">
        <v>133</v>
      </c>
      <c r="R318" s="11" t="s">
        <v>133</v>
      </c>
      <c r="S318" s="46"/>
      <c r="T318" s="44" t="n">
        <f aca="false">IF($B318="","",COUNTA($N318:$R318)-COUNTIF($N318:$R318,"Not Invited"))</f>
        <v>2</v>
      </c>
      <c r="U318" s="44" t="n">
        <f aca="false">IF($B318="","",COUNTIF($N318:$R318,"Attended"))</f>
        <v>0</v>
      </c>
      <c r="V318" s="47" t="str">
        <f aca="false">IF($B318="","",_xlfn.TEXTJOIN(", ",TRUE(),IF($N318="Attended",Setup!$D$15,""),IF($O318="Attended",Setup!$D$16,""),IF($P318="Attended",Setup!$D$17,""),IF($Q318="Attended",Setup!$D$18,""),IF($R318="Attended",Setup!$D$19,"")))</f>
        <v/>
      </c>
      <c r="W318" s="48" t="n">
        <f aca="true">IF(OR($B318="",NOT(ISNUMBER($H318))),"",TODAY()-$H318)</f>
        <v>548</v>
      </c>
      <c r="X318" s="47" t="str">
        <f aca="false">IF($B318="","",IF($U318&gt;0,"Event attendee",IF($G318="Yes","Met (no event)",IF($T318&gt;0,"Invited only",IF(OR($L318="Yes",$M318="Yes"),"Contacted only","Not yet contacted")))))</f>
        <v>Met (no event)</v>
      </c>
      <c r="Y318" s="47" t="n">
        <f aca="false">IF($B318="","",COUNTIF(c_Firm,"&lt;"&amp;$D318)+COUNTIFS(c_Firm,$D318,c_Name,"&lt;"&amp;$B318)+COUNTIFS($D$2:$D318,$D318,$B$2:$B318,$B318))</f>
        <v>317</v>
      </c>
      <c r="Z318" s="47" t="n">
        <f aca="false">IF($B318="","",IF(AND(OR(Contacts!$C$3="(All)",$D318=Contacts!$C$3),OR(Contacts!$E$3="(All)",$G318=Contacts!$E$3),OR(Contacts!$G$3="(All)",ISNUMBER(SEARCH(Contacts!$G$3,$V318))),OR(Contacts!$I$3="(All)",$X318=Contacts!$I$3),OR(Contacts!$K$3="",ISNUMBER(SEARCH(Contacts!$K$3,$B318&amp;" "&amp;$C318&amp;" "&amp;$D318&amp;" "&amp;$S318)))),1,0))</f>
        <v>1</v>
      </c>
      <c r="AA318" s="47" t="n">
        <f aca="false">IF($Z318=1,COUNTIFS(c_Pass,1,c_Sort,"&lt;="&amp;$Y318),"")</f>
        <v>317</v>
      </c>
      <c r="AB318" s="47" t="n">
        <f aca="false">IF(OR($G318&lt;&gt;"Yes",NOT(ISNUMBER($H318))),"",COUNTIFS(c_Met,"Yes",c_Date,"&lt;"&amp;$H318)+COUNTIFS($G$2:$G318,"Yes",$H$2:$H318,$H318))</f>
        <v>4</v>
      </c>
    </row>
    <row r="319" customFormat="false" ht="15" hidden="false" customHeight="false" outlineLevel="0" collapsed="false">
      <c r="A319" s="44" t="n">
        <f aca="false">IF($B319="","",COUNTA($B$2:$B319))</f>
        <v>318</v>
      </c>
      <c r="B319" s="11" t="s">
        <v>799</v>
      </c>
      <c r="C319" s="11" t="s">
        <v>800</v>
      </c>
      <c r="D319" s="11" t="s">
        <v>36</v>
      </c>
      <c r="E319" s="11" t="s">
        <v>193</v>
      </c>
      <c r="F319" s="11" t="s">
        <v>68</v>
      </c>
      <c r="G319" s="34" t="s">
        <v>132</v>
      </c>
      <c r="H319" s="25"/>
      <c r="I319" s="40" t="n">
        <v>0</v>
      </c>
      <c r="J319" s="34" t="s">
        <v>132</v>
      </c>
      <c r="K319" s="45"/>
      <c r="L319" s="34"/>
      <c r="M319" s="34"/>
      <c r="N319" s="11" t="s">
        <v>133</v>
      </c>
      <c r="O319" s="11" t="s">
        <v>133</v>
      </c>
      <c r="P319" s="11" t="s">
        <v>133</v>
      </c>
      <c r="Q319" s="11" t="s">
        <v>133</v>
      </c>
      <c r="R319" s="11" t="s">
        <v>133</v>
      </c>
      <c r="S319" s="46" t="s">
        <v>801</v>
      </c>
      <c r="T319" s="44" t="n">
        <f aca="false">IF($B319="","",COUNTA($N319:$R319)-COUNTIF($N319:$R319,"Not Invited"))</f>
        <v>0</v>
      </c>
      <c r="U319" s="44" t="n">
        <f aca="false">IF($B319="","",COUNTIF($N319:$R319,"Attended"))</f>
        <v>0</v>
      </c>
      <c r="V319" s="47" t="str">
        <f aca="false">IF($B319="","",_xlfn.TEXTJOIN(", ",TRUE(),IF($N319="Attended",Setup!$D$15,""),IF($O319="Attended",Setup!$D$16,""),IF($P319="Attended",Setup!$D$17,""),IF($Q319="Attended",Setup!$D$18,""),IF($R319="Attended",Setup!$D$19,"")))</f>
        <v/>
      </c>
      <c r="W319" s="48" t="str">
        <f aca="true">IF(OR($B319="",NOT(ISNUMBER($H319))),"",TODAY()-$H319)</f>
        <v/>
      </c>
      <c r="X319" s="47" t="str">
        <f aca="false">IF($B319="","",IF($U319&gt;0,"Event attendee",IF($G319="Yes","Met (no event)",IF($T319&gt;0,"Invited only",IF(OR($L319="Yes",$M319="Yes"),"Contacted only","Not yet contacted")))))</f>
        <v>Not yet contacted</v>
      </c>
      <c r="Y319" s="47" t="n">
        <f aca="false">IF($B319="","",COUNTIF(c_Firm,"&lt;"&amp;$D319)+COUNTIFS(c_Firm,$D319,c_Name,"&lt;"&amp;$B319)+COUNTIFS($D$2:$D319,$D319,$B$2:$B319,$B319))</f>
        <v>318</v>
      </c>
      <c r="Z319" s="47" t="n">
        <f aca="false">IF($B319="","",IF(AND(OR(Contacts!$C$3="(All)",$D319=Contacts!$C$3),OR(Contacts!$E$3="(All)",$G319=Contacts!$E$3),OR(Contacts!$G$3="(All)",ISNUMBER(SEARCH(Contacts!$G$3,$V319))),OR(Contacts!$I$3="(All)",$X319=Contacts!$I$3),OR(Contacts!$K$3="",ISNUMBER(SEARCH(Contacts!$K$3,$B319&amp;" "&amp;$C319&amp;" "&amp;$D319&amp;" "&amp;$S319)))),1,0))</f>
        <v>1</v>
      </c>
      <c r="AA319" s="47" t="n">
        <f aca="false">IF($Z319=1,COUNTIFS(c_Pass,1,c_Sort,"&lt;="&amp;$Y319),"")</f>
        <v>318</v>
      </c>
      <c r="AB319" s="47" t="str">
        <f aca="false">IF(OR($G319&lt;&gt;"Yes",NOT(ISNUMBER($H319))),"",COUNTIFS(c_Met,"Yes",c_Date,"&lt;"&amp;$H319)+COUNTIFS($G$2:$G319,"Yes",$H$2:$H319,$H319))</f>
        <v/>
      </c>
    </row>
    <row r="320" customFormat="false" ht="15" hidden="false" customHeight="false" outlineLevel="0" collapsed="false">
      <c r="A320" s="44" t="n">
        <f aca="false">IF($B320="","",COUNTA($B$2:$B320))</f>
        <v>319</v>
      </c>
      <c r="B320" s="11" t="s">
        <v>802</v>
      </c>
      <c r="C320" s="11" t="s">
        <v>803</v>
      </c>
      <c r="D320" s="11" t="s">
        <v>36</v>
      </c>
      <c r="E320" s="11" t="s">
        <v>193</v>
      </c>
      <c r="F320" s="11" t="s">
        <v>68</v>
      </c>
      <c r="G320" s="34" t="s">
        <v>132</v>
      </c>
      <c r="H320" s="25"/>
      <c r="I320" s="40" t="n">
        <v>0</v>
      </c>
      <c r="J320" s="34" t="s">
        <v>132</v>
      </c>
      <c r="K320" s="45"/>
      <c r="L320" s="34"/>
      <c r="M320" s="34"/>
      <c r="N320" s="11" t="s">
        <v>133</v>
      </c>
      <c r="O320" s="11" t="s">
        <v>133</v>
      </c>
      <c r="P320" s="11" t="s">
        <v>133</v>
      </c>
      <c r="Q320" s="11" t="s">
        <v>133</v>
      </c>
      <c r="R320" s="11" t="s">
        <v>133</v>
      </c>
      <c r="S320" s="46" t="s">
        <v>804</v>
      </c>
      <c r="T320" s="44" t="n">
        <f aca="false">IF($B320="","",COUNTA($N320:$R320)-COUNTIF($N320:$R320,"Not Invited"))</f>
        <v>0</v>
      </c>
      <c r="U320" s="44" t="n">
        <f aca="false">IF($B320="","",COUNTIF($N320:$R320,"Attended"))</f>
        <v>0</v>
      </c>
      <c r="V320" s="47" t="str">
        <f aca="false">IF($B320="","",_xlfn.TEXTJOIN(", ",TRUE(),IF($N320="Attended",Setup!$D$15,""),IF($O320="Attended",Setup!$D$16,""),IF($P320="Attended",Setup!$D$17,""),IF($Q320="Attended",Setup!$D$18,""),IF($R320="Attended",Setup!$D$19,"")))</f>
        <v/>
      </c>
      <c r="W320" s="48" t="str">
        <f aca="true">IF(OR($B320="",NOT(ISNUMBER($H320))),"",TODAY()-$H320)</f>
        <v/>
      </c>
      <c r="X320" s="47" t="str">
        <f aca="false">IF($B320="","",IF($U320&gt;0,"Event attendee",IF($G320="Yes","Met (no event)",IF($T320&gt;0,"Invited only",IF(OR($L320="Yes",$M320="Yes"),"Contacted only","Not yet contacted")))))</f>
        <v>Not yet contacted</v>
      </c>
      <c r="Y320" s="47" t="n">
        <f aca="false">IF($B320="","",COUNTIF(c_Firm,"&lt;"&amp;$D320)+COUNTIFS(c_Firm,$D320,c_Name,"&lt;"&amp;$B320)+COUNTIFS($D$2:$D320,$D320,$B$2:$B320,$B320))</f>
        <v>319</v>
      </c>
      <c r="Z320" s="47" t="n">
        <f aca="false">IF($B320="","",IF(AND(OR(Contacts!$C$3="(All)",$D320=Contacts!$C$3),OR(Contacts!$E$3="(All)",$G320=Contacts!$E$3),OR(Contacts!$G$3="(All)",ISNUMBER(SEARCH(Contacts!$G$3,$V320))),OR(Contacts!$I$3="(All)",$X320=Contacts!$I$3),OR(Contacts!$K$3="",ISNUMBER(SEARCH(Contacts!$K$3,$B320&amp;" "&amp;$C320&amp;" "&amp;$D320&amp;" "&amp;$S320)))),1,0))</f>
        <v>1</v>
      </c>
      <c r="AA320" s="47" t="n">
        <f aca="false">IF($Z320=1,COUNTIFS(c_Pass,1,c_Sort,"&lt;="&amp;$Y320),"")</f>
        <v>319</v>
      </c>
      <c r="AB320" s="47" t="str">
        <f aca="false">IF(OR($G320&lt;&gt;"Yes",NOT(ISNUMBER($H320))),"",COUNTIFS(c_Met,"Yes",c_Date,"&lt;"&amp;$H320)+COUNTIFS($G$2:$G320,"Yes",$H$2:$H320,$H320))</f>
        <v/>
      </c>
    </row>
    <row r="321" customFormat="false" ht="15" hidden="false" customHeight="false" outlineLevel="0" collapsed="false">
      <c r="A321" s="44" t="n">
        <f aca="false">IF($B321="","",COUNTA($B$2:$B321))</f>
        <v>320</v>
      </c>
      <c r="B321" s="11" t="s">
        <v>805</v>
      </c>
      <c r="C321" s="11" t="s">
        <v>806</v>
      </c>
      <c r="D321" s="11" t="s">
        <v>47</v>
      </c>
      <c r="E321" s="11" t="s">
        <v>131</v>
      </c>
      <c r="F321" s="11" t="s">
        <v>66</v>
      </c>
      <c r="G321" s="34" t="s">
        <v>132</v>
      </c>
      <c r="H321" s="25"/>
      <c r="I321" s="40" t="n">
        <v>0</v>
      </c>
      <c r="J321" s="34" t="s">
        <v>132</v>
      </c>
      <c r="K321" s="45"/>
      <c r="L321" s="34"/>
      <c r="M321" s="34"/>
      <c r="N321" s="11" t="s">
        <v>133</v>
      </c>
      <c r="O321" s="11" t="s">
        <v>55</v>
      </c>
      <c r="P321" s="11" t="s">
        <v>133</v>
      </c>
      <c r="Q321" s="11" t="s">
        <v>133</v>
      </c>
      <c r="R321" s="11" t="s">
        <v>133</v>
      </c>
      <c r="S321" s="46"/>
      <c r="T321" s="44" t="n">
        <f aca="false">IF($B321="","",COUNTA($N321:$R321)-COUNTIF($N321:$R321,"Not Invited"))</f>
        <v>1</v>
      </c>
      <c r="U321" s="44" t="n">
        <f aca="false">IF($B321="","",COUNTIF($N321:$R321,"Attended"))</f>
        <v>1</v>
      </c>
      <c r="V321" s="47" t="str">
        <f aca="false">IF($B321="","",_xlfn.TEXTJOIN(", ",TRUE(),IF($N321="Attended",Setup!$D$15,""),IF($O321="Attended",Setup!$D$16,""),IF($P321="Attended",Setup!$D$17,""),IF($Q321="Attended",Setup!$D$18,""),IF($R321="Attended",Setup!$D$19,"")))</f>
        <v>May-26 Symposium</v>
      </c>
      <c r="W321" s="48" t="str">
        <f aca="true">IF(OR($B321="",NOT(ISNUMBER($H321))),"",TODAY()-$H321)</f>
        <v/>
      </c>
      <c r="X321" s="47" t="str">
        <f aca="false">IF($B321="","",IF($U321&gt;0,"Event attendee",IF($G321="Yes","Met (no event)",IF($T321&gt;0,"Invited only",IF(OR($L321="Yes",$M321="Yes"),"Contacted only","Not yet contacted")))))</f>
        <v>Event attendee</v>
      </c>
      <c r="Y321" s="47" t="n">
        <f aca="false">IF($B321="","",COUNTIF(c_Firm,"&lt;"&amp;$D321)+COUNTIFS(c_Firm,$D321,c_Name,"&lt;"&amp;$B321)+COUNTIFS($D$2:$D321,$D321,$B$2:$B321,$B321))</f>
        <v>320</v>
      </c>
      <c r="Z321" s="47" t="n">
        <f aca="false">IF($B321="","",IF(AND(OR(Contacts!$C$3="(All)",$D321=Contacts!$C$3),OR(Contacts!$E$3="(All)",$G321=Contacts!$E$3),OR(Contacts!$G$3="(All)",ISNUMBER(SEARCH(Contacts!$G$3,$V321))),OR(Contacts!$I$3="(All)",$X321=Contacts!$I$3),OR(Contacts!$K$3="",ISNUMBER(SEARCH(Contacts!$K$3,$B321&amp;" "&amp;$C321&amp;" "&amp;$D321&amp;" "&amp;$S321)))),1,0))</f>
        <v>1</v>
      </c>
      <c r="AA321" s="47" t="n">
        <f aca="false">IF($Z321=1,COUNTIFS(c_Pass,1,c_Sort,"&lt;="&amp;$Y321),"")</f>
        <v>320</v>
      </c>
      <c r="AB321" s="47" t="str">
        <f aca="false">IF(OR($G321&lt;&gt;"Yes",NOT(ISNUMBER($H321))),"",COUNTIFS(c_Met,"Yes",c_Date,"&lt;"&amp;$H321)+COUNTIFS($G$2:$G321,"Yes",$H$2:$H321,$H321))</f>
        <v/>
      </c>
    </row>
    <row r="322" customFormat="false" ht="15" hidden="false" customHeight="false" outlineLevel="0" collapsed="false">
      <c r="A322" s="44" t="n">
        <f aca="false">IF($B322="","",COUNTA($B$2:$B322))</f>
        <v>321</v>
      </c>
      <c r="B322" s="11" t="s">
        <v>807</v>
      </c>
      <c r="C322" s="11" t="s">
        <v>808</v>
      </c>
      <c r="D322" s="11" t="s">
        <v>33</v>
      </c>
      <c r="E322" s="11" t="s">
        <v>131</v>
      </c>
      <c r="F322" s="11" t="s">
        <v>66</v>
      </c>
      <c r="G322" s="34" t="s">
        <v>132</v>
      </c>
      <c r="H322" s="25"/>
      <c r="I322" s="40" t="n">
        <v>0</v>
      </c>
      <c r="J322" s="34" t="s">
        <v>132</v>
      </c>
      <c r="K322" s="45"/>
      <c r="L322" s="34"/>
      <c r="M322" s="34"/>
      <c r="N322" s="11" t="s">
        <v>143</v>
      </c>
      <c r="O322" s="11" t="s">
        <v>134</v>
      </c>
      <c r="P322" s="11" t="s">
        <v>133</v>
      </c>
      <c r="Q322" s="11" t="s">
        <v>133</v>
      </c>
      <c r="R322" s="11" t="s">
        <v>133</v>
      </c>
      <c r="S322" s="46"/>
      <c r="T322" s="44" t="n">
        <f aca="false">IF($B322="","",COUNTA($N322:$R322)-COUNTIF($N322:$R322,"Not Invited"))</f>
        <v>2</v>
      </c>
      <c r="U322" s="44" t="n">
        <f aca="false">IF($B322="","",COUNTIF($N322:$R322,"Attended"))</f>
        <v>0</v>
      </c>
      <c r="V322" s="47" t="str">
        <f aca="false">IF($B322="","",_xlfn.TEXTJOIN(", ",TRUE(),IF($N322="Attended",Setup!$D$15,""),IF($O322="Attended",Setup!$D$16,""),IF($P322="Attended",Setup!$D$17,""),IF($Q322="Attended",Setup!$D$18,""),IF($R322="Attended",Setup!$D$19,"")))</f>
        <v/>
      </c>
      <c r="W322" s="48" t="str">
        <f aca="true">IF(OR($B322="",NOT(ISNUMBER($H322))),"",TODAY()-$H322)</f>
        <v/>
      </c>
      <c r="X322" s="47" t="str">
        <f aca="false">IF($B322="","",IF($U322&gt;0,"Event attendee",IF($G322="Yes","Met (no event)",IF($T322&gt;0,"Invited only",IF(OR($L322="Yes",$M322="Yes"),"Contacted only","Not yet contacted")))))</f>
        <v>Invited only</v>
      </c>
      <c r="Y322" s="47" t="n">
        <f aca="false">IF($B322="","",COUNTIF(c_Firm,"&lt;"&amp;$D322)+COUNTIFS(c_Firm,$D322,c_Name,"&lt;"&amp;$B322)+COUNTIFS($D$2:$D322,$D322,$B$2:$B322,$B322))</f>
        <v>321</v>
      </c>
      <c r="Z322" s="47" t="n">
        <f aca="false">IF($B322="","",IF(AND(OR(Contacts!$C$3="(All)",$D322=Contacts!$C$3),OR(Contacts!$E$3="(All)",$G322=Contacts!$E$3),OR(Contacts!$G$3="(All)",ISNUMBER(SEARCH(Contacts!$G$3,$V322))),OR(Contacts!$I$3="(All)",$X322=Contacts!$I$3),OR(Contacts!$K$3="",ISNUMBER(SEARCH(Contacts!$K$3,$B322&amp;" "&amp;$C322&amp;" "&amp;$D322&amp;" "&amp;$S322)))),1,0))</f>
        <v>1</v>
      </c>
      <c r="AA322" s="47" t="n">
        <f aca="false">IF($Z322=1,COUNTIFS(c_Pass,1,c_Sort,"&lt;="&amp;$Y322),"")</f>
        <v>321</v>
      </c>
      <c r="AB322" s="47" t="str">
        <f aca="false">IF(OR($G322&lt;&gt;"Yes",NOT(ISNUMBER($H322))),"",COUNTIFS(c_Met,"Yes",c_Date,"&lt;"&amp;$H322)+COUNTIFS($G$2:$G322,"Yes",$H$2:$H322,$H322))</f>
        <v/>
      </c>
    </row>
    <row r="323" customFormat="false" ht="15" hidden="false" customHeight="false" outlineLevel="0" collapsed="false">
      <c r="A323" s="44" t="n">
        <f aca="false">IF($B323="","",COUNTA($B$2:$B323))</f>
        <v>322</v>
      </c>
      <c r="B323" s="11" t="s">
        <v>809</v>
      </c>
      <c r="C323" s="11"/>
      <c r="D323" s="11" t="s">
        <v>33</v>
      </c>
      <c r="E323" s="11" t="s">
        <v>193</v>
      </c>
      <c r="F323" s="11" t="s">
        <v>68</v>
      </c>
      <c r="G323" s="34" t="s">
        <v>132</v>
      </c>
      <c r="H323" s="25"/>
      <c r="I323" s="40" t="n">
        <v>0</v>
      </c>
      <c r="J323" s="34" t="s">
        <v>132</v>
      </c>
      <c r="K323" s="45"/>
      <c r="L323" s="34"/>
      <c r="M323" s="34"/>
      <c r="N323" s="11" t="s">
        <v>133</v>
      </c>
      <c r="O323" s="11" t="s">
        <v>133</v>
      </c>
      <c r="P323" s="11" t="s">
        <v>133</v>
      </c>
      <c r="Q323" s="11" t="s">
        <v>133</v>
      </c>
      <c r="R323" s="11" t="s">
        <v>133</v>
      </c>
      <c r="S323" s="46" t="s">
        <v>810</v>
      </c>
      <c r="T323" s="44" t="n">
        <f aca="false">IF($B323="","",COUNTA($N323:$R323)-COUNTIF($N323:$R323,"Not Invited"))</f>
        <v>0</v>
      </c>
      <c r="U323" s="44" t="n">
        <f aca="false">IF($B323="","",COUNTIF($N323:$R323,"Attended"))</f>
        <v>0</v>
      </c>
      <c r="V323" s="47" t="str">
        <f aca="false">IF($B323="","",_xlfn.TEXTJOIN(", ",TRUE(),IF($N323="Attended",Setup!$D$15,""),IF($O323="Attended",Setup!$D$16,""),IF($P323="Attended",Setup!$D$17,""),IF($Q323="Attended",Setup!$D$18,""),IF($R323="Attended",Setup!$D$19,"")))</f>
        <v/>
      </c>
      <c r="W323" s="48" t="str">
        <f aca="true">IF(OR($B323="",NOT(ISNUMBER($H323))),"",TODAY()-$H323)</f>
        <v/>
      </c>
      <c r="X323" s="47" t="str">
        <f aca="false">IF($B323="","",IF($U323&gt;0,"Event attendee",IF($G323="Yes","Met (no event)",IF($T323&gt;0,"Invited only",IF(OR($L323="Yes",$M323="Yes"),"Contacted only","Not yet contacted")))))</f>
        <v>Not yet contacted</v>
      </c>
      <c r="Y323" s="47" t="n">
        <f aca="false">IF($B323="","",COUNTIF(c_Firm,"&lt;"&amp;$D323)+COUNTIFS(c_Firm,$D323,c_Name,"&lt;"&amp;$B323)+COUNTIFS($D$2:$D323,$D323,$B$2:$B323,$B323))</f>
        <v>322</v>
      </c>
      <c r="Z323" s="47" t="n">
        <f aca="false">IF($B323="","",IF(AND(OR(Contacts!$C$3="(All)",$D323=Contacts!$C$3),OR(Contacts!$E$3="(All)",$G323=Contacts!$E$3),OR(Contacts!$G$3="(All)",ISNUMBER(SEARCH(Contacts!$G$3,$V323))),OR(Contacts!$I$3="(All)",$X323=Contacts!$I$3),OR(Contacts!$K$3="",ISNUMBER(SEARCH(Contacts!$K$3,$B323&amp;" "&amp;$C323&amp;" "&amp;$D323&amp;" "&amp;$S323)))),1,0))</f>
        <v>1</v>
      </c>
      <c r="AA323" s="47" t="n">
        <f aca="false">IF($Z323=1,COUNTIFS(c_Pass,1,c_Sort,"&lt;="&amp;$Y323),"")</f>
        <v>322</v>
      </c>
      <c r="AB323" s="47" t="str">
        <f aca="false">IF(OR($G323&lt;&gt;"Yes",NOT(ISNUMBER($H323))),"",COUNTIFS(c_Met,"Yes",c_Date,"&lt;"&amp;$H323)+COUNTIFS($G$2:$G323,"Yes",$H$2:$H323,$H323))</f>
        <v/>
      </c>
    </row>
    <row r="324" customFormat="false" ht="15" hidden="false" customHeight="false" outlineLevel="0" collapsed="false">
      <c r="A324" s="44" t="n">
        <f aca="false">IF($B324="","",COUNTA($B$2:$B324))</f>
        <v>323</v>
      </c>
      <c r="B324" s="11" t="s">
        <v>811</v>
      </c>
      <c r="C324" s="11" t="s">
        <v>812</v>
      </c>
      <c r="D324" s="11" t="s">
        <v>33</v>
      </c>
      <c r="E324" s="11" t="s">
        <v>131</v>
      </c>
      <c r="F324" s="11" t="s">
        <v>141</v>
      </c>
      <c r="G324" s="34" t="s">
        <v>142</v>
      </c>
      <c r="H324" s="25" t="n">
        <v>45897</v>
      </c>
      <c r="I324" s="40" t="n">
        <v>1</v>
      </c>
      <c r="J324" s="34" t="s">
        <v>132</v>
      </c>
      <c r="K324" s="45"/>
      <c r="L324" s="34"/>
      <c r="M324" s="34"/>
      <c r="N324" s="11" t="s">
        <v>55</v>
      </c>
      <c r="O324" s="11" t="s">
        <v>54</v>
      </c>
      <c r="P324" s="11" t="s">
        <v>133</v>
      </c>
      <c r="Q324" s="11" t="s">
        <v>133</v>
      </c>
      <c r="R324" s="11" t="s">
        <v>133</v>
      </c>
      <c r="S324" s="46" t="s">
        <v>526</v>
      </c>
      <c r="T324" s="44" t="n">
        <f aca="false">IF($B324="","",COUNTA($N324:$R324)-COUNTIF($N324:$R324,"Not Invited"))</f>
        <v>2</v>
      </c>
      <c r="U324" s="44" t="n">
        <f aca="false">IF($B324="","",COUNTIF($N324:$R324,"Attended"))</f>
        <v>1</v>
      </c>
      <c r="V324" s="47" t="str">
        <f aca="false">IF($B324="","",_xlfn.TEXTJOIN(", ",TRUE(),IF($N324="Attended",Setup!$D$15,""),IF($O324="Attended",Setup!$D$16,""),IF($P324="Attended",Setup!$D$17,""),IF($Q324="Attended",Setup!$D$18,""),IF($R324="Attended",Setup!$D$19,"")))</f>
        <v>Oct-25 Symposium</v>
      </c>
      <c r="W324" s="48" t="n">
        <f aca="true">IF(OR($B324="",NOT(ISNUMBER($H324))),"",TODAY()-$H324)</f>
        <v>344</v>
      </c>
      <c r="X324" s="47" t="str">
        <f aca="false">IF($B324="","",IF($U324&gt;0,"Event attendee",IF($G324="Yes","Met (no event)",IF($T324&gt;0,"Invited only",IF(OR($L324="Yes",$M324="Yes"),"Contacted only","Not yet contacted")))))</f>
        <v>Event attendee</v>
      </c>
      <c r="Y324" s="47" t="n">
        <f aca="false">IF($B324="","",COUNTIF(c_Firm,"&lt;"&amp;$D324)+COUNTIFS(c_Firm,$D324,c_Name,"&lt;"&amp;$B324)+COUNTIFS($D$2:$D324,$D324,$B$2:$B324,$B324))</f>
        <v>323</v>
      </c>
      <c r="Z324" s="47" t="n">
        <f aca="false">IF($B324="","",IF(AND(OR(Contacts!$C$3="(All)",$D324=Contacts!$C$3),OR(Contacts!$E$3="(All)",$G324=Contacts!$E$3),OR(Contacts!$G$3="(All)",ISNUMBER(SEARCH(Contacts!$G$3,$V324))),OR(Contacts!$I$3="(All)",$X324=Contacts!$I$3),OR(Contacts!$K$3="",ISNUMBER(SEARCH(Contacts!$K$3,$B324&amp;" "&amp;$C324&amp;" "&amp;$D324&amp;" "&amp;$S324)))),1,0))</f>
        <v>1</v>
      </c>
      <c r="AA324" s="47" t="n">
        <f aca="false">IF($Z324=1,COUNTIFS(c_Pass,1,c_Sort,"&lt;="&amp;$Y324),"")</f>
        <v>323</v>
      </c>
      <c r="AB324" s="47" t="n">
        <f aca="false">IF(OR($G324&lt;&gt;"Yes",NOT(ISNUMBER($H324))),"",COUNTIFS(c_Met,"Yes",c_Date,"&lt;"&amp;$H324)+COUNTIFS($G$2:$G324,"Yes",$H$2:$H324,$H324))</f>
        <v>10</v>
      </c>
    </row>
    <row r="325" customFormat="false" ht="15" hidden="false" customHeight="false" outlineLevel="0" collapsed="false">
      <c r="A325" s="44" t="n">
        <f aca="false">IF($B325="","",COUNTA($B$2:$B325))</f>
        <v>324</v>
      </c>
      <c r="B325" s="11" t="s">
        <v>813</v>
      </c>
      <c r="C325" s="11"/>
      <c r="D325" s="11" t="s">
        <v>33</v>
      </c>
      <c r="E325" s="11" t="s">
        <v>193</v>
      </c>
      <c r="F325" s="11" t="s">
        <v>68</v>
      </c>
      <c r="G325" s="34" t="s">
        <v>132</v>
      </c>
      <c r="H325" s="25"/>
      <c r="I325" s="40" t="n">
        <v>0</v>
      </c>
      <c r="J325" s="34" t="s">
        <v>132</v>
      </c>
      <c r="K325" s="45"/>
      <c r="L325" s="34"/>
      <c r="M325" s="34"/>
      <c r="N325" s="11" t="s">
        <v>133</v>
      </c>
      <c r="O325" s="11" t="s">
        <v>133</v>
      </c>
      <c r="P325" s="11" t="s">
        <v>133</v>
      </c>
      <c r="Q325" s="11" t="s">
        <v>133</v>
      </c>
      <c r="R325" s="11" t="s">
        <v>133</v>
      </c>
      <c r="S325" s="46" t="s">
        <v>814</v>
      </c>
      <c r="T325" s="44" t="n">
        <f aca="false">IF($B325="","",COUNTA($N325:$R325)-COUNTIF($N325:$R325,"Not Invited"))</f>
        <v>0</v>
      </c>
      <c r="U325" s="44" t="n">
        <f aca="false">IF($B325="","",COUNTIF($N325:$R325,"Attended"))</f>
        <v>0</v>
      </c>
      <c r="V325" s="47" t="str">
        <f aca="false">IF($B325="","",_xlfn.TEXTJOIN(", ",TRUE(),IF($N325="Attended",Setup!$D$15,""),IF($O325="Attended",Setup!$D$16,""),IF($P325="Attended",Setup!$D$17,""),IF($Q325="Attended",Setup!$D$18,""),IF($R325="Attended",Setup!$D$19,"")))</f>
        <v/>
      </c>
      <c r="W325" s="48" t="str">
        <f aca="true">IF(OR($B325="",NOT(ISNUMBER($H325))),"",TODAY()-$H325)</f>
        <v/>
      </c>
      <c r="X325" s="47" t="str">
        <f aca="false">IF($B325="","",IF($U325&gt;0,"Event attendee",IF($G325="Yes","Met (no event)",IF($T325&gt;0,"Invited only",IF(OR($L325="Yes",$M325="Yes"),"Contacted only","Not yet contacted")))))</f>
        <v>Not yet contacted</v>
      </c>
      <c r="Y325" s="47" t="n">
        <f aca="false">IF($B325="","",COUNTIF(c_Firm,"&lt;"&amp;$D325)+COUNTIFS(c_Firm,$D325,c_Name,"&lt;"&amp;$B325)+COUNTIFS($D$2:$D325,$D325,$B$2:$B325,$B325))</f>
        <v>324</v>
      </c>
      <c r="Z325" s="47" t="n">
        <f aca="false">IF($B325="","",IF(AND(OR(Contacts!$C$3="(All)",$D325=Contacts!$C$3),OR(Contacts!$E$3="(All)",$G325=Contacts!$E$3),OR(Contacts!$G$3="(All)",ISNUMBER(SEARCH(Contacts!$G$3,$V325))),OR(Contacts!$I$3="(All)",$X325=Contacts!$I$3),OR(Contacts!$K$3="",ISNUMBER(SEARCH(Contacts!$K$3,$B325&amp;" "&amp;$C325&amp;" "&amp;$D325&amp;" "&amp;$S325)))),1,0))</f>
        <v>1</v>
      </c>
      <c r="AA325" s="47" t="n">
        <f aca="false">IF($Z325=1,COUNTIFS(c_Pass,1,c_Sort,"&lt;="&amp;$Y325),"")</f>
        <v>324</v>
      </c>
      <c r="AB325" s="47" t="str">
        <f aca="false">IF(OR($G325&lt;&gt;"Yes",NOT(ISNUMBER($H325))),"",COUNTIFS(c_Met,"Yes",c_Date,"&lt;"&amp;$H325)+COUNTIFS($G$2:$G325,"Yes",$H$2:$H325,$H325))</f>
        <v/>
      </c>
    </row>
    <row r="326" customFormat="false" ht="15" hidden="false" customHeight="false" outlineLevel="0" collapsed="false">
      <c r="A326" s="44" t="n">
        <f aca="false">IF($B326="","",COUNTA($B$2:$B326))</f>
        <v>325</v>
      </c>
      <c r="B326" s="11" t="s">
        <v>815</v>
      </c>
      <c r="C326" s="11"/>
      <c r="D326" s="11" t="s">
        <v>33</v>
      </c>
      <c r="E326" s="11" t="s">
        <v>193</v>
      </c>
      <c r="F326" s="11" t="s">
        <v>68</v>
      </c>
      <c r="G326" s="34" t="s">
        <v>132</v>
      </c>
      <c r="H326" s="25"/>
      <c r="I326" s="40" t="n">
        <v>0</v>
      </c>
      <c r="J326" s="34" t="s">
        <v>132</v>
      </c>
      <c r="K326" s="45"/>
      <c r="L326" s="34"/>
      <c r="M326" s="34"/>
      <c r="N326" s="11" t="s">
        <v>133</v>
      </c>
      <c r="O326" s="11" t="s">
        <v>133</v>
      </c>
      <c r="P326" s="11" t="s">
        <v>133</v>
      </c>
      <c r="Q326" s="11" t="s">
        <v>133</v>
      </c>
      <c r="R326" s="11" t="s">
        <v>133</v>
      </c>
      <c r="S326" s="46" t="s">
        <v>816</v>
      </c>
      <c r="T326" s="44" t="n">
        <f aca="false">IF($B326="","",COUNTA($N326:$R326)-COUNTIF($N326:$R326,"Not Invited"))</f>
        <v>0</v>
      </c>
      <c r="U326" s="44" t="n">
        <f aca="false">IF($B326="","",COUNTIF($N326:$R326,"Attended"))</f>
        <v>0</v>
      </c>
      <c r="V326" s="47" t="str">
        <f aca="false">IF($B326="","",_xlfn.TEXTJOIN(", ",TRUE(),IF($N326="Attended",Setup!$D$15,""),IF($O326="Attended",Setup!$D$16,""),IF($P326="Attended",Setup!$D$17,""),IF($Q326="Attended",Setup!$D$18,""),IF($R326="Attended",Setup!$D$19,"")))</f>
        <v/>
      </c>
      <c r="W326" s="48" t="str">
        <f aca="true">IF(OR($B326="",NOT(ISNUMBER($H326))),"",TODAY()-$H326)</f>
        <v/>
      </c>
      <c r="X326" s="47" t="str">
        <f aca="false">IF($B326="","",IF($U326&gt;0,"Event attendee",IF($G326="Yes","Met (no event)",IF($T326&gt;0,"Invited only",IF(OR($L326="Yes",$M326="Yes"),"Contacted only","Not yet contacted")))))</f>
        <v>Not yet contacted</v>
      </c>
      <c r="Y326" s="47" t="n">
        <f aca="false">IF($B326="","",COUNTIF(c_Firm,"&lt;"&amp;$D326)+COUNTIFS(c_Firm,$D326,c_Name,"&lt;"&amp;$B326)+COUNTIFS($D$2:$D326,$D326,$B$2:$B326,$B326))</f>
        <v>325</v>
      </c>
      <c r="Z326" s="47" t="n">
        <f aca="false">IF($B326="","",IF(AND(OR(Contacts!$C$3="(All)",$D326=Contacts!$C$3),OR(Contacts!$E$3="(All)",$G326=Contacts!$E$3),OR(Contacts!$G$3="(All)",ISNUMBER(SEARCH(Contacts!$G$3,$V326))),OR(Contacts!$I$3="(All)",$X326=Contacts!$I$3),OR(Contacts!$K$3="",ISNUMBER(SEARCH(Contacts!$K$3,$B326&amp;" "&amp;$C326&amp;" "&amp;$D326&amp;" "&amp;$S326)))),1,0))</f>
        <v>1</v>
      </c>
      <c r="AA326" s="47" t="n">
        <f aca="false">IF($Z326=1,COUNTIFS(c_Pass,1,c_Sort,"&lt;="&amp;$Y326),"")</f>
        <v>325</v>
      </c>
      <c r="AB326" s="47" t="str">
        <f aca="false">IF(OR($G326&lt;&gt;"Yes",NOT(ISNUMBER($H326))),"",COUNTIFS(c_Met,"Yes",c_Date,"&lt;"&amp;$H326)+COUNTIFS($G$2:$G326,"Yes",$H$2:$H326,$H326))</f>
        <v/>
      </c>
    </row>
    <row r="327" customFormat="false" ht="15" hidden="false" customHeight="false" outlineLevel="0" collapsed="false">
      <c r="A327" s="44" t="n">
        <f aca="false">IF($B327="","",COUNTA($B$2:$B327))</f>
        <v>326</v>
      </c>
      <c r="B327" s="11" t="s">
        <v>817</v>
      </c>
      <c r="C327" s="11"/>
      <c r="D327" s="11" t="s">
        <v>33</v>
      </c>
      <c r="E327" s="11" t="s">
        <v>193</v>
      </c>
      <c r="F327" s="11" t="s">
        <v>68</v>
      </c>
      <c r="G327" s="34" t="s">
        <v>132</v>
      </c>
      <c r="H327" s="25"/>
      <c r="I327" s="40" t="n">
        <v>0</v>
      </c>
      <c r="J327" s="34" t="s">
        <v>132</v>
      </c>
      <c r="K327" s="45"/>
      <c r="L327" s="34"/>
      <c r="M327" s="34"/>
      <c r="N327" s="11" t="s">
        <v>133</v>
      </c>
      <c r="O327" s="11" t="s">
        <v>133</v>
      </c>
      <c r="P327" s="11" t="s">
        <v>133</v>
      </c>
      <c r="Q327" s="11" t="s">
        <v>133</v>
      </c>
      <c r="R327" s="11" t="s">
        <v>133</v>
      </c>
      <c r="S327" s="46" t="s">
        <v>818</v>
      </c>
      <c r="T327" s="44" t="n">
        <f aca="false">IF($B327="","",COUNTA($N327:$R327)-COUNTIF($N327:$R327,"Not Invited"))</f>
        <v>0</v>
      </c>
      <c r="U327" s="44" t="n">
        <f aca="false">IF($B327="","",COUNTIF($N327:$R327,"Attended"))</f>
        <v>0</v>
      </c>
      <c r="V327" s="47" t="str">
        <f aca="false">IF($B327="","",_xlfn.TEXTJOIN(", ",TRUE(),IF($N327="Attended",Setup!$D$15,""),IF($O327="Attended",Setup!$D$16,""),IF($P327="Attended",Setup!$D$17,""),IF($Q327="Attended",Setup!$D$18,""),IF($R327="Attended",Setup!$D$19,"")))</f>
        <v/>
      </c>
      <c r="W327" s="48" t="str">
        <f aca="true">IF(OR($B327="",NOT(ISNUMBER($H327))),"",TODAY()-$H327)</f>
        <v/>
      </c>
      <c r="X327" s="47" t="str">
        <f aca="false">IF($B327="","",IF($U327&gt;0,"Event attendee",IF($G327="Yes","Met (no event)",IF($T327&gt;0,"Invited only",IF(OR($L327="Yes",$M327="Yes"),"Contacted only","Not yet contacted")))))</f>
        <v>Not yet contacted</v>
      </c>
      <c r="Y327" s="47" t="n">
        <f aca="false">IF($B327="","",COUNTIF(c_Firm,"&lt;"&amp;$D327)+COUNTIFS(c_Firm,$D327,c_Name,"&lt;"&amp;$B327)+COUNTIFS($D$2:$D327,$D327,$B$2:$B327,$B327))</f>
        <v>326</v>
      </c>
      <c r="Z327" s="47" t="n">
        <f aca="false">IF($B327="","",IF(AND(OR(Contacts!$C$3="(All)",$D327=Contacts!$C$3),OR(Contacts!$E$3="(All)",$G327=Contacts!$E$3),OR(Contacts!$G$3="(All)",ISNUMBER(SEARCH(Contacts!$G$3,$V327))),OR(Contacts!$I$3="(All)",$X327=Contacts!$I$3),OR(Contacts!$K$3="",ISNUMBER(SEARCH(Contacts!$K$3,$B327&amp;" "&amp;$C327&amp;" "&amp;$D327&amp;" "&amp;$S327)))),1,0))</f>
        <v>1</v>
      </c>
      <c r="AA327" s="47" t="n">
        <f aca="false">IF($Z327=1,COUNTIFS(c_Pass,1,c_Sort,"&lt;="&amp;$Y327),"")</f>
        <v>326</v>
      </c>
      <c r="AB327" s="47" t="str">
        <f aca="false">IF(OR($G327&lt;&gt;"Yes",NOT(ISNUMBER($H327))),"",COUNTIFS(c_Met,"Yes",c_Date,"&lt;"&amp;$H327)+COUNTIFS($G$2:$G327,"Yes",$H$2:$H327,$H327))</f>
        <v/>
      </c>
    </row>
    <row r="328" customFormat="false" ht="15" hidden="false" customHeight="false" outlineLevel="0" collapsed="false">
      <c r="A328" s="44" t="n">
        <f aca="false">IF($B328="","",COUNTA($B$2:$B328))</f>
        <v>327</v>
      </c>
      <c r="B328" s="11" t="s">
        <v>819</v>
      </c>
      <c r="C328" s="11" t="s">
        <v>820</v>
      </c>
      <c r="D328" s="11" t="s">
        <v>33</v>
      </c>
      <c r="E328" s="11" t="s">
        <v>131</v>
      </c>
      <c r="F328" s="11" t="s">
        <v>141</v>
      </c>
      <c r="G328" s="34" t="s">
        <v>132</v>
      </c>
      <c r="H328" s="25"/>
      <c r="I328" s="40" t="n">
        <v>0</v>
      </c>
      <c r="J328" s="34" t="s">
        <v>132</v>
      </c>
      <c r="K328" s="45"/>
      <c r="L328" s="34"/>
      <c r="M328" s="34"/>
      <c r="N328" s="11" t="s">
        <v>55</v>
      </c>
      <c r="O328" s="11" t="s">
        <v>133</v>
      </c>
      <c r="P328" s="11" t="s">
        <v>133</v>
      </c>
      <c r="Q328" s="11" t="s">
        <v>133</v>
      </c>
      <c r="R328" s="11" t="s">
        <v>133</v>
      </c>
      <c r="S328" s="46" t="s">
        <v>526</v>
      </c>
      <c r="T328" s="44" t="n">
        <f aca="false">IF($B328="","",COUNTA($N328:$R328)-COUNTIF($N328:$R328,"Not Invited"))</f>
        <v>1</v>
      </c>
      <c r="U328" s="44" t="n">
        <f aca="false">IF($B328="","",COUNTIF($N328:$R328,"Attended"))</f>
        <v>1</v>
      </c>
      <c r="V328" s="47" t="str">
        <f aca="false">IF($B328="","",_xlfn.TEXTJOIN(", ",TRUE(),IF($N328="Attended",Setup!$D$15,""),IF($O328="Attended",Setup!$D$16,""),IF($P328="Attended",Setup!$D$17,""),IF($Q328="Attended",Setup!$D$18,""),IF($R328="Attended",Setup!$D$19,"")))</f>
        <v>Oct-25 Symposium</v>
      </c>
      <c r="W328" s="48" t="str">
        <f aca="true">IF(OR($B328="",NOT(ISNUMBER($H328))),"",TODAY()-$H328)</f>
        <v/>
      </c>
      <c r="X328" s="47" t="str">
        <f aca="false">IF($B328="","",IF($U328&gt;0,"Event attendee",IF($G328="Yes","Met (no event)",IF($T328&gt;0,"Invited only",IF(OR($L328="Yes",$M328="Yes"),"Contacted only","Not yet contacted")))))</f>
        <v>Event attendee</v>
      </c>
      <c r="Y328" s="47" t="n">
        <f aca="false">IF($B328="","",COUNTIF(c_Firm,"&lt;"&amp;$D328)+COUNTIFS(c_Firm,$D328,c_Name,"&lt;"&amp;$B328)+COUNTIFS($D$2:$D328,$D328,$B$2:$B328,$B328))</f>
        <v>327</v>
      </c>
      <c r="Z328" s="47" t="n">
        <f aca="false">IF($B328="","",IF(AND(OR(Contacts!$C$3="(All)",$D328=Contacts!$C$3),OR(Contacts!$E$3="(All)",$G328=Contacts!$E$3),OR(Contacts!$G$3="(All)",ISNUMBER(SEARCH(Contacts!$G$3,$V328))),OR(Contacts!$I$3="(All)",$X328=Contacts!$I$3),OR(Contacts!$K$3="",ISNUMBER(SEARCH(Contacts!$K$3,$B328&amp;" "&amp;$C328&amp;" "&amp;$D328&amp;" "&amp;$S328)))),1,0))</f>
        <v>1</v>
      </c>
      <c r="AA328" s="47" t="n">
        <f aca="false">IF($Z328=1,COUNTIFS(c_Pass,1,c_Sort,"&lt;="&amp;$Y328),"")</f>
        <v>327</v>
      </c>
      <c r="AB328" s="47" t="str">
        <f aca="false">IF(OR($G328&lt;&gt;"Yes",NOT(ISNUMBER($H328))),"",COUNTIFS(c_Met,"Yes",c_Date,"&lt;"&amp;$H328)+COUNTIFS($G$2:$G328,"Yes",$H$2:$H328,$H328))</f>
        <v/>
      </c>
    </row>
    <row r="329" customFormat="false" ht="15" hidden="false" customHeight="false" outlineLevel="0" collapsed="false">
      <c r="A329" s="44" t="n">
        <f aca="false">IF($B329="","",COUNTA($B$2:$B329))</f>
        <v>328</v>
      </c>
      <c r="B329" s="11" t="s">
        <v>821</v>
      </c>
      <c r="C329" s="11"/>
      <c r="D329" s="11" t="s">
        <v>33</v>
      </c>
      <c r="E329" s="11" t="s">
        <v>193</v>
      </c>
      <c r="F329" s="11" t="s">
        <v>68</v>
      </c>
      <c r="G329" s="34" t="s">
        <v>132</v>
      </c>
      <c r="H329" s="25"/>
      <c r="I329" s="40" t="n">
        <v>0</v>
      </c>
      <c r="J329" s="34" t="s">
        <v>132</v>
      </c>
      <c r="K329" s="45"/>
      <c r="L329" s="34"/>
      <c r="M329" s="34"/>
      <c r="N329" s="11" t="s">
        <v>133</v>
      </c>
      <c r="O329" s="11" t="s">
        <v>133</v>
      </c>
      <c r="P329" s="11" t="s">
        <v>133</v>
      </c>
      <c r="Q329" s="11" t="s">
        <v>133</v>
      </c>
      <c r="R329" s="11" t="s">
        <v>133</v>
      </c>
      <c r="S329" s="46" t="s">
        <v>822</v>
      </c>
      <c r="T329" s="44" t="n">
        <f aca="false">IF($B329="","",COUNTA($N329:$R329)-COUNTIF($N329:$R329,"Not Invited"))</f>
        <v>0</v>
      </c>
      <c r="U329" s="44" t="n">
        <f aca="false">IF($B329="","",COUNTIF($N329:$R329,"Attended"))</f>
        <v>0</v>
      </c>
      <c r="V329" s="47" t="str">
        <f aca="false">IF($B329="","",_xlfn.TEXTJOIN(", ",TRUE(),IF($N329="Attended",Setup!$D$15,""),IF($O329="Attended",Setup!$D$16,""),IF($P329="Attended",Setup!$D$17,""),IF($Q329="Attended",Setup!$D$18,""),IF($R329="Attended",Setup!$D$19,"")))</f>
        <v/>
      </c>
      <c r="W329" s="48" t="str">
        <f aca="true">IF(OR($B329="",NOT(ISNUMBER($H329))),"",TODAY()-$H329)</f>
        <v/>
      </c>
      <c r="X329" s="47" t="str">
        <f aca="false">IF($B329="","",IF($U329&gt;0,"Event attendee",IF($G329="Yes","Met (no event)",IF($T329&gt;0,"Invited only",IF(OR($L329="Yes",$M329="Yes"),"Contacted only","Not yet contacted")))))</f>
        <v>Not yet contacted</v>
      </c>
      <c r="Y329" s="47" t="n">
        <f aca="false">IF($B329="","",COUNTIF(c_Firm,"&lt;"&amp;$D329)+COUNTIFS(c_Firm,$D329,c_Name,"&lt;"&amp;$B329)+COUNTIFS($D$2:$D329,$D329,$B$2:$B329,$B329))</f>
        <v>328</v>
      </c>
      <c r="Z329" s="47" t="n">
        <f aca="false">IF($B329="","",IF(AND(OR(Contacts!$C$3="(All)",$D329=Contacts!$C$3),OR(Contacts!$E$3="(All)",$G329=Contacts!$E$3),OR(Contacts!$G$3="(All)",ISNUMBER(SEARCH(Contacts!$G$3,$V329))),OR(Contacts!$I$3="(All)",$X329=Contacts!$I$3),OR(Contacts!$K$3="",ISNUMBER(SEARCH(Contacts!$K$3,$B329&amp;" "&amp;$C329&amp;" "&amp;$D329&amp;" "&amp;$S329)))),1,0))</f>
        <v>1</v>
      </c>
      <c r="AA329" s="47" t="n">
        <f aca="false">IF($Z329=1,COUNTIFS(c_Pass,1,c_Sort,"&lt;="&amp;$Y329),"")</f>
        <v>328</v>
      </c>
      <c r="AB329" s="47" t="str">
        <f aca="false">IF(OR($G329&lt;&gt;"Yes",NOT(ISNUMBER($H329))),"",COUNTIFS(c_Met,"Yes",c_Date,"&lt;"&amp;$H329)+COUNTIFS($G$2:$G329,"Yes",$H$2:$H329,$H329))</f>
        <v/>
      </c>
    </row>
    <row r="330" customFormat="false" ht="15" hidden="false" customHeight="false" outlineLevel="0" collapsed="false">
      <c r="A330" s="44" t="n">
        <f aca="false">IF($B330="","",COUNTA($B$2:$B330))</f>
        <v>329</v>
      </c>
      <c r="B330" s="11" t="s">
        <v>823</v>
      </c>
      <c r="C330" s="11"/>
      <c r="D330" s="11" t="s">
        <v>33</v>
      </c>
      <c r="E330" s="11" t="s">
        <v>193</v>
      </c>
      <c r="F330" s="11" t="s">
        <v>68</v>
      </c>
      <c r="G330" s="34" t="s">
        <v>132</v>
      </c>
      <c r="H330" s="25"/>
      <c r="I330" s="40" t="n">
        <v>0</v>
      </c>
      <c r="J330" s="34" t="s">
        <v>132</v>
      </c>
      <c r="K330" s="45"/>
      <c r="L330" s="34"/>
      <c r="M330" s="34"/>
      <c r="N330" s="11" t="s">
        <v>133</v>
      </c>
      <c r="O330" s="11" t="s">
        <v>133</v>
      </c>
      <c r="P330" s="11" t="s">
        <v>133</v>
      </c>
      <c r="Q330" s="11" t="s">
        <v>133</v>
      </c>
      <c r="R330" s="11" t="s">
        <v>133</v>
      </c>
      <c r="S330" s="46" t="s">
        <v>824</v>
      </c>
      <c r="T330" s="44" t="n">
        <f aca="false">IF($B330="","",COUNTA($N330:$R330)-COUNTIF($N330:$R330,"Not Invited"))</f>
        <v>0</v>
      </c>
      <c r="U330" s="44" t="n">
        <f aca="false">IF($B330="","",COUNTIF($N330:$R330,"Attended"))</f>
        <v>0</v>
      </c>
      <c r="V330" s="47" t="str">
        <f aca="false">IF($B330="","",_xlfn.TEXTJOIN(", ",TRUE(),IF($N330="Attended",Setup!$D$15,""),IF($O330="Attended",Setup!$D$16,""),IF($P330="Attended",Setup!$D$17,""),IF($Q330="Attended",Setup!$D$18,""),IF($R330="Attended",Setup!$D$19,"")))</f>
        <v/>
      </c>
      <c r="W330" s="48" t="str">
        <f aca="true">IF(OR($B330="",NOT(ISNUMBER($H330))),"",TODAY()-$H330)</f>
        <v/>
      </c>
      <c r="X330" s="47" t="str">
        <f aca="false">IF($B330="","",IF($U330&gt;0,"Event attendee",IF($G330="Yes","Met (no event)",IF($T330&gt;0,"Invited only",IF(OR($L330="Yes",$M330="Yes"),"Contacted only","Not yet contacted")))))</f>
        <v>Not yet contacted</v>
      </c>
      <c r="Y330" s="47" t="n">
        <f aca="false">IF($B330="","",COUNTIF(c_Firm,"&lt;"&amp;$D330)+COUNTIFS(c_Firm,$D330,c_Name,"&lt;"&amp;$B330)+COUNTIFS($D$2:$D330,$D330,$B$2:$B330,$B330))</f>
        <v>329</v>
      </c>
      <c r="Z330" s="47" t="n">
        <f aca="false">IF($B330="","",IF(AND(OR(Contacts!$C$3="(All)",$D330=Contacts!$C$3),OR(Contacts!$E$3="(All)",$G330=Contacts!$E$3),OR(Contacts!$G$3="(All)",ISNUMBER(SEARCH(Contacts!$G$3,$V330))),OR(Contacts!$I$3="(All)",$X330=Contacts!$I$3),OR(Contacts!$K$3="",ISNUMBER(SEARCH(Contacts!$K$3,$B330&amp;" "&amp;$C330&amp;" "&amp;$D330&amp;" "&amp;$S330)))),1,0))</f>
        <v>1</v>
      </c>
      <c r="AA330" s="47" t="n">
        <f aca="false">IF($Z330=1,COUNTIFS(c_Pass,1,c_Sort,"&lt;="&amp;$Y330),"")</f>
        <v>329</v>
      </c>
      <c r="AB330" s="47" t="str">
        <f aca="false">IF(OR($G330&lt;&gt;"Yes",NOT(ISNUMBER($H330))),"",COUNTIFS(c_Met,"Yes",c_Date,"&lt;"&amp;$H330)+COUNTIFS($G$2:$G330,"Yes",$H$2:$H330,$H330))</f>
        <v/>
      </c>
    </row>
    <row r="331" customFormat="false" ht="15" hidden="false" customHeight="false" outlineLevel="0" collapsed="false">
      <c r="A331" s="44" t="n">
        <f aca="false">IF($B331="","",COUNTA($B$2:$B331))</f>
        <v>330</v>
      </c>
      <c r="B331" s="11" t="s">
        <v>700</v>
      </c>
      <c r="C331" s="11" t="s">
        <v>825</v>
      </c>
      <c r="D331" s="11" t="s">
        <v>33</v>
      </c>
      <c r="E331" s="11" t="s">
        <v>131</v>
      </c>
      <c r="F331" s="11" t="s">
        <v>66</v>
      </c>
      <c r="G331" s="34" t="s">
        <v>142</v>
      </c>
      <c r="H331" s="25" t="n">
        <v>45812</v>
      </c>
      <c r="I331" s="40" t="n">
        <v>1</v>
      </c>
      <c r="J331" s="34" t="s">
        <v>132</v>
      </c>
      <c r="K331" s="45"/>
      <c r="L331" s="34"/>
      <c r="M331" s="34"/>
      <c r="N331" s="11" t="s">
        <v>57</v>
      </c>
      <c r="O331" s="11" t="s">
        <v>57</v>
      </c>
      <c r="P331" s="11" t="s">
        <v>133</v>
      </c>
      <c r="Q331" s="11" t="s">
        <v>133</v>
      </c>
      <c r="R331" s="11" t="s">
        <v>133</v>
      </c>
      <c r="S331" s="46" t="s">
        <v>146</v>
      </c>
      <c r="T331" s="44" t="n">
        <f aca="false">IF($B331="","",COUNTA($N331:$R331)-COUNTIF($N331:$R331,"Not Invited"))</f>
        <v>2</v>
      </c>
      <c r="U331" s="44" t="n">
        <f aca="false">IF($B331="","",COUNTIF($N331:$R331,"Attended"))</f>
        <v>0</v>
      </c>
      <c r="V331" s="47" t="str">
        <f aca="false">IF($B331="","",_xlfn.TEXTJOIN(", ",TRUE(),IF($N331="Attended",Setup!$D$15,""),IF($O331="Attended",Setup!$D$16,""),IF($P331="Attended",Setup!$D$17,""),IF($Q331="Attended",Setup!$D$18,""),IF($R331="Attended",Setup!$D$19,"")))</f>
        <v/>
      </c>
      <c r="W331" s="48" t="n">
        <f aca="true">IF(OR($B331="",NOT(ISNUMBER($H331))),"",TODAY()-$H331)</f>
        <v>429</v>
      </c>
      <c r="X331" s="47" t="str">
        <f aca="false">IF($B331="","",IF($U331&gt;0,"Event attendee",IF($G331="Yes","Met (no event)",IF($T331&gt;0,"Invited only",IF(OR($L331="Yes",$M331="Yes"),"Contacted only","Not yet contacted")))))</f>
        <v>Met (no event)</v>
      </c>
      <c r="Y331" s="47" t="n">
        <f aca="false">IF($B331="","",COUNTIF(c_Firm,"&lt;"&amp;$D331)+COUNTIFS(c_Firm,$D331,c_Name,"&lt;"&amp;$B331)+COUNTIFS($D$2:$D331,$D331,$B$2:$B331,$B331))</f>
        <v>330</v>
      </c>
      <c r="Z331" s="47" t="n">
        <f aca="false">IF($B331="","",IF(AND(OR(Contacts!$C$3="(All)",$D331=Contacts!$C$3),OR(Contacts!$E$3="(All)",$G331=Contacts!$E$3),OR(Contacts!$G$3="(All)",ISNUMBER(SEARCH(Contacts!$G$3,$V331))),OR(Contacts!$I$3="(All)",$X331=Contacts!$I$3),OR(Contacts!$K$3="",ISNUMBER(SEARCH(Contacts!$K$3,$B331&amp;" "&amp;$C331&amp;" "&amp;$D331&amp;" "&amp;$S331)))),1,0))</f>
        <v>1</v>
      </c>
      <c r="AA331" s="47" t="n">
        <f aca="false">IF($Z331=1,COUNTIFS(c_Pass,1,c_Sort,"&lt;="&amp;$Y331),"")</f>
        <v>330</v>
      </c>
      <c r="AB331" s="47" t="n">
        <f aca="false">IF(OR($G331&lt;&gt;"Yes",NOT(ISNUMBER($H331))),"",COUNTIFS(c_Met,"Yes",c_Date,"&lt;"&amp;$H331)+COUNTIFS($G$2:$G331,"Yes",$H$2:$H331,$H331))</f>
        <v>6</v>
      </c>
    </row>
    <row r="332" customFormat="false" ht="15" hidden="false" customHeight="false" outlineLevel="0" collapsed="false">
      <c r="A332" s="44" t="n">
        <f aca="false">IF($B332="","",COUNTA($B$2:$B332))</f>
        <v>331</v>
      </c>
      <c r="B332" s="11" t="s">
        <v>826</v>
      </c>
      <c r="C332" s="11" t="s">
        <v>827</v>
      </c>
      <c r="D332" s="11" t="s">
        <v>33</v>
      </c>
      <c r="E332" s="11" t="s">
        <v>131</v>
      </c>
      <c r="F332" s="11" t="s">
        <v>141</v>
      </c>
      <c r="G332" s="34" t="s">
        <v>142</v>
      </c>
      <c r="H332" s="25" t="n">
        <v>45897</v>
      </c>
      <c r="I332" s="40" t="n">
        <v>1</v>
      </c>
      <c r="J332" s="34" t="s">
        <v>132</v>
      </c>
      <c r="K332" s="45"/>
      <c r="L332" s="34"/>
      <c r="M332" s="34"/>
      <c r="N332" s="11" t="s">
        <v>55</v>
      </c>
      <c r="O332" s="11" t="s">
        <v>55</v>
      </c>
      <c r="P332" s="11" t="s">
        <v>133</v>
      </c>
      <c r="Q332" s="11" t="s">
        <v>133</v>
      </c>
      <c r="R332" s="11" t="s">
        <v>133</v>
      </c>
      <c r="S332" s="46" t="s">
        <v>526</v>
      </c>
      <c r="T332" s="44" t="n">
        <f aca="false">IF($B332="","",COUNTA($N332:$R332)-COUNTIF($N332:$R332,"Not Invited"))</f>
        <v>2</v>
      </c>
      <c r="U332" s="44" t="n">
        <f aca="false">IF($B332="","",COUNTIF($N332:$R332,"Attended"))</f>
        <v>2</v>
      </c>
      <c r="V332" s="47" t="str">
        <f aca="false">IF($B332="","",_xlfn.TEXTJOIN(", ",TRUE(),IF($N332="Attended",Setup!$D$15,""),IF($O332="Attended",Setup!$D$16,""),IF($P332="Attended",Setup!$D$17,""),IF($Q332="Attended",Setup!$D$18,""),IF($R332="Attended",Setup!$D$19,"")))</f>
        <v>Oct-25 Symposium, May-26 Symposium</v>
      </c>
      <c r="W332" s="48" t="n">
        <f aca="true">IF(OR($B332="",NOT(ISNUMBER($H332))),"",TODAY()-$H332)</f>
        <v>344</v>
      </c>
      <c r="X332" s="47" t="str">
        <f aca="false">IF($B332="","",IF($U332&gt;0,"Event attendee",IF($G332="Yes","Met (no event)",IF($T332&gt;0,"Invited only",IF(OR($L332="Yes",$M332="Yes"),"Contacted only","Not yet contacted")))))</f>
        <v>Event attendee</v>
      </c>
      <c r="Y332" s="47" t="n">
        <f aca="false">IF($B332="","",COUNTIF(c_Firm,"&lt;"&amp;$D332)+COUNTIFS(c_Firm,$D332,c_Name,"&lt;"&amp;$B332)+COUNTIFS($D$2:$D332,$D332,$B$2:$B332,$B332))</f>
        <v>331</v>
      </c>
      <c r="Z332" s="47" t="n">
        <f aca="false">IF($B332="","",IF(AND(OR(Contacts!$C$3="(All)",$D332=Contacts!$C$3),OR(Contacts!$E$3="(All)",$G332=Contacts!$E$3),OR(Contacts!$G$3="(All)",ISNUMBER(SEARCH(Contacts!$G$3,$V332))),OR(Contacts!$I$3="(All)",$X332=Contacts!$I$3),OR(Contacts!$K$3="",ISNUMBER(SEARCH(Contacts!$K$3,$B332&amp;" "&amp;$C332&amp;" "&amp;$D332&amp;" "&amp;$S332)))),1,0))</f>
        <v>1</v>
      </c>
      <c r="AA332" s="47" t="n">
        <f aca="false">IF($Z332=1,COUNTIFS(c_Pass,1,c_Sort,"&lt;="&amp;$Y332),"")</f>
        <v>331</v>
      </c>
      <c r="AB332" s="47" t="n">
        <f aca="false">IF(OR($G332&lt;&gt;"Yes",NOT(ISNUMBER($H332))),"",COUNTIFS(c_Met,"Yes",c_Date,"&lt;"&amp;$H332)+COUNTIFS($G$2:$G332,"Yes",$H$2:$H332,$H332))</f>
        <v>11</v>
      </c>
    </row>
    <row r="333" customFormat="false" ht="15" hidden="false" customHeight="false" outlineLevel="0" collapsed="false">
      <c r="A333" s="44" t="n">
        <f aca="false">IF($B333="","",COUNTA($B$2:$B333))</f>
        <v>332</v>
      </c>
      <c r="B333" s="11" t="s">
        <v>828</v>
      </c>
      <c r="C333" s="11"/>
      <c r="D333" s="11" t="s">
        <v>33</v>
      </c>
      <c r="E333" s="11" t="s">
        <v>193</v>
      </c>
      <c r="F333" s="11" t="s">
        <v>68</v>
      </c>
      <c r="G333" s="34" t="s">
        <v>132</v>
      </c>
      <c r="H333" s="25"/>
      <c r="I333" s="40" t="n">
        <v>0</v>
      </c>
      <c r="J333" s="34" t="s">
        <v>132</v>
      </c>
      <c r="K333" s="45"/>
      <c r="L333" s="34"/>
      <c r="M333" s="34"/>
      <c r="N333" s="11" t="s">
        <v>133</v>
      </c>
      <c r="O333" s="11" t="s">
        <v>133</v>
      </c>
      <c r="P333" s="11" t="s">
        <v>133</v>
      </c>
      <c r="Q333" s="11" t="s">
        <v>133</v>
      </c>
      <c r="R333" s="11" t="s">
        <v>133</v>
      </c>
      <c r="S333" s="46" t="s">
        <v>829</v>
      </c>
      <c r="T333" s="44" t="n">
        <f aca="false">IF($B333="","",COUNTA($N333:$R333)-COUNTIF($N333:$R333,"Not Invited"))</f>
        <v>0</v>
      </c>
      <c r="U333" s="44" t="n">
        <f aca="false">IF($B333="","",COUNTIF($N333:$R333,"Attended"))</f>
        <v>0</v>
      </c>
      <c r="V333" s="47" t="str">
        <f aca="false">IF($B333="","",_xlfn.TEXTJOIN(", ",TRUE(),IF($N333="Attended",Setup!$D$15,""),IF($O333="Attended",Setup!$D$16,""),IF($P333="Attended",Setup!$D$17,""),IF($Q333="Attended",Setup!$D$18,""),IF($R333="Attended",Setup!$D$19,"")))</f>
        <v/>
      </c>
      <c r="W333" s="48" t="str">
        <f aca="true">IF(OR($B333="",NOT(ISNUMBER($H333))),"",TODAY()-$H333)</f>
        <v/>
      </c>
      <c r="X333" s="47" t="str">
        <f aca="false">IF($B333="","",IF($U333&gt;0,"Event attendee",IF($G333="Yes","Met (no event)",IF($T333&gt;0,"Invited only",IF(OR($L333="Yes",$M333="Yes"),"Contacted only","Not yet contacted")))))</f>
        <v>Not yet contacted</v>
      </c>
      <c r="Y333" s="47" t="n">
        <f aca="false">IF($B333="","",COUNTIF(c_Firm,"&lt;"&amp;$D333)+COUNTIFS(c_Firm,$D333,c_Name,"&lt;"&amp;$B333)+COUNTIFS($D$2:$D333,$D333,$B$2:$B333,$B333))</f>
        <v>332</v>
      </c>
      <c r="Z333" s="47" t="n">
        <f aca="false">IF($B333="","",IF(AND(OR(Contacts!$C$3="(All)",$D333=Contacts!$C$3),OR(Contacts!$E$3="(All)",$G333=Contacts!$E$3),OR(Contacts!$G$3="(All)",ISNUMBER(SEARCH(Contacts!$G$3,$V333))),OR(Contacts!$I$3="(All)",$X333=Contacts!$I$3),OR(Contacts!$K$3="",ISNUMBER(SEARCH(Contacts!$K$3,$B333&amp;" "&amp;$C333&amp;" "&amp;$D333&amp;" "&amp;$S333)))),1,0))</f>
        <v>1</v>
      </c>
      <c r="AA333" s="47" t="n">
        <f aca="false">IF($Z333=1,COUNTIFS(c_Pass,1,c_Sort,"&lt;="&amp;$Y333),"")</f>
        <v>332</v>
      </c>
      <c r="AB333" s="47" t="str">
        <f aca="false">IF(OR($G333&lt;&gt;"Yes",NOT(ISNUMBER($H333))),"",COUNTIFS(c_Met,"Yes",c_Date,"&lt;"&amp;$H333)+COUNTIFS($G$2:$G333,"Yes",$H$2:$H333,$H333))</f>
        <v/>
      </c>
    </row>
    <row r="334" customFormat="false" ht="15" hidden="false" customHeight="false" outlineLevel="0" collapsed="false">
      <c r="A334" s="44" t="n">
        <f aca="false">IF($B334="","",COUNTA($B$2:$B334))</f>
        <v>333</v>
      </c>
      <c r="B334" s="11" t="s">
        <v>830</v>
      </c>
      <c r="C334" s="11"/>
      <c r="D334" s="11" t="s">
        <v>33</v>
      </c>
      <c r="E334" s="11" t="s">
        <v>193</v>
      </c>
      <c r="F334" s="11" t="s">
        <v>68</v>
      </c>
      <c r="G334" s="34" t="s">
        <v>132</v>
      </c>
      <c r="H334" s="25"/>
      <c r="I334" s="40" t="n">
        <v>0</v>
      </c>
      <c r="J334" s="34" t="s">
        <v>132</v>
      </c>
      <c r="K334" s="45"/>
      <c r="L334" s="34"/>
      <c r="M334" s="34"/>
      <c r="N334" s="11" t="s">
        <v>133</v>
      </c>
      <c r="O334" s="11" t="s">
        <v>133</v>
      </c>
      <c r="P334" s="11" t="s">
        <v>133</v>
      </c>
      <c r="Q334" s="11" t="s">
        <v>133</v>
      </c>
      <c r="R334" s="11" t="s">
        <v>133</v>
      </c>
      <c r="S334" s="46"/>
      <c r="T334" s="44" t="n">
        <f aca="false">IF($B334="","",COUNTA($N334:$R334)-COUNTIF($N334:$R334,"Not Invited"))</f>
        <v>0</v>
      </c>
      <c r="U334" s="44" t="n">
        <f aca="false">IF($B334="","",COUNTIF($N334:$R334,"Attended"))</f>
        <v>0</v>
      </c>
      <c r="V334" s="47" t="str">
        <f aca="false">IF($B334="","",_xlfn.TEXTJOIN(", ",TRUE(),IF($N334="Attended",Setup!$D$15,""),IF($O334="Attended",Setup!$D$16,""),IF($P334="Attended",Setup!$D$17,""),IF($Q334="Attended",Setup!$D$18,""),IF($R334="Attended",Setup!$D$19,"")))</f>
        <v/>
      </c>
      <c r="W334" s="48" t="str">
        <f aca="true">IF(OR($B334="",NOT(ISNUMBER($H334))),"",TODAY()-$H334)</f>
        <v/>
      </c>
      <c r="X334" s="47" t="str">
        <f aca="false">IF($B334="","",IF($U334&gt;0,"Event attendee",IF($G334="Yes","Met (no event)",IF($T334&gt;0,"Invited only",IF(OR($L334="Yes",$M334="Yes"),"Contacted only","Not yet contacted")))))</f>
        <v>Not yet contacted</v>
      </c>
      <c r="Y334" s="47" t="n">
        <f aca="false">IF($B334="","",COUNTIF(c_Firm,"&lt;"&amp;$D334)+COUNTIFS(c_Firm,$D334,c_Name,"&lt;"&amp;$B334)+COUNTIFS($D$2:$D334,$D334,$B$2:$B334,$B334))</f>
        <v>333</v>
      </c>
      <c r="Z334" s="47" t="n">
        <f aca="false">IF($B334="","",IF(AND(OR(Contacts!$C$3="(All)",$D334=Contacts!$C$3),OR(Contacts!$E$3="(All)",$G334=Contacts!$E$3),OR(Contacts!$G$3="(All)",ISNUMBER(SEARCH(Contacts!$G$3,$V334))),OR(Contacts!$I$3="(All)",$X334=Contacts!$I$3),OR(Contacts!$K$3="",ISNUMBER(SEARCH(Contacts!$K$3,$B334&amp;" "&amp;$C334&amp;" "&amp;$D334&amp;" "&amp;$S334)))),1,0))</f>
        <v>1</v>
      </c>
      <c r="AA334" s="47" t="n">
        <f aca="false">IF($Z334=1,COUNTIFS(c_Pass,1,c_Sort,"&lt;="&amp;$Y334),"")</f>
        <v>333</v>
      </c>
      <c r="AB334" s="47" t="str">
        <f aca="false">IF(OR($G334&lt;&gt;"Yes",NOT(ISNUMBER($H334))),"",COUNTIFS(c_Met,"Yes",c_Date,"&lt;"&amp;$H334)+COUNTIFS($G$2:$G334,"Yes",$H$2:$H334,$H334))</f>
        <v/>
      </c>
    </row>
    <row r="335" customFormat="false" ht="15" hidden="false" customHeight="false" outlineLevel="0" collapsed="false">
      <c r="A335" s="44" t="n">
        <f aca="false">IF($B335="","",COUNTA($B$2:$B335))</f>
        <v>334</v>
      </c>
      <c r="B335" s="11" t="s">
        <v>831</v>
      </c>
      <c r="C335" s="11"/>
      <c r="D335" s="11" t="s">
        <v>33</v>
      </c>
      <c r="E335" s="11" t="s">
        <v>193</v>
      </c>
      <c r="F335" s="11" t="s">
        <v>68</v>
      </c>
      <c r="G335" s="34" t="s">
        <v>132</v>
      </c>
      <c r="H335" s="25"/>
      <c r="I335" s="40" t="n">
        <v>0</v>
      </c>
      <c r="J335" s="34" t="s">
        <v>132</v>
      </c>
      <c r="K335" s="45"/>
      <c r="L335" s="34"/>
      <c r="M335" s="34"/>
      <c r="N335" s="11" t="s">
        <v>133</v>
      </c>
      <c r="O335" s="11" t="s">
        <v>133</v>
      </c>
      <c r="P335" s="11" t="s">
        <v>133</v>
      </c>
      <c r="Q335" s="11" t="s">
        <v>133</v>
      </c>
      <c r="R335" s="11" t="s">
        <v>133</v>
      </c>
      <c r="S335" s="46" t="s">
        <v>832</v>
      </c>
      <c r="T335" s="44" t="n">
        <f aca="false">IF($B335="","",COUNTA($N335:$R335)-COUNTIF($N335:$R335,"Not Invited"))</f>
        <v>0</v>
      </c>
      <c r="U335" s="44" t="n">
        <f aca="false">IF($B335="","",COUNTIF($N335:$R335,"Attended"))</f>
        <v>0</v>
      </c>
      <c r="V335" s="47" t="str">
        <f aca="false">IF($B335="","",_xlfn.TEXTJOIN(", ",TRUE(),IF($N335="Attended",Setup!$D$15,""),IF($O335="Attended",Setup!$D$16,""),IF($P335="Attended",Setup!$D$17,""),IF($Q335="Attended",Setup!$D$18,""),IF($R335="Attended",Setup!$D$19,"")))</f>
        <v/>
      </c>
      <c r="W335" s="48" t="str">
        <f aca="true">IF(OR($B335="",NOT(ISNUMBER($H335))),"",TODAY()-$H335)</f>
        <v/>
      </c>
      <c r="X335" s="47" t="str">
        <f aca="false">IF($B335="","",IF($U335&gt;0,"Event attendee",IF($G335="Yes","Met (no event)",IF($T335&gt;0,"Invited only",IF(OR($L335="Yes",$M335="Yes"),"Contacted only","Not yet contacted")))))</f>
        <v>Not yet contacted</v>
      </c>
      <c r="Y335" s="47" t="n">
        <f aca="false">IF($B335="","",COUNTIF(c_Firm,"&lt;"&amp;$D335)+COUNTIFS(c_Firm,$D335,c_Name,"&lt;"&amp;$B335)+COUNTIFS($D$2:$D335,$D335,$B$2:$B335,$B335))</f>
        <v>334</v>
      </c>
      <c r="Z335" s="47" t="n">
        <f aca="false">IF($B335="","",IF(AND(OR(Contacts!$C$3="(All)",$D335=Contacts!$C$3),OR(Contacts!$E$3="(All)",$G335=Contacts!$E$3),OR(Contacts!$G$3="(All)",ISNUMBER(SEARCH(Contacts!$G$3,$V335))),OR(Contacts!$I$3="(All)",$X335=Contacts!$I$3),OR(Contacts!$K$3="",ISNUMBER(SEARCH(Contacts!$K$3,$B335&amp;" "&amp;$C335&amp;" "&amp;$D335&amp;" "&amp;$S335)))),1,0))</f>
        <v>1</v>
      </c>
      <c r="AA335" s="47" t="n">
        <f aca="false">IF($Z335=1,COUNTIFS(c_Pass,1,c_Sort,"&lt;="&amp;$Y335),"")</f>
        <v>334</v>
      </c>
      <c r="AB335" s="47" t="str">
        <f aca="false">IF(OR($G335&lt;&gt;"Yes",NOT(ISNUMBER($H335))),"",COUNTIFS(c_Met,"Yes",c_Date,"&lt;"&amp;$H335)+COUNTIFS($G$2:$G335,"Yes",$H$2:$H335,$H335))</f>
        <v/>
      </c>
    </row>
    <row r="336" customFormat="false" ht="15" hidden="false" customHeight="false" outlineLevel="0" collapsed="false">
      <c r="A336" s="44" t="n">
        <f aca="false">IF($B336="","",COUNTA($B$2:$B336))</f>
        <v>335</v>
      </c>
      <c r="B336" s="11" t="s">
        <v>833</v>
      </c>
      <c r="C336" s="11"/>
      <c r="D336" s="11" t="s">
        <v>33</v>
      </c>
      <c r="E336" s="11" t="s">
        <v>193</v>
      </c>
      <c r="F336" s="11" t="s">
        <v>68</v>
      </c>
      <c r="G336" s="34" t="s">
        <v>132</v>
      </c>
      <c r="H336" s="25"/>
      <c r="I336" s="40" t="n">
        <v>0</v>
      </c>
      <c r="J336" s="34" t="s">
        <v>132</v>
      </c>
      <c r="K336" s="45"/>
      <c r="L336" s="34"/>
      <c r="M336" s="34"/>
      <c r="N336" s="11" t="s">
        <v>133</v>
      </c>
      <c r="O336" s="11" t="s">
        <v>133</v>
      </c>
      <c r="P336" s="11" t="s">
        <v>133</v>
      </c>
      <c r="Q336" s="11" t="s">
        <v>133</v>
      </c>
      <c r="R336" s="11" t="s">
        <v>133</v>
      </c>
      <c r="S336" s="46"/>
      <c r="T336" s="44" t="n">
        <f aca="false">IF($B336="","",COUNTA($N336:$R336)-COUNTIF($N336:$R336,"Not Invited"))</f>
        <v>0</v>
      </c>
      <c r="U336" s="44" t="n">
        <f aca="false">IF($B336="","",COUNTIF($N336:$R336,"Attended"))</f>
        <v>0</v>
      </c>
      <c r="V336" s="47" t="str">
        <f aca="false">IF($B336="","",_xlfn.TEXTJOIN(", ",TRUE(),IF($N336="Attended",Setup!$D$15,""),IF($O336="Attended",Setup!$D$16,""),IF($P336="Attended",Setup!$D$17,""),IF($Q336="Attended",Setup!$D$18,""),IF($R336="Attended",Setup!$D$19,"")))</f>
        <v/>
      </c>
      <c r="W336" s="48" t="str">
        <f aca="true">IF(OR($B336="",NOT(ISNUMBER($H336))),"",TODAY()-$H336)</f>
        <v/>
      </c>
      <c r="X336" s="47" t="str">
        <f aca="false">IF($B336="","",IF($U336&gt;0,"Event attendee",IF($G336="Yes","Met (no event)",IF($T336&gt;0,"Invited only",IF(OR($L336="Yes",$M336="Yes"),"Contacted only","Not yet contacted")))))</f>
        <v>Not yet contacted</v>
      </c>
      <c r="Y336" s="47" t="n">
        <f aca="false">IF($B336="","",COUNTIF(c_Firm,"&lt;"&amp;$D336)+COUNTIFS(c_Firm,$D336,c_Name,"&lt;"&amp;$B336)+COUNTIFS($D$2:$D336,$D336,$B$2:$B336,$B336))</f>
        <v>335</v>
      </c>
      <c r="Z336" s="47" t="n">
        <f aca="false">IF($B336="","",IF(AND(OR(Contacts!$C$3="(All)",$D336=Contacts!$C$3),OR(Contacts!$E$3="(All)",$G336=Contacts!$E$3),OR(Contacts!$G$3="(All)",ISNUMBER(SEARCH(Contacts!$G$3,$V336))),OR(Contacts!$I$3="(All)",$X336=Contacts!$I$3),OR(Contacts!$K$3="",ISNUMBER(SEARCH(Contacts!$K$3,$B336&amp;" "&amp;$C336&amp;" "&amp;$D336&amp;" "&amp;$S336)))),1,0))</f>
        <v>1</v>
      </c>
      <c r="AA336" s="47" t="n">
        <f aca="false">IF($Z336=1,COUNTIFS(c_Pass,1,c_Sort,"&lt;="&amp;$Y336),"")</f>
        <v>335</v>
      </c>
      <c r="AB336" s="47" t="str">
        <f aca="false">IF(OR($G336&lt;&gt;"Yes",NOT(ISNUMBER($H336))),"",COUNTIFS(c_Met,"Yes",c_Date,"&lt;"&amp;$H336)+COUNTIFS($G$2:$G336,"Yes",$H$2:$H336,$H336))</f>
        <v/>
      </c>
    </row>
    <row r="337" customFormat="false" ht="15" hidden="false" customHeight="false" outlineLevel="0" collapsed="false">
      <c r="A337" s="44" t="n">
        <f aca="false">IF($B337="","",COUNTA($B$2:$B337))</f>
        <v>336</v>
      </c>
      <c r="B337" s="11" t="s">
        <v>834</v>
      </c>
      <c r="C337" s="11" t="s">
        <v>835</v>
      </c>
      <c r="D337" s="11" t="s">
        <v>29</v>
      </c>
      <c r="E337" s="11" t="s">
        <v>131</v>
      </c>
      <c r="F337" s="11" t="s">
        <v>289</v>
      </c>
      <c r="G337" s="34" t="s">
        <v>132</v>
      </c>
      <c r="H337" s="25"/>
      <c r="I337" s="40" t="n">
        <v>0</v>
      </c>
      <c r="J337" s="34" t="s">
        <v>132</v>
      </c>
      <c r="K337" s="45"/>
      <c r="L337" s="34"/>
      <c r="M337" s="34" t="s">
        <v>683</v>
      </c>
      <c r="N337" s="11" t="s">
        <v>133</v>
      </c>
      <c r="O337" s="11" t="s">
        <v>143</v>
      </c>
      <c r="P337" s="11" t="s">
        <v>133</v>
      </c>
      <c r="Q337" s="11" t="s">
        <v>133</v>
      </c>
      <c r="R337" s="11" t="s">
        <v>133</v>
      </c>
      <c r="S337" s="46" t="s">
        <v>836</v>
      </c>
      <c r="T337" s="44" t="n">
        <f aca="false">IF($B337="","",COUNTA($N337:$R337)-COUNTIF($N337:$R337,"Not Invited"))</f>
        <v>1</v>
      </c>
      <c r="U337" s="44" t="n">
        <f aca="false">IF($B337="","",COUNTIF($N337:$R337,"Attended"))</f>
        <v>0</v>
      </c>
      <c r="V337" s="47" t="str">
        <f aca="false">IF($B337="","",_xlfn.TEXTJOIN(", ",TRUE(),IF($N337="Attended",Setup!$D$15,""),IF($O337="Attended",Setup!$D$16,""),IF($P337="Attended",Setup!$D$17,""),IF($Q337="Attended",Setup!$D$18,""),IF($R337="Attended",Setup!$D$19,"")))</f>
        <v/>
      </c>
      <c r="W337" s="48" t="str">
        <f aca="true">IF(OR($B337="",NOT(ISNUMBER($H337))),"",TODAY()-$H337)</f>
        <v/>
      </c>
      <c r="X337" s="47" t="str">
        <f aca="false">IF($B337="","",IF($U337&gt;0,"Event attendee",IF($G337="Yes","Met (no event)",IF($T337&gt;0,"Invited only",IF(OR($L337="Yes",$M337="Yes"),"Contacted only","Not yet contacted")))))</f>
        <v>Invited only</v>
      </c>
      <c r="Y337" s="47" t="n">
        <f aca="false">IF($B337="","",COUNTIF(c_Firm,"&lt;"&amp;$D337)+COUNTIFS(c_Firm,$D337,c_Name,"&lt;"&amp;$B337)+COUNTIFS($D$2:$D337,$D337,$B$2:$B337,$B337))</f>
        <v>336</v>
      </c>
      <c r="Z337" s="47" t="n">
        <f aca="false">IF($B337="","",IF(AND(OR(Contacts!$C$3="(All)",$D337=Contacts!$C$3),OR(Contacts!$E$3="(All)",$G337=Contacts!$E$3),OR(Contacts!$G$3="(All)",ISNUMBER(SEARCH(Contacts!$G$3,$V337))),OR(Contacts!$I$3="(All)",$X337=Contacts!$I$3),OR(Contacts!$K$3="",ISNUMBER(SEARCH(Contacts!$K$3,$B337&amp;" "&amp;$C337&amp;" "&amp;$D337&amp;" "&amp;$S337)))),1,0))</f>
        <v>1</v>
      </c>
      <c r="AA337" s="47" t="n">
        <f aca="false">IF($Z337=1,COUNTIFS(c_Pass,1,c_Sort,"&lt;="&amp;$Y337),"")</f>
        <v>336</v>
      </c>
      <c r="AB337" s="47" t="str">
        <f aca="false">IF(OR($G337&lt;&gt;"Yes",NOT(ISNUMBER($H337))),"",COUNTIFS(c_Met,"Yes",c_Date,"&lt;"&amp;$H337)+COUNTIFS($G$2:$G337,"Yes",$H$2:$H337,$H337))</f>
        <v/>
      </c>
    </row>
    <row r="338" customFormat="false" ht="15" hidden="false" customHeight="false" outlineLevel="0" collapsed="false">
      <c r="A338" s="44" t="n">
        <f aca="false">IF($B338="","",COUNTA($B$2:$B338))</f>
        <v>337</v>
      </c>
      <c r="B338" s="11" t="s">
        <v>837</v>
      </c>
      <c r="C338" s="11" t="s">
        <v>838</v>
      </c>
      <c r="D338" s="11" t="s">
        <v>29</v>
      </c>
      <c r="E338" s="11" t="s">
        <v>131</v>
      </c>
      <c r="F338" s="11" t="s">
        <v>289</v>
      </c>
      <c r="G338" s="34" t="s">
        <v>132</v>
      </c>
      <c r="H338" s="25"/>
      <c r="I338" s="40" t="n">
        <v>0</v>
      </c>
      <c r="J338" s="34" t="s">
        <v>132</v>
      </c>
      <c r="K338" s="45"/>
      <c r="L338" s="34"/>
      <c r="M338" s="34" t="s">
        <v>142</v>
      </c>
      <c r="N338" s="11" t="s">
        <v>133</v>
      </c>
      <c r="O338" s="11" t="s">
        <v>143</v>
      </c>
      <c r="P338" s="11" t="s">
        <v>133</v>
      </c>
      <c r="Q338" s="11" t="s">
        <v>133</v>
      </c>
      <c r="R338" s="11" t="s">
        <v>133</v>
      </c>
      <c r="S338" s="46" t="s">
        <v>839</v>
      </c>
      <c r="T338" s="44" t="n">
        <f aca="false">IF($B338="","",COUNTA($N338:$R338)-COUNTIF($N338:$R338,"Not Invited"))</f>
        <v>1</v>
      </c>
      <c r="U338" s="44" t="n">
        <f aca="false">IF($B338="","",COUNTIF($N338:$R338,"Attended"))</f>
        <v>0</v>
      </c>
      <c r="V338" s="47" t="str">
        <f aca="false">IF($B338="","",_xlfn.TEXTJOIN(", ",TRUE(),IF($N338="Attended",Setup!$D$15,""),IF($O338="Attended",Setup!$D$16,""),IF($P338="Attended",Setup!$D$17,""),IF($Q338="Attended",Setup!$D$18,""),IF($R338="Attended",Setup!$D$19,"")))</f>
        <v/>
      </c>
      <c r="W338" s="48" t="str">
        <f aca="true">IF(OR($B338="",NOT(ISNUMBER($H338))),"",TODAY()-$H338)</f>
        <v/>
      </c>
      <c r="X338" s="47" t="str">
        <f aca="false">IF($B338="","",IF($U338&gt;0,"Event attendee",IF($G338="Yes","Met (no event)",IF($T338&gt;0,"Invited only",IF(OR($L338="Yes",$M338="Yes"),"Contacted only","Not yet contacted")))))</f>
        <v>Invited only</v>
      </c>
      <c r="Y338" s="47" t="n">
        <f aca="false">IF($B338="","",COUNTIF(c_Firm,"&lt;"&amp;$D338)+COUNTIFS(c_Firm,$D338,c_Name,"&lt;"&amp;$B338)+COUNTIFS($D$2:$D338,$D338,$B$2:$B338,$B338))</f>
        <v>337</v>
      </c>
      <c r="Z338" s="47" t="n">
        <f aca="false">IF($B338="","",IF(AND(OR(Contacts!$C$3="(All)",$D338=Contacts!$C$3),OR(Contacts!$E$3="(All)",$G338=Contacts!$E$3),OR(Contacts!$G$3="(All)",ISNUMBER(SEARCH(Contacts!$G$3,$V338))),OR(Contacts!$I$3="(All)",$X338=Contacts!$I$3),OR(Contacts!$K$3="",ISNUMBER(SEARCH(Contacts!$K$3,$B338&amp;" "&amp;$C338&amp;" "&amp;$D338&amp;" "&amp;$S338)))),1,0))</f>
        <v>1</v>
      </c>
      <c r="AA338" s="47" t="n">
        <f aca="false">IF($Z338=1,COUNTIFS(c_Pass,1,c_Sort,"&lt;="&amp;$Y338),"")</f>
        <v>337</v>
      </c>
      <c r="AB338" s="47" t="str">
        <f aca="false">IF(OR($G338&lt;&gt;"Yes",NOT(ISNUMBER($H338))),"",COUNTIFS(c_Met,"Yes",c_Date,"&lt;"&amp;$H338)+COUNTIFS($G$2:$G338,"Yes",$H$2:$H338,$H338))</f>
        <v/>
      </c>
    </row>
    <row r="339" customFormat="false" ht="15" hidden="false" customHeight="false" outlineLevel="0" collapsed="false">
      <c r="A339" s="44" t="n">
        <f aca="false">IF($B339="","",COUNTA($B$2:$B339))</f>
        <v>338</v>
      </c>
      <c r="B339" s="11" t="s">
        <v>840</v>
      </c>
      <c r="C339" s="11" t="s">
        <v>841</v>
      </c>
      <c r="D339" s="11" t="s">
        <v>29</v>
      </c>
      <c r="E339" s="11" t="s">
        <v>131</v>
      </c>
      <c r="F339" s="11" t="s">
        <v>141</v>
      </c>
      <c r="G339" s="34" t="s">
        <v>142</v>
      </c>
      <c r="H339" s="25" t="n">
        <v>45552</v>
      </c>
      <c r="I339" s="40" t="n">
        <v>1</v>
      </c>
      <c r="J339" s="34" t="s">
        <v>132</v>
      </c>
      <c r="K339" s="45" t="n">
        <v>7000000</v>
      </c>
      <c r="L339" s="34"/>
      <c r="M339" s="34"/>
      <c r="N339" s="11" t="s">
        <v>55</v>
      </c>
      <c r="O339" s="11" t="s">
        <v>55</v>
      </c>
      <c r="P339" s="11" t="s">
        <v>133</v>
      </c>
      <c r="Q339" s="11" t="s">
        <v>133</v>
      </c>
      <c r="R339" s="11" t="s">
        <v>133</v>
      </c>
      <c r="S339" s="46"/>
      <c r="T339" s="44" t="n">
        <f aca="false">IF($B339="","",COUNTA($N339:$R339)-COUNTIF($N339:$R339,"Not Invited"))</f>
        <v>2</v>
      </c>
      <c r="U339" s="44" t="n">
        <f aca="false">IF($B339="","",COUNTIF($N339:$R339,"Attended"))</f>
        <v>2</v>
      </c>
      <c r="V339" s="47" t="str">
        <f aca="false">IF($B339="","",_xlfn.TEXTJOIN(", ",TRUE(),IF($N339="Attended",Setup!$D$15,""),IF($O339="Attended",Setup!$D$16,""),IF($P339="Attended",Setup!$D$17,""),IF($Q339="Attended",Setup!$D$18,""),IF($R339="Attended",Setup!$D$19,"")))</f>
        <v>Oct-25 Symposium, May-26 Symposium</v>
      </c>
      <c r="W339" s="48" t="n">
        <f aca="true">IF(OR($B339="",NOT(ISNUMBER($H339))),"",TODAY()-$H339)</f>
        <v>689</v>
      </c>
      <c r="X339" s="47" t="str">
        <f aca="false">IF($B339="","",IF($U339&gt;0,"Event attendee",IF($G339="Yes","Met (no event)",IF($T339&gt;0,"Invited only",IF(OR($L339="Yes",$M339="Yes"),"Contacted only","Not yet contacted")))))</f>
        <v>Event attendee</v>
      </c>
      <c r="Y339" s="47" t="n">
        <f aca="false">IF($B339="","",COUNTIF(c_Firm,"&lt;"&amp;$D339)+COUNTIFS(c_Firm,$D339,c_Name,"&lt;"&amp;$B339)+COUNTIFS($D$2:$D339,$D339,$B$2:$B339,$B339))</f>
        <v>338</v>
      </c>
      <c r="Z339" s="47" t="n">
        <f aca="false">IF($B339="","",IF(AND(OR(Contacts!$C$3="(All)",$D339=Contacts!$C$3),OR(Contacts!$E$3="(All)",$G339=Contacts!$E$3),OR(Contacts!$G$3="(All)",ISNUMBER(SEARCH(Contacts!$G$3,$V339))),OR(Contacts!$I$3="(All)",$X339=Contacts!$I$3),OR(Contacts!$K$3="",ISNUMBER(SEARCH(Contacts!$K$3,$B339&amp;" "&amp;$C339&amp;" "&amp;$D339&amp;" "&amp;$S339)))),1,0))</f>
        <v>1</v>
      </c>
      <c r="AA339" s="47" t="n">
        <f aca="false">IF($Z339=1,COUNTIFS(c_Pass,1,c_Sort,"&lt;="&amp;$Y339),"")</f>
        <v>338</v>
      </c>
      <c r="AB339" s="47" t="n">
        <f aca="false">IF(OR($G339&lt;&gt;"Yes",NOT(ISNUMBER($H339))),"",COUNTIFS(c_Met,"Yes",c_Date,"&lt;"&amp;$H339)+COUNTIFS($G$2:$G339,"Yes",$H$2:$H339,$H339))</f>
        <v>3</v>
      </c>
    </row>
    <row r="340" customFormat="false" ht="15" hidden="false" customHeight="false" outlineLevel="0" collapsed="false">
      <c r="A340" s="44" t="n">
        <f aca="false">IF($B340="","",COUNTA($B$2:$B340))</f>
        <v>339</v>
      </c>
      <c r="B340" s="11" t="s">
        <v>842</v>
      </c>
      <c r="C340" s="11" t="s">
        <v>843</v>
      </c>
      <c r="D340" s="11" t="s">
        <v>29</v>
      </c>
      <c r="E340" s="11" t="s">
        <v>131</v>
      </c>
      <c r="F340" s="11" t="s">
        <v>289</v>
      </c>
      <c r="G340" s="34" t="s">
        <v>132</v>
      </c>
      <c r="H340" s="25"/>
      <c r="I340" s="40" t="n">
        <v>0</v>
      </c>
      <c r="J340" s="34" t="s">
        <v>132</v>
      </c>
      <c r="K340" s="45"/>
      <c r="L340" s="34"/>
      <c r="M340" s="34" t="s">
        <v>683</v>
      </c>
      <c r="N340" s="11" t="s">
        <v>133</v>
      </c>
      <c r="O340" s="11" t="s">
        <v>143</v>
      </c>
      <c r="P340" s="11" t="s">
        <v>133</v>
      </c>
      <c r="Q340" s="11" t="s">
        <v>133</v>
      </c>
      <c r="R340" s="11" t="s">
        <v>133</v>
      </c>
      <c r="S340" s="46" t="s">
        <v>844</v>
      </c>
      <c r="T340" s="44" t="n">
        <f aca="false">IF($B340="","",COUNTA($N340:$R340)-COUNTIF($N340:$R340,"Not Invited"))</f>
        <v>1</v>
      </c>
      <c r="U340" s="44" t="n">
        <f aca="false">IF($B340="","",COUNTIF($N340:$R340,"Attended"))</f>
        <v>0</v>
      </c>
      <c r="V340" s="47" t="str">
        <f aca="false">IF($B340="","",_xlfn.TEXTJOIN(", ",TRUE(),IF($N340="Attended",Setup!$D$15,""),IF($O340="Attended",Setup!$D$16,""),IF($P340="Attended",Setup!$D$17,""),IF($Q340="Attended",Setup!$D$18,""),IF($R340="Attended",Setup!$D$19,"")))</f>
        <v/>
      </c>
      <c r="W340" s="48" t="str">
        <f aca="true">IF(OR($B340="",NOT(ISNUMBER($H340))),"",TODAY()-$H340)</f>
        <v/>
      </c>
      <c r="X340" s="47" t="str">
        <f aca="false">IF($B340="","",IF($U340&gt;0,"Event attendee",IF($G340="Yes","Met (no event)",IF($T340&gt;0,"Invited only",IF(OR($L340="Yes",$M340="Yes"),"Contacted only","Not yet contacted")))))</f>
        <v>Invited only</v>
      </c>
      <c r="Y340" s="47" t="n">
        <f aca="false">IF($B340="","",COUNTIF(c_Firm,"&lt;"&amp;$D340)+COUNTIFS(c_Firm,$D340,c_Name,"&lt;"&amp;$B340)+COUNTIFS($D$2:$D340,$D340,$B$2:$B340,$B340))</f>
        <v>339</v>
      </c>
      <c r="Z340" s="47" t="n">
        <f aca="false">IF($B340="","",IF(AND(OR(Contacts!$C$3="(All)",$D340=Contacts!$C$3),OR(Contacts!$E$3="(All)",$G340=Contacts!$E$3),OR(Contacts!$G$3="(All)",ISNUMBER(SEARCH(Contacts!$G$3,$V340))),OR(Contacts!$I$3="(All)",$X340=Contacts!$I$3),OR(Contacts!$K$3="",ISNUMBER(SEARCH(Contacts!$K$3,$B340&amp;" "&amp;$C340&amp;" "&amp;$D340&amp;" "&amp;$S340)))),1,0))</f>
        <v>1</v>
      </c>
      <c r="AA340" s="47" t="n">
        <f aca="false">IF($Z340=1,COUNTIFS(c_Pass,1,c_Sort,"&lt;="&amp;$Y340),"")</f>
        <v>339</v>
      </c>
      <c r="AB340" s="47" t="str">
        <f aca="false">IF(OR($G340&lt;&gt;"Yes",NOT(ISNUMBER($H340))),"",COUNTIFS(c_Met,"Yes",c_Date,"&lt;"&amp;$H340)+COUNTIFS($G$2:$G340,"Yes",$H$2:$H340,$H340))</f>
        <v/>
      </c>
    </row>
    <row r="341" customFormat="false" ht="15" hidden="false" customHeight="false" outlineLevel="0" collapsed="false">
      <c r="A341" s="44" t="n">
        <f aca="false">IF($B341="","",COUNTA($B$2:$B341))</f>
        <v>340</v>
      </c>
      <c r="B341" s="11" t="s">
        <v>845</v>
      </c>
      <c r="C341" s="11" t="s">
        <v>846</v>
      </c>
      <c r="D341" s="11" t="s">
        <v>29</v>
      </c>
      <c r="E341" s="11" t="s">
        <v>131</v>
      </c>
      <c r="F341" s="11" t="s">
        <v>141</v>
      </c>
      <c r="G341" s="34" t="s">
        <v>132</v>
      </c>
      <c r="H341" s="25"/>
      <c r="I341" s="40" t="n">
        <v>0</v>
      </c>
      <c r="J341" s="34" t="s">
        <v>132</v>
      </c>
      <c r="K341" s="45" t="n">
        <v>5000000</v>
      </c>
      <c r="L341" s="34"/>
      <c r="M341" s="34"/>
      <c r="N341" s="11" t="s">
        <v>55</v>
      </c>
      <c r="O341" s="11" t="s">
        <v>143</v>
      </c>
      <c r="P341" s="11" t="s">
        <v>133</v>
      </c>
      <c r="Q341" s="11" t="s">
        <v>133</v>
      </c>
      <c r="R341" s="11" t="s">
        <v>133</v>
      </c>
      <c r="S341" s="46"/>
      <c r="T341" s="44" t="n">
        <f aca="false">IF($B341="","",COUNTA($N341:$R341)-COUNTIF($N341:$R341,"Not Invited"))</f>
        <v>2</v>
      </c>
      <c r="U341" s="44" t="n">
        <f aca="false">IF($B341="","",COUNTIF($N341:$R341,"Attended"))</f>
        <v>1</v>
      </c>
      <c r="V341" s="47" t="str">
        <f aca="false">IF($B341="","",_xlfn.TEXTJOIN(", ",TRUE(),IF($N341="Attended",Setup!$D$15,""),IF($O341="Attended",Setup!$D$16,""),IF($P341="Attended",Setup!$D$17,""),IF($Q341="Attended",Setup!$D$18,""),IF($R341="Attended",Setup!$D$19,"")))</f>
        <v>Oct-25 Symposium</v>
      </c>
      <c r="W341" s="48" t="str">
        <f aca="true">IF(OR($B341="",NOT(ISNUMBER($H341))),"",TODAY()-$H341)</f>
        <v/>
      </c>
      <c r="X341" s="47" t="str">
        <f aca="false">IF($B341="","",IF($U341&gt;0,"Event attendee",IF($G341="Yes","Met (no event)",IF($T341&gt;0,"Invited only",IF(OR($L341="Yes",$M341="Yes"),"Contacted only","Not yet contacted")))))</f>
        <v>Event attendee</v>
      </c>
      <c r="Y341" s="47" t="n">
        <f aca="false">IF($B341="","",COUNTIF(c_Firm,"&lt;"&amp;$D341)+COUNTIFS(c_Firm,$D341,c_Name,"&lt;"&amp;$B341)+COUNTIFS($D$2:$D341,$D341,$B$2:$B341,$B341))</f>
        <v>340</v>
      </c>
      <c r="Z341" s="47" t="n">
        <f aca="false">IF($B341="","",IF(AND(OR(Contacts!$C$3="(All)",$D341=Contacts!$C$3),OR(Contacts!$E$3="(All)",$G341=Contacts!$E$3),OR(Contacts!$G$3="(All)",ISNUMBER(SEARCH(Contacts!$G$3,$V341))),OR(Contacts!$I$3="(All)",$X341=Contacts!$I$3),OR(Contacts!$K$3="",ISNUMBER(SEARCH(Contacts!$K$3,$B341&amp;" "&amp;$C341&amp;" "&amp;$D341&amp;" "&amp;$S341)))),1,0))</f>
        <v>1</v>
      </c>
      <c r="AA341" s="47" t="n">
        <f aca="false">IF($Z341=1,COUNTIFS(c_Pass,1,c_Sort,"&lt;="&amp;$Y341),"")</f>
        <v>340</v>
      </c>
      <c r="AB341" s="47" t="str">
        <f aca="false">IF(OR($G341&lt;&gt;"Yes",NOT(ISNUMBER($H341))),"",COUNTIFS(c_Met,"Yes",c_Date,"&lt;"&amp;$H341)+COUNTIFS($G$2:$G341,"Yes",$H$2:$H341,$H341))</f>
        <v/>
      </c>
    </row>
    <row r="342" customFormat="false" ht="15" hidden="false" customHeight="false" outlineLevel="0" collapsed="false">
      <c r="A342" s="44" t="n">
        <f aca="false">IF($B342="","",COUNTA($B$2:$B342))</f>
        <v>341</v>
      </c>
      <c r="B342" s="11" t="s">
        <v>847</v>
      </c>
      <c r="C342" s="11" t="s">
        <v>848</v>
      </c>
      <c r="D342" s="11" t="s">
        <v>29</v>
      </c>
      <c r="E342" s="11" t="s">
        <v>131</v>
      </c>
      <c r="F342" s="11" t="s">
        <v>207</v>
      </c>
      <c r="G342" s="34" t="s">
        <v>142</v>
      </c>
      <c r="H342" s="25" t="n">
        <v>45734</v>
      </c>
      <c r="I342" s="40" t="n">
        <v>1</v>
      </c>
      <c r="J342" s="34" t="s">
        <v>142</v>
      </c>
      <c r="K342" s="45" t="n">
        <v>50000000</v>
      </c>
      <c r="L342" s="34"/>
      <c r="M342" s="34" t="s">
        <v>132</v>
      </c>
      <c r="N342" s="11" t="s">
        <v>55</v>
      </c>
      <c r="O342" s="11" t="s">
        <v>57</v>
      </c>
      <c r="P342" s="11" t="s">
        <v>133</v>
      </c>
      <c r="Q342" s="11" t="s">
        <v>133</v>
      </c>
      <c r="R342" s="11" t="s">
        <v>133</v>
      </c>
      <c r="S342" s="46" t="s">
        <v>849</v>
      </c>
      <c r="T342" s="44" t="n">
        <f aca="false">IF($B342="","",COUNTA($N342:$R342)-COUNTIF($N342:$R342,"Not Invited"))</f>
        <v>2</v>
      </c>
      <c r="U342" s="44" t="n">
        <f aca="false">IF($B342="","",COUNTIF($N342:$R342,"Attended"))</f>
        <v>1</v>
      </c>
      <c r="V342" s="47" t="str">
        <f aca="false">IF($B342="","",_xlfn.TEXTJOIN(", ",TRUE(),IF($N342="Attended",Setup!$D$15,""),IF($O342="Attended",Setup!$D$16,""),IF($P342="Attended",Setup!$D$17,""),IF($Q342="Attended",Setup!$D$18,""),IF($R342="Attended",Setup!$D$19,"")))</f>
        <v>Oct-25 Symposium</v>
      </c>
      <c r="W342" s="48" t="n">
        <f aca="true">IF(OR($B342="",NOT(ISNUMBER($H342))),"",TODAY()-$H342)</f>
        <v>507</v>
      </c>
      <c r="X342" s="47" t="str">
        <f aca="false">IF($B342="","",IF($U342&gt;0,"Event attendee",IF($G342="Yes","Met (no event)",IF($T342&gt;0,"Invited only",IF(OR($L342="Yes",$M342="Yes"),"Contacted only","Not yet contacted")))))</f>
        <v>Event attendee</v>
      </c>
      <c r="Y342" s="47" t="n">
        <f aca="false">IF($B342="","",COUNTIF(c_Firm,"&lt;"&amp;$D342)+COUNTIFS(c_Firm,$D342,c_Name,"&lt;"&amp;$B342)+COUNTIFS($D$2:$D342,$D342,$B$2:$B342,$B342))</f>
        <v>341</v>
      </c>
      <c r="Z342" s="47" t="n">
        <f aca="false">IF($B342="","",IF(AND(OR(Contacts!$C$3="(All)",$D342=Contacts!$C$3),OR(Contacts!$E$3="(All)",$G342=Contacts!$E$3),OR(Contacts!$G$3="(All)",ISNUMBER(SEARCH(Contacts!$G$3,$V342))),OR(Contacts!$I$3="(All)",$X342=Contacts!$I$3),OR(Contacts!$K$3="",ISNUMBER(SEARCH(Contacts!$K$3,$B342&amp;" "&amp;$C342&amp;" "&amp;$D342&amp;" "&amp;$S342)))),1,0))</f>
        <v>1</v>
      </c>
      <c r="AA342" s="47" t="n">
        <f aca="false">IF($Z342=1,COUNTIFS(c_Pass,1,c_Sort,"&lt;="&amp;$Y342),"")</f>
        <v>341</v>
      </c>
      <c r="AB342" s="47" t="n">
        <f aca="false">IF(OR($G342&lt;&gt;"Yes",NOT(ISNUMBER($H342))),"",COUNTIFS(c_Met,"Yes",c_Date,"&lt;"&amp;$H342)+COUNTIFS($G$2:$G342,"Yes",$H$2:$H342,$H342))</f>
        <v>5</v>
      </c>
    </row>
    <row r="343" customFormat="false" ht="15" hidden="false" customHeight="false" outlineLevel="0" collapsed="false">
      <c r="A343" s="44" t="n">
        <f aca="false">IF($B343="","",COUNTA($B$2:$B343))</f>
        <v>342</v>
      </c>
      <c r="B343" s="11" t="s">
        <v>850</v>
      </c>
      <c r="C343" s="11" t="s">
        <v>851</v>
      </c>
      <c r="D343" s="11" t="s">
        <v>29</v>
      </c>
      <c r="E343" s="11" t="s">
        <v>131</v>
      </c>
      <c r="F343" s="11" t="s">
        <v>289</v>
      </c>
      <c r="G343" s="34" t="s">
        <v>132</v>
      </c>
      <c r="H343" s="25"/>
      <c r="I343" s="40" t="n">
        <v>0</v>
      </c>
      <c r="J343" s="34" t="s">
        <v>132</v>
      </c>
      <c r="K343" s="45"/>
      <c r="L343" s="34"/>
      <c r="M343" s="34" t="s">
        <v>142</v>
      </c>
      <c r="N343" s="11" t="s">
        <v>133</v>
      </c>
      <c r="O343" s="11" t="s">
        <v>57</v>
      </c>
      <c r="P343" s="11" t="s">
        <v>133</v>
      </c>
      <c r="Q343" s="11" t="s">
        <v>133</v>
      </c>
      <c r="R343" s="11" t="s">
        <v>133</v>
      </c>
      <c r="S343" s="46" t="s">
        <v>852</v>
      </c>
      <c r="T343" s="44" t="n">
        <f aca="false">IF($B343="","",COUNTA($N343:$R343)-COUNTIF($N343:$R343,"Not Invited"))</f>
        <v>1</v>
      </c>
      <c r="U343" s="44" t="n">
        <f aca="false">IF($B343="","",COUNTIF($N343:$R343,"Attended"))</f>
        <v>0</v>
      </c>
      <c r="V343" s="47" t="str">
        <f aca="false">IF($B343="","",_xlfn.TEXTJOIN(", ",TRUE(),IF($N343="Attended",Setup!$D$15,""),IF($O343="Attended",Setup!$D$16,""),IF($P343="Attended",Setup!$D$17,""),IF($Q343="Attended",Setup!$D$18,""),IF($R343="Attended",Setup!$D$19,"")))</f>
        <v/>
      </c>
      <c r="W343" s="48" t="str">
        <f aca="true">IF(OR($B343="",NOT(ISNUMBER($H343))),"",TODAY()-$H343)</f>
        <v/>
      </c>
      <c r="X343" s="47" t="str">
        <f aca="false">IF($B343="","",IF($U343&gt;0,"Event attendee",IF($G343="Yes","Met (no event)",IF($T343&gt;0,"Invited only",IF(OR($L343="Yes",$M343="Yes"),"Contacted only","Not yet contacted")))))</f>
        <v>Invited only</v>
      </c>
      <c r="Y343" s="47" t="n">
        <f aca="false">IF($B343="","",COUNTIF(c_Firm,"&lt;"&amp;$D343)+COUNTIFS(c_Firm,$D343,c_Name,"&lt;"&amp;$B343)+COUNTIFS($D$2:$D343,$D343,$B$2:$B343,$B343))</f>
        <v>342</v>
      </c>
      <c r="Z343" s="47" t="n">
        <f aca="false">IF($B343="","",IF(AND(OR(Contacts!$C$3="(All)",$D343=Contacts!$C$3),OR(Contacts!$E$3="(All)",$G343=Contacts!$E$3),OR(Contacts!$G$3="(All)",ISNUMBER(SEARCH(Contacts!$G$3,$V343))),OR(Contacts!$I$3="(All)",$X343=Contacts!$I$3),OR(Contacts!$K$3="",ISNUMBER(SEARCH(Contacts!$K$3,$B343&amp;" "&amp;$C343&amp;" "&amp;$D343&amp;" "&amp;$S343)))),1,0))</f>
        <v>1</v>
      </c>
      <c r="AA343" s="47" t="n">
        <f aca="false">IF($Z343=1,COUNTIFS(c_Pass,1,c_Sort,"&lt;="&amp;$Y343),"")</f>
        <v>342</v>
      </c>
      <c r="AB343" s="47" t="str">
        <f aca="false">IF(OR($G343&lt;&gt;"Yes",NOT(ISNUMBER($H343))),"",COUNTIFS(c_Met,"Yes",c_Date,"&lt;"&amp;$H343)+COUNTIFS($G$2:$G343,"Yes",$H$2:$H343,$H343))</f>
        <v/>
      </c>
    </row>
    <row r="344" customFormat="false" ht="15" hidden="false" customHeight="false" outlineLevel="0" collapsed="false">
      <c r="A344" s="44" t="n">
        <f aca="false">IF($B344="","",COUNTA($B$2:$B344))</f>
        <v>343</v>
      </c>
      <c r="B344" s="11" t="s">
        <v>853</v>
      </c>
      <c r="C344" s="11" t="s">
        <v>854</v>
      </c>
      <c r="D344" s="11" t="s">
        <v>29</v>
      </c>
      <c r="E344" s="11" t="s">
        <v>131</v>
      </c>
      <c r="F344" s="11" t="s">
        <v>141</v>
      </c>
      <c r="G344" s="34" t="s">
        <v>132</v>
      </c>
      <c r="H344" s="25"/>
      <c r="I344" s="40" t="n">
        <v>0</v>
      </c>
      <c r="J344" s="34" t="s">
        <v>132</v>
      </c>
      <c r="K344" s="45" t="n">
        <v>5000000</v>
      </c>
      <c r="L344" s="34"/>
      <c r="M344" s="34"/>
      <c r="N344" s="11" t="s">
        <v>55</v>
      </c>
      <c r="O344" s="11" t="s">
        <v>143</v>
      </c>
      <c r="P344" s="11" t="s">
        <v>133</v>
      </c>
      <c r="Q344" s="11" t="s">
        <v>133</v>
      </c>
      <c r="R344" s="11" t="s">
        <v>133</v>
      </c>
      <c r="S344" s="46"/>
      <c r="T344" s="44" t="n">
        <f aca="false">IF($B344="","",COUNTA($N344:$R344)-COUNTIF($N344:$R344,"Not Invited"))</f>
        <v>2</v>
      </c>
      <c r="U344" s="44" t="n">
        <f aca="false">IF($B344="","",COUNTIF($N344:$R344,"Attended"))</f>
        <v>1</v>
      </c>
      <c r="V344" s="47" t="str">
        <f aca="false">IF($B344="","",_xlfn.TEXTJOIN(", ",TRUE(),IF($N344="Attended",Setup!$D$15,""),IF($O344="Attended",Setup!$D$16,""),IF($P344="Attended",Setup!$D$17,""),IF($Q344="Attended",Setup!$D$18,""),IF($R344="Attended",Setup!$D$19,"")))</f>
        <v>Oct-25 Symposium</v>
      </c>
      <c r="W344" s="48" t="str">
        <f aca="true">IF(OR($B344="",NOT(ISNUMBER($H344))),"",TODAY()-$H344)</f>
        <v/>
      </c>
      <c r="X344" s="47" t="str">
        <f aca="false">IF($B344="","",IF($U344&gt;0,"Event attendee",IF($G344="Yes","Met (no event)",IF($T344&gt;0,"Invited only",IF(OR($L344="Yes",$M344="Yes"),"Contacted only","Not yet contacted")))))</f>
        <v>Event attendee</v>
      </c>
      <c r="Y344" s="47" t="n">
        <f aca="false">IF($B344="","",COUNTIF(c_Firm,"&lt;"&amp;$D344)+COUNTIFS(c_Firm,$D344,c_Name,"&lt;"&amp;$B344)+COUNTIFS($D$2:$D344,$D344,$B$2:$B344,$B344))</f>
        <v>343</v>
      </c>
      <c r="Z344" s="47" t="n">
        <f aca="false">IF($B344="","",IF(AND(OR(Contacts!$C$3="(All)",$D344=Contacts!$C$3),OR(Contacts!$E$3="(All)",$G344=Contacts!$E$3),OR(Contacts!$G$3="(All)",ISNUMBER(SEARCH(Contacts!$G$3,$V344))),OR(Contacts!$I$3="(All)",$X344=Contacts!$I$3),OR(Contacts!$K$3="",ISNUMBER(SEARCH(Contacts!$K$3,$B344&amp;" "&amp;$C344&amp;" "&amp;$D344&amp;" "&amp;$S344)))),1,0))</f>
        <v>1</v>
      </c>
      <c r="AA344" s="47" t="n">
        <f aca="false">IF($Z344=1,COUNTIFS(c_Pass,1,c_Sort,"&lt;="&amp;$Y344),"")</f>
        <v>343</v>
      </c>
      <c r="AB344" s="47" t="str">
        <f aca="false">IF(OR($G344&lt;&gt;"Yes",NOT(ISNUMBER($H344))),"",COUNTIFS(c_Met,"Yes",c_Date,"&lt;"&amp;$H344)+COUNTIFS($G$2:$G344,"Yes",$H$2:$H344,$H344))</f>
        <v/>
      </c>
    </row>
    <row r="345" customFormat="false" ht="15" hidden="false" customHeight="false" outlineLevel="0" collapsed="false">
      <c r="A345" s="44" t="n">
        <f aca="false">IF($B345="","",COUNTA($B$2:$B345))</f>
        <v>344</v>
      </c>
      <c r="B345" s="11" t="s">
        <v>855</v>
      </c>
      <c r="C345" s="11" t="s">
        <v>856</v>
      </c>
      <c r="D345" s="11" t="s">
        <v>29</v>
      </c>
      <c r="E345" s="11" t="s">
        <v>131</v>
      </c>
      <c r="F345" s="11" t="s">
        <v>207</v>
      </c>
      <c r="G345" s="34" t="s">
        <v>142</v>
      </c>
      <c r="H345" s="25" t="n">
        <v>45995</v>
      </c>
      <c r="I345" s="40" t="n">
        <v>1</v>
      </c>
      <c r="J345" s="34" t="s">
        <v>142</v>
      </c>
      <c r="K345" s="45" t="n">
        <v>30000000</v>
      </c>
      <c r="L345" s="34"/>
      <c r="M345" s="34" t="s">
        <v>132</v>
      </c>
      <c r="N345" s="11" t="s">
        <v>55</v>
      </c>
      <c r="O345" s="11" t="s">
        <v>55</v>
      </c>
      <c r="P345" s="11" t="s">
        <v>133</v>
      </c>
      <c r="Q345" s="11" t="s">
        <v>133</v>
      </c>
      <c r="R345" s="11" t="s">
        <v>133</v>
      </c>
      <c r="S345" s="46" t="s">
        <v>857</v>
      </c>
      <c r="T345" s="44" t="n">
        <f aca="false">IF($B345="","",COUNTA($N345:$R345)-COUNTIF($N345:$R345,"Not Invited"))</f>
        <v>2</v>
      </c>
      <c r="U345" s="44" t="n">
        <f aca="false">IF($B345="","",COUNTIF($N345:$R345,"Attended"))</f>
        <v>2</v>
      </c>
      <c r="V345" s="47" t="str">
        <f aca="false">IF($B345="","",_xlfn.TEXTJOIN(", ",TRUE(),IF($N345="Attended",Setup!$D$15,""),IF($O345="Attended",Setup!$D$16,""),IF($P345="Attended",Setup!$D$17,""),IF($Q345="Attended",Setup!$D$18,""),IF($R345="Attended",Setup!$D$19,"")))</f>
        <v>Oct-25 Symposium, May-26 Symposium</v>
      </c>
      <c r="W345" s="48" t="n">
        <f aca="true">IF(OR($B345="",NOT(ISNUMBER($H345))),"",TODAY()-$H345)</f>
        <v>246</v>
      </c>
      <c r="X345" s="47" t="str">
        <f aca="false">IF($B345="","",IF($U345&gt;0,"Event attendee",IF($G345="Yes","Met (no event)",IF($T345&gt;0,"Invited only",IF(OR($L345="Yes",$M345="Yes"),"Contacted only","Not yet contacted")))))</f>
        <v>Event attendee</v>
      </c>
      <c r="Y345" s="47" t="n">
        <f aca="false">IF($B345="","",COUNTIF(c_Firm,"&lt;"&amp;$D345)+COUNTIFS(c_Firm,$D345,c_Name,"&lt;"&amp;$B345)+COUNTIFS($D$2:$D345,$D345,$B$2:$B345,$B345))</f>
        <v>344</v>
      </c>
      <c r="Z345" s="47" t="n">
        <f aca="false">IF($B345="","",IF(AND(OR(Contacts!$C$3="(All)",$D345=Contacts!$C$3),OR(Contacts!$E$3="(All)",$G345=Contacts!$E$3),OR(Contacts!$G$3="(All)",ISNUMBER(SEARCH(Contacts!$G$3,$V345))),OR(Contacts!$I$3="(All)",$X345=Contacts!$I$3),OR(Contacts!$K$3="",ISNUMBER(SEARCH(Contacts!$K$3,$B345&amp;" "&amp;$C345&amp;" "&amp;$D345&amp;" "&amp;$S345)))),1,0))</f>
        <v>1</v>
      </c>
      <c r="AA345" s="47" t="n">
        <f aca="false">IF($Z345=1,COUNTIFS(c_Pass,1,c_Sort,"&lt;="&amp;$Y345),"")</f>
        <v>344</v>
      </c>
      <c r="AB345" s="47" t="n">
        <f aca="false">IF(OR($G345&lt;&gt;"Yes",NOT(ISNUMBER($H345))),"",COUNTIFS(c_Met,"Yes",c_Date,"&lt;"&amp;$H345)+COUNTIFS($G$2:$G345,"Yes",$H$2:$H345,$H345))</f>
        <v>38</v>
      </c>
    </row>
    <row r="346" customFormat="false" ht="15" hidden="false" customHeight="false" outlineLevel="0" collapsed="false">
      <c r="A346" s="44" t="n">
        <f aca="false">IF($B346="","",COUNTA($B$2:$B346))</f>
        <v>345</v>
      </c>
      <c r="B346" s="11" t="s">
        <v>858</v>
      </c>
      <c r="C346" s="11" t="s">
        <v>859</v>
      </c>
      <c r="D346" s="11" t="s">
        <v>29</v>
      </c>
      <c r="E346" s="11" t="s">
        <v>131</v>
      </c>
      <c r="F346" s="11" t="s">
        <v>66</v>
      </c>
      <c r="G346" s="34" t="s">
        <v>132</v>
      </c>
      <c r="H346" s="25"/>
      <c r="I346" s="40" t="n">
        <v>0</v>
      </c>
      <c r="J346" s="34" t="s">
        <v>132</v>
      </c>
      <c r="K346" s="45"/>
      <c r="L346" s="34"/>
      <c r="M346" s="34"/>
      <c r="N346" s="11" t="s">
        <v>133</v>
      </c>
      <c r="O346" s="11" t="s">
        <v>55</v>
      </c>
      <c r="P346" s="11" t="s">
        <v>133</v>
      </c>
      <c r="Q346" s="11" t="s">
        <v>133</v>
      </c>
      <c r="R346" s="11" t="s">
        <v>133</v>
      </c>
      <c r="S346" s="46"/>
      <c r="T346" s="44" t="n">
        <f aca="false">IF($B346="","",COUNTA($N346:$R346)-COUNTIF($N346:$R346,"Not Invited"))</f>
        <v>1</v>
      </c>
      <c r="U346" s="44" t="n">
        <f aca="false">IF($B346="","",COUNTIF($N346:$R346,"Attended"))</f>
        <v>1</v>
      </c>
      <c r="V346" s="47" t="str">
        <f aca="false">IF($B346="","",_xlfn.TEXTJOIN(", ",TRUE(),IF($N346="Attended",Setup!$D$15,""),IF($O346="Attended",Setup!$D$16,""),IF($P346="Attended",Setup!$D$17,""),IF($Q346="Attended",Setup!$D$18,""),IF($R346="Attended",Setup!$D$19,"")))</f>
        <v>May-26 Symposium</v>
      </c>
      <c r="W346" s="48" t="str">
        <f aca="true">IF(OR($B346="",NOT(ISNUMBER($H346))),"",TODAY()-$H346)</f>
        <v/>
      </c>
      <c r="X346" s="47" t="str">
        <f aca="false">IF($B346="","",IF($U346&gt;0,"Event attendee",IF($G346="Yes","Met (no event)",IF($T346&gt;0,"Invited only",IF(OR($L346="Yes",$M346="Yes"),"Contacted only","Not yet contacted")))))</f>
        <v>Event attendee</v>
      </c>
      <c r="Y346" s="47" t="n">
        <f aca="false">IF($B346="","",COUNTIF(c_Firm,"&lt;"&amp;$D346)+COUNTIFS(c_Firm,$D346,c_Name,"&lt;"&amp;$B346)+COUNTIFS($D$2:$D346,$D346,$B$2:$B346,$B346))</f>
        <v>345</v>
      </c>
      <c r="Z346" s="47" t="n">
        <f aca="false">IF($B346="","",IF(AND(OR(Contacts!$C$3="(All)",$D346=Contacts!$C$3),OR(Contacts!$E$3="(All)",$G346=Contacts!$E$3),OR(Contacts!$G$3="(All)",ISNUMBER(SEARCH(Contacts!$G$3,$V346))),OR(Contacts!$I$3="(All)",$X346=Contacts!$I$3),OR(Contacts!$K$3="",ISNUMBER(SEARCH(Contacts!$K$3,$B346&amp;" "&amp;$C346&amp;" "&amp;$D346&amp;" "&amp;$S346)))),1,0))</f>
        <v>1</v>
      </c>
      <c r="AA346" s="47" t="n">
        <f aca="false">IF($Z346=1,COUNTIFS(c_Pass,1,c_Sort,"&lt;="&amp;$Y346),"")</f>
        <v>345</v>
      </c>
      <c r="AB346" s="47" t="str">
        <f aca="false">IF(OR($G346&lt;&gt;"Yes",NOT(ISNUMBER($H346))),"",COUNTIFS(c_Met,"Yes",c_Date,"&lt;"&amp;$H346)+COUNTIFS($G$2:$G346,"Yes",$H$2:$H346,$H346))</f>
        <v/>
      </c>
    </row>
    <row r="347" customFormat="false" ht="15" hidden="false" customHeight="false" outlineLevel="0" collapsed="false">
      <c r="A347" s="44" t="n">
        <f aca="false">IF($B347="","",COUNTA($B$2:$B347))</f>
        <v>346</v>
      </c>
      <c r="B347" s="11" t="s">
        <v>860</v>
      </c>
      <c r="C347" s="11" t="s">
        <v>861</v>
      </c>
      <c r="D347" s="11" t="s">
        <v>29</v>
      </c>
      <c r="E347" s="11" t="s">
        <v>131</v>
      </c>
      <c r="F347" s="11" t="s">
        <v>141</v>
      </c>
      <c r="G347" s="34" t="s">
        <v>132</v>
      </c>
      <c r="H347" s="25"/>
      <c r="I347" s="40" t="n">
        <v>0</v>
      </c>
      <c r="J347" s="34" t="s">
        <v>132</v>
      </c>
      <c r="K347" s="45" t="n">
        <v>5000000</v>
      </c>
      <c r="L347" s="34"/>
      <c r="M347" s="34"/>
      <c r="N347" s="11" t="s">
        <v>55</v>
      </c>
      <c r="O347" s="11" t="s">
        <v>143</v>
      </c>
      <c r="P347" s="11" t="s">
        <v>133</v>
      </c>
      <c r="Q347" s="11" t="s">
        <v>133</v>
      </c>
      <c r="R347" s="11" t="s">
        <v>133</v>
      </c>
      <c r="S347" s="46"/>
      <c r="T347" s="44" t="n">
        <f aca="false">IF($B347="","",COUNTA($N347:$R347)-COUNTIF($N347:$R347,"Not Invited"))</f>
        <v>2</v>
      </c>
      <c r="U347" s="44" t="n">
        <f aca="false">IF($B347="","",COUNTIF($N347:$R347,"Attended"))</f>
        <v>1</v>
      </c>
      <c r="V347" s="47" t="str">
        <f aca="false">IF($B347="","",_xlfn.TEXTJOIN(", ",TRUE(),IF($N347="Attended",Setup!$D$15,""),IF($O347="Attended",Setup!$D$16,""),IF($P347="Attended",Setup!$D$17,""),IF($Q347="Attended",Setup!$D$18,""),IF($R347="Attended",Setup!$D$19,"")))</f>
        <v>Oct-25 Symposium</v>
      </c>
      <c r="W347" s="48" t="str">
        <f aca="true">IF(OR($B347="",NOT(ISNUMBER($H347))),"",TODAY()-$H347)</f>
        <v/>
      </c>
      <c r="X347" s="47" t="str">
        <f aca="false">IF($B347="","",IF($U347&gt;0,"Event attendee",IF($G347="Yes","Met (no event)",IF($T347&gt;0,"Invited only",IF(OR($L347="Yes",$M347="Yes"),"Contacted only","Not yet contacted")))))</f>
        <v>Event attendee</v>
      </c>
      <c r="Y347" s="47" t="n">
        <f aca="false">IF($B347="","",COUNTIF(c_Firm,"&lt;"&amp;$D347)+COUNTIFS(c_Firm,$D347,c_Name,"&lt;"&amp;$B347)+COUNTIFS($D$2:$D347,$D347,$B$2:$B347,$B347))</f>
        <v>346</v>
      </c>
      <c r="Z347" s="47" t="n">
        <f aca="false">IF($B347="","",IF(AND(OR(Contacts!$C$3="(All)",$D347=Contacts!$C$3),OR(Contacts!$E$3="(All)",$G347=Contacts!$E$3),OR(Contacts!$G$3="(All)",ISNUMBER(SEARCH(Contacts!$G$3,$V347))),OR(Contacts!$I$3="(All)",$X347=Contacts!$I$3),OR(Contacts!$K$3="",ISNUMBER(SEARCH(Contacts!$K$3,$B347&amp;" "&amp;$C347&amp;" "&amp;$D347&amp;" "&amp;$S347)))),1,0))</f>
        <v>1</v>
      </c>
      <c r="AA347" s="47" t="n">
        <f aca="false">IF($Z347=1,COUNTIFS(c_Pass,1,c_Sort,"&lt;="&amp;$Y347),"")</f>
        <v>346</v>
      </c>
      <c r="AB347" s="47" t="str">
        <f aca="false">IF(OR($G347&lt;&gt;"Yes",NOT(ISNUMBER($H347))),"",COUNTIFS(c_Met,"Yes",c_Date,"&lt;"&amp;$H347)+COUNTIFS($G$2:$G347,"Yes",$H$2:$H347,$H347))</f>
        <v/>
      </c>
    </row>
    <row r="348" customFormat="false" ht="15" hidden="false" customHeight="false" outlineLevel="0" collapsed="false">
      <c r="A348" s="44" t="n">
        <f aca="false">IF($B348="","",COUNTA($B$2:$B348))</f>
        <v>347</v>
      </c>
      <c r="B348" s="11" t="s">
        <v>862</v>
      </c>
      <c r="C348" s="11" t="s">
        <v>863</v>
      </c>
      <c r="D348" s="11" t="s">
        <v>29</v>
      </c>
      <c r="E348" s="11" t="s">
        <v>131</v>
      </c>
      <c r="F348" s="11" t="s">
        <v>66</v>
      </c>
      <c r="G348" s="34" t="s">
        <v>132</v>
      </c>
      <c r="H348" s="25"/>
      <c r="I348" s="40" t="n">
        <v>0</v>
      </c>
      <c r="J348" s="34" t="s">
        <v>132</v>
      </c>
      <c r="K348" s="45"/>
      <c r="L348" s="34"/>
      <c r="M348" s="34"/>
      <c r="N348" s="11" t="s">
        <v>133</v>
      </c>
      <c r="O348" s="11" t="s">
        <v>55</v>
      </c>
      <c r="P348" s="11" t="s">
        <v>133</v>
      </c>
      <c r="Q348" s="11" t="s">
        <v>133</v>
      </c>
      <c r="R348" s="11" t="s">
        <v>133</v>
      </c>
      <c r="S348" s="46"/>
      <c r="T348" s="44" t="n">
        <f aca="false">IF($B348="","",COUNTA($N348:$R348)-COUNTIF($N348:$R348,"Not Invited"))</f>
        <v>1</v>
      </c>
      <c r="U348" s="44" t="n">
        <f aca="false">IF($B348="","",COUNTIF($N348:$R348,"Attended"))</f>
        <v>1</v>
      </c>
      <c r="V348" s="47" t="str">
        <f aca="false">IF($B348="","",_xlfn.TEXTJOIN(", ",TRUE(),IF($N348="Attended",Setup!$D$15,""),IF($O348="Attended",Setup!$D$16,""),IF($P348="Attended",Setup!$D$17,""),IF($Q348="Attended",Setup!$D$18,""),IF($R348="Attended",Setup!$D$19,"")))</f>
        <v>May-26 Symposium</v>
      </c>
      <c r="W348" s="48" t="str">
        <f aca="true">IF(OR($B348="",NOT(ISNUMBER($H348))),"",TODAY()-$H348)</f>
        <v/>
      </c>
      <c r="X348" s="47" t="str">
        <f aca="false">IF($B348="","",IF($U348&gt;0,"Event attendee",IF($G348="Yes","Met (no event)",IF($T348&gt;0,"Invited only",IF(OR($L348="Yes",$M348="Yes"),"Contacted only","Not yet contacted")))))</f>
        <v>Event attendee</v>
      </c>
      <c r="Y348" s="47" t="n">
        <f aca="false">IF($B348="","",COUNTIF(c_Firm,"&lt;"&amp;$D348)+COUNTIFS(c_Firm,$D348,c_Name,"&lt;"&amp;$B348)+COUNTIFS($D$2:$D348,$D348,$B$2:$B348,$B348))</f>
        <v>347</v>
      </c>
      <c r="Z348" s="47" t="n">
        <f aca="false">IF($B348="","",IF(AND(OR(Contacts!$C$3="(All)",$D348=Contacts!$C$3),OR(Contacts!$E$3="(All)",$G348=Contacts!$E$3),OR(Contacts!$G$3="(All)",ISNUMBER(SEARCH(Contacts!$G$3,$V348))),OR(Contacts!$I$3="(All)",$X348=Contacts!$I$3),OR(Contacts!$K$3="",ISNUMBER(SEARCH(Contacts!$K$3,$B348&amp;" "&amp;$C348&amp;" "&amp;$D348&amp;" "&amp;$S348)))),1,0))</f>
        <v>1</v>
      </c>
      <c r="AA348" s="47" t="n">
        <f aca="false">IF($Z348=1,COUNTIFS(c_Pass,1,c_Sort,"&lt;="&amp;$Y348),"")</f>
        <v>347</v>
      </c>
      <c r="AB348" s="47" t="str">
        <f aca="false">IF(OR($G348&lt;&gt;"Yes",NOT(ISNUMBER($H348))),"",COUNTIFS(c_Met,"Yes",c_Date,"&lt;"&amp;$H348)+COUNTIFS($G$2:$G348,"Yes",$H$2:$H348,$H348))</f>
        <v/>
      </c>
    </row>
    <row r="349" customFormat="false" ht="15" hidden="false" customHeight="false" outlineLevel="0" collapsed="false">
      <c r="A349" s="44" t="n">
        <f aca="false">IF($B349="","",COUNTA($B$2:$B349))</f>
        <v>348</v>
      </c>
      <c r="B349" s="11" t="s">
        <v>864</v>
      </c>
      <c r="C349" s="11"/>
      <c r="D349" s="11" t="s">
        <v>29</v>
      </c>
      <c r="E349" s="11" t="s">
        <v>193</v>
      </c>
      <c r="F349" s="11" t="s">
        <v>68</v>
      </c>
      <c r="G349" s="34" t="s">
        <v>132</v>
      </c>
      <c r="H349" s="25"/>
      <c r="I349" s="40" t="n">
        <v>0</v>
      </c>
      <c r="J349" s="34" t="s">
        <v>132</v>
      </c>
      <c r="K349" s="45"/>
      <c r="L349" s="34"/>
      <c r="M349" s="34" t="s">
        <v>142</v>
      </c>
      <c r="N349" s="11" t="s">
        <v>133</v>
      </c>
      <c r="O349" s="11" t="s">
        <v>133</v>
      </c>
      <c r="P349" s="11" t="s">
        <v>133</v>
      </c>
      <c r="Q349" s="11" t="s">
        <v>133</v>
      </c>
      <c r="R349" s="11" t="s">
        <v>133</v>
      </c>
      <c r="S349" s="46" t="s">
        <v>865</v>
      </c>
      <c r="T349" s="44" t="n">
        <f aca="false">IF($B349="","",COUNTA($N349:$R349)-COUNTIF($N349:$R349,"Not Invited"))</f>
        <v>0</v>
      </c>
      <c r="U349" s="44" t="n">
        <f aca="false">IF($B349="","",COUNTIF($N349:$R349,"Attended"))</f>
        <v>0</v>
      </c>
      <c r="V349" s="47" t="str">
        <f aca="false">IF($B349="","",_xlfn.TEXTJOIN(", ",TRUE(),IF($N349="Attended",Setup!$D$15,""),IF($O349="Attended",Setup!$D$16,""),IF($P349="Attended",Setup!$D$17,""),IF($Q349="Attended",Setup!$D$18,""),IF($R349="Attended",Setup!$D$19,"")))</f>
        <v/>
      </c>
      <c r="W349" s="48" t="str">
        <f aca="true">IF(OR($B349="",NOT(ISNUMBER($H349))),"",TODAY()-$H349)</f>
        <v/>
      </c>
      <c r="X349" s="47" t="str">
        <f aca="false">IF($B349="","",IF($U349&gt;0,"Event attendee",IF($G349="Yes","Met (no event)",IF($T349&gt;0,"Invited only",IF(OR($L349="Yes",$M349="Yes"),"Contacted only","Not yet contacted")))))</f>
        <v>Contacted only</v>
      </c>
      <c r="Y349" s="47" t="n">
        <f aca="false">IF($B349="","",COUNTIF(c_Firm,"&lt;"&amp;$D349)+COUNTIFS(c_Firm,$D349,c_Name,"&lt;"&amp;$B349)+COUNTIFS($D$2:$D349,$D349,$B$2:$B349,$B349))</f>
        <v>348</v>
      </c>
      <c r="Z349" s="47" t="n">
        <f aca="false">IF($B349="","",IF(AND(OR(Contacts!$C$3="(All)",$D349=Contacts!$C$3),OR(Contacts!$E$3="(All)",$G349=Contacts!$E$3),OR(Contacts!$G$3="(All)",ISNUMBER(SEARCH(Contacts!$G$3,$V349))),OR(Contacts!$I$3="(All)",$X349=Contacts!$I$3),OR(Contacts!$K$3="",ISNUMBER(SEARCH(Contacts!$K$3,$B349&amp;" "&amp;$C349&amp;" "&amp;$D349&amp;" "&amp;$S349)))),1,0))</f>
        <v>1</v>
      </c>
      <c r="AA349" s="47" t="n">
        <f aca="false">IF($Z349=1,COUNTIFS(c_Pass,1,c_Sort,"&lt;="&amp;$Y349),"")</f>
        <v>348</v>
      </c>
      <c r="AB349" s="47" t="str">
        <f aca="false">IF(OR($G349&lt;&gt;"Yes",NOT(ISNUMBER($H349))),"",COUNTIFS(c_Met,"Yes",c_Date,"&lt;"&amp;$H349)+COUNTIFS($G$2:$G349,"Yes",$H$2:$H349,$H349))</f>
        <v/>
      </c>
    </row>
    <row r="350" customFormat="false" ht="15" hidden="false" customHeight="false" outlineLevel="0" collapsed="false">
      <c r="A350" s="44" t="n">
        <f aca="false">IF($B350="","",COUNTA($B$2:$B350))</f>
        <v>349</v>
      </c>
      <c r="B350" s="11" t="s">
        <v>866</v>
      </c>
      <c r="C350" s="11" t="s">
        <v>867</v>
      </c>
      <c r="D350" s="11" t="s">
        <v>29</v>
      </c>
      <c r="E350" s="11" t="s">
        <v>131</v>
      </c>
      <c r="F350" s="11" t="s">
        <v>66</v>
      </c>
      <c r="G350" s="34" t="s">
        <v>132</v>
      </c>
      <c r="H350" s="25"/>
      <c r="I350" s="40" t="n">
        <v>0</v>
      </c>
      <c r="J350" s="34" t="s">
        <v>132</v>
      </c>
      <c r="K350" s="45"/>
      <c r="L350" s="34"/>
      <c r="M350" s="34"/>
      <c r="N350" s="11" t="s">
        <v>133</v>
      </c>
      <c r="O350" s="11" t="s">
        <v>57</v>
      </c>
      <c r="P350" s="11" t="s">
        <v>133</v>
      </c>
      <c r="Q350" s="11" t="s">
        <v>133</v>
      </c>
      <c r="R350" s="11" t="s">
        <v>133</v>
      </c>
      <c r="S350" s="46" t="s">
        <v>146</v>
      </c>
      <c r="T350" s="44" t="n">
        <f aca="false">IF($B350="","",COUNTA($N350:$R350)-COUNTIF($N350:$R350,"Not Invited"))</f>
        <v>1</v>
      </c>
      <c r="U350" s="44" t="n">
        <f aca="false">IF($B350="","",COUNTIF($N350:$R350,"Attended"))</f>
        <v>0</v>
      </c>
      <c r="V350" s="47" t="str">
        <f aca="false">IF($B350="","",_xlfn.TEXTJOIN(", ",TRUE(),IF($N350="Attended",Setup!$D$15,""),IF($O350="Attended",Setup!$D$16,""),IF($P350="Attended",Setup!$D$17,""),IF($Q350="Attended",Setup!$D$18,""),IF($R350="Attended",Setup!$D$19,"")))</f>
        <v/>
      </c>
      <c r="W350" s="48" t="str">
        <f aca="true">IF(OR($B350="",NOT(ISNUMBER($H350))),"",TODAY()-$H350)</f>
        <v/>
      </c>
      <c r="X350" s="47" t="str">
        <f aca="false">IF($B350="","",IF($U350&gt;0,"Event attendee",IF($G350="Yes","Met (no event)",IF($T350&gt;0,"Invited only",IF(OR($L350="Yes",$M350="Yes"),"Contacted only","Not yet contacted")))))</f>
        <v>Invited only</v>
      </c>
      <c r="Y350" s="47" t="n">
        <f aca="false">IF($B350="","",COUNTIF(c_Firm,"&lt;"&amp;$D350)+COUNTIFS(c_Firm,$D350,c_Name,"&lt;"&amp;$B350)+COUNTIFS($D$2:$D350,$D350,$B$2:$B350,$B350))</f>
        <v>349</v>
      </c>
      <c r="Z350" s="47" t="n">
        <f aca="false">IF($B350="","",IF(AND(OR(Contacts!$C$3="(All)",$D350=Contacts!$C$3),OR(Contacts!$E$3="(All)",$G350=Contacts!$E$3),OR(Contacts!$G$3="(All)",ISNUMBER(SEARCH(Contacts!$G$3,$V350))),OR(Contacts!$I$3="(All)",$X350=Contacts!$I$3),OR(Contacts!$K$3="",ISNUMBER(SEARCH(Contacts!$K$3,$B350&amp;" "&amp;$C350&amp;" "&amp;$D350&amp;" "&amp;$S350)))),1,0))</f>
        <v>1</v>
      </c>
      <c r="AA350" s="47" t="n">
        <f aca="false">IF($Z350=1,COUNTIFS(c_Pass,1,c_Sort,"&lt;="&amp;$Y350),"")</f>
        <v>349</v>
      </c>
      <c r="AB350" s="47" t="str">
        <f aca="false">IF(OR($G350&lt;&gt;"Yes",NOT(ISNUMBER($H350))),"",COUNTIFS(c_Met,"Yes",c_Date,"&lt;"&amp;$H350)+COUNTIFS($G$2:$G350,"Yes",$H$2:$H350,$H350))</f>
        <v/>
      </c>
    </row>
    <row r="351" customFormat="false" ht="15" hidden="false" customHeight="false" outlineLevel="0" collapsed="false">
      <c r="A351" s="44" t="n">
        <f aca="false">IF($B351="","",COUNTA($B$2:$B351))</f>
        <v>350</v>
      </c>
      <c r="B351" s="11" t="s">
        <v>868</v>
      </c>
      <c r="C351" s="11"/>
      <c r="D351" s="11" t="s">
        <v>29</v>
      </c>
      <c r="E351" s="11" t="s">
        <v>193</v>
      </c>
      <c r="F351" s="11" t="s">
        <v>68</v>
      </c>
      <c r="G351" s="34" t="s">
        <v>132</v>
      </c>
      <c r="H351" s="25"/>
      <c r="I351" s="40" t="n">
        <v>0</v>
      </c>
      <c r="J351" s="34" t="s">
        <v>132</v>
      </c>
      <c r="K351" s="45"/>
      <c r="L351" s="34"/>
      <c r="M351" s="34" t="s">
        <v>142</v>
      </c>
      <c r="N351" s="11" t="s">
        <v>133</v>
      </c>
      <c r="O351" s="11" t="s">
        <v>133</v>
      </c>
      <c r="P351" s="11" t="s">
        <v>133</v>
      </c>
      <c r="Q351" s="11" t="s">
        <v>133</v>
      </c>
      <c r="R351" s="11" t="s">
        <v>133</v>
      </c>
      <c r="S351" s="46" t="s">
        <v>869</v>
      </c>
      <c r="T351" s="44" t="n">
        <f aca="false">IF($B351="","",COUNTA($N351:$R351)-COUNTIF($N351:$R351,"Not Invited"))</f>
        <v>0</v>
      </c>
      <c r="U351" s="44" t="n">
        <f aca="false">IF($B351="","",COUNTIF($N351:$R351,"Attended"))</f>
        <v>0</v>
      </c>
      <c r="V351" s="47" t="str">
        <f aca="false">IF($B351="","",_xlfn.TEXTJOIN(", ",TRUE(),IF($N351="Attended",Setup!$D$15,""),IF($O351="Attended",Setup!$D$16,""),IF($P351="Attended",Setup!$D$17,""),IF($Q351="Attended",Setup!$D$18,""),IF($R351="Attended",Setup!$D$19,"")))</f>
        <v/>
      </c>
      <c r="W351" s="48" t="str">
        <f aca="true">IF(OR($B351="",NOT(ISNUMBER($H351))),"",TODAY()-$H351)</f>
        <v/>
      </c>
      <c r="X351" s="47" t="str">
        <f aca="false">IF($B351="","",IF($U351&gt;0,"Event attendee",IF($G351="Yes","Met (no event)",IF($T351&gt;0,"Invited only",IF(OR($L351="Yes",$M351="Yes"),"Contacted only","Not yet contacted")))))</f>
        <v>Contacted only</v>
      </c>
      <c r="Y351" s="47" t="n">
        <f aca="false">IF($B351="","",COUNTIF(c_Firm,"&lt;"&amp;$D351)+COUNTIFS(c_Firm,$D351,c_Name,"&lt;"&amp;$B351)+COUNTIFS($D$2:$D351,$D351,$B$2:$B351,$B351))</f>
        <v>350</v>
      </c>
      <c r="Z351" s="47" t="n">
        <f aca="false">IF($B351="","",IF(AND(OR(Contacts!$C$3="(All)",$D351=Contacts!$C$3),OR(Contacts!$E$3="(All)",$G351=Contacts!$E$3),OR(Contacts!$G$3="(All)",ISNUMBER(SEARCH(Contacts!$G$3,$V351))),OR(Contacts!$I$3="(All)",$X351=Contacts!$I$3),OR(Contacts!$K$3="",ISNUMBER(SEARCH(Contacts!$K$3,$B351&amp;" "&amp;$C351&amp;" "&amp;$D351&amp;" "&amp;$S351)))),1,0))</f>
        <v>1</v>
      </c>
      <c r="AA351" s="47" t="n">
        <f aca="false">IF($Z351=1,COUNTIFS(c_Pass,1,c_Sort,"&lt;="&amp;$Y351),"")</f>
        <v>350</v>
      </c>
      <c r="AB351" s="47" t="str">
        <f aca="false">IF(OR($G351&lt;&gt;"Yes",NOT(ISNUMBER($H351))),"",COUNTIFS(c_Met,"Yes",c_Date,"&lt;"&amp;$H351)+COUNTIFS($G$2:$G351,"Yes",$H$2:$H351,$H351))</f>
        <v/>
      </c>
    </row>
    <row r="352" customFormat="false" ht="15" hidden="false" customHeight="false" outlineLevel="0" collapsed="false">
      <c r="A352" s="44" t="n">
        <f aca="false">IF($B352="","",COUNTA($B$2:$B352))</f>
        <v>351</v>
      </c>
      <c r="B352" s="11" t="s">
        <v>870</v>
      </c>
      <c r="C352" s="11" t="s">
        <v>871</v>
      </c>
      <c r="D352" s="11" t="s">
        <v>29</v>
      </c>
      <c r="E352" s="11" t="s">
        <v>131</v>
      </c>
      <c r="F352" s="11" t="s">
        <v>141</v>
      </c>
      <c r="G352" s="34" t="s">
        <v>132</v>
      </c>
      <c r="H352" s="25"/>
      <c r="I352" s="40" t="n">
        <v>0</v>
      </c>
      <c r="J352" s="34" t="s">
        <v>132</v>
      </c>
      <c r="K352" s="45" t="n">
        <v>5000000</v>
      </c>
      <c r="L352" s="34"/>
      <c r="M352" s="34"/>
      <c r="N352" s="11" t="s">
        <v>55</v>
      </c>
      <c r="O352" s="11" t="s">
        <v>57</v>
      </c>
      <c r="P352" s="11" t="s">
        <v>133</v>
      </c>
      <c r="Q352" s="11" t="s">
        <v>133</v>
      </c>
      <c r="R352" s="11" t="s">
        <v>133</v>
      </c>
      <c r="S352" s="46" t="s">
        <v>146</v>
      </c>
      <c r="T352" s="44" t="n">
        <f aca="false">IF($B352="","",COUNTA($N352:$R352)-COUNTIF($N352:$R352,"Not Invited"))</f>
        <v>2</v>
      </c>
      <c r="U352" s="44" t="n">
        <f aca="false">IF($B352="","",COUNTIF($N352:$R352,"Attended"))</f>
        <v>1</v>
      </c>
      <c r="V352" s="47" t="str">
        <f aca="false">IF($B352="","",_xlfn.TEXTJOIN(", ",TRUE(),IF($N352="Attended",Setup!$D$15,""),IF($O352="Attended",Setup!$D$16,""),IF($P352="Attended",Setup!$D$17,""),IF($Q352="Attended",Setup!$D$18,""),IF($R352="Attended",Setup!$D$19,"")))</f>
        <v>Oct-25 Symposium</v>
      </c>
      <c r="W352" s="48" t="str">
        <f aca="true">IF(OR($B352="",NOT(ISNUMBER($H352))),"",TODAY()-$H352)</f>
        <v/>
      </c>
      <c r="X352" s="47" t="str">
        <f aca="false">IF($B352="","",IF($U352&gt;0,"Event attendee",IF($G352="Yes","Met (no event)",IF($T352&gt;0,"Invited only",IF(OR($L352="Yes",$M352="Yes"),"Contacted only","Not yet contacted")))))</f>
        <v>Event attendee</v>
      </c>
      <c r="Y352" s="47" t="n">
        <f aca="false">IF($B352="","",COUNTIF(c_Firm,"&lt;"&amp;$D352)+COUNTIFS(c_Firm,$D352,c_Name,"&lt;"&amp;$B352)+COUNTIFS($D$2:$D352,$D352,$B$2:$B352,$B352))</f>
        <v>351</v>
      </c>
      <c r="Z352" s="47" t="n">
        <f aca="false">IF($B352="","",IF(AND(OR(Contacts!$C$3="(All)",$D352=Contacts!$C$3),OR(Contacts!$E$3="(All)",$G352=Contacts!$E$3),OR(Contacts!$G$3="(All)",ISNUMBER(SEARCH(Contacts!$G$3,$V352))),OR(Contacts!$I$3="(All)",$X352=Contacts!$I$3),OR(Contacts!$K$3="",ISNUMBER(SEARCH(Contacts!$K$3,$B352&amp;" "&amp;$C352&amp;" "&amp;$D352&amp;" "&amp;$S352)))),1,0))</f>
        <v>1</v>
      </c>
      <c r="AA352" s="47" t="n">
        <f aca="false">IF($Z352=1,COUNTIFS(c_Pass,1,c_Sort,"&lt;="&amp;$Y352),"")</f>
        <v>351</v>
      </c>
      <c r="AB352" s="47" t="str">
        <f aca="false">IF(OR($G352&lt;&gt;"Yes",NOT(ISNUMBER($H352))),"",COUNTIFS(c_Met,"Yes",c_Date,"&lt;"&amp;$H352)+COUNTIFS($G$2:$G352,"Yes",$H$2:$H352,$H352))</f>
        <v/>
      </c>
    </row>
    <row r="353" customFormat="false" ht="15" hidden="false" customHeight="false" outlineLevel="0" collapsed="false">
      <c r="A353" s="44" t="n">
        <f aca="false">IF($B353="","",COUNTA($B$2:$B353))</f>
        <v>352</v>
      </c>
      <c r="B353" s="11" t="s">
        <v>872</v>
      </c>
      <c r="C353" s="11" t="s">
        <v>873</v>
      </c>
      <c r="D353" s="11" t="s">
        <v>29</v>
      </c>
      <c r="E353" s="11" t="s">
        <v>131</v>
      </c>
      <c r="F353" s="11" t="s">
        <v>66</v>
      </c>
      <c r="G353" s="34" t="s">
        <v>132</v>
      </c>
      <c r="H353" s="25"/>
      <c r="I353" s="40" t="n">
        <v>0</v>
      </c>
      <c r="J353" s="34" t="s">
        <v>132</v>
      </c>
      <c r="K353" s="45"/>
      <c r="L353" s="34"/>
      <c r="M353" s="34"/>
      <c r="N353" s="11" t="s">
        <v>133</v>
      </c>
      <c r="O353" s="11" t="s">
        <v>55</v>
      </c>
      <c r="P353" s="11" t="s">
        <v>133</v>
      </c>
      <c r="Q353" s="11" t="s">
        <v>133</v>
      </c>
      <c r="R353" s="11" t="s">
        <v>133</v>
      </c>
      <c r="S353" s="46"/>
      <c r="T353" s="44" t="n">
        <f aca="false">IF($B353="","",COUNTA($N353:$R353)-COUNTIF($N353:$R353,"Not Invited"))</f>
        <v>1</v>
      </c>
      <c r="U353" s="44" t="n">
        <f aca="false">IF($B353="","",COUNTIF($N353:$R353,"Attended"))</f>
        <v>1</v>
      </c>
      <c r="V353" s="47" t="str">
        <f aca="false">IF($B353="","",_xlfn.TEXTJOIN(", ",TRUE(),IF($N353="Attended",Setup!$D$15,""),IF($O353="Attended",Setup!$D$16,""),IF($P353="Attended",Setup!$D$17,""),IF($Q353="Attended",Setup!$D$18,""),IF($R353="Attended",Setup!$D$19,"")))</f>
        <v>May-26 Symposium</v>
      </c>
      <c r="W353" s="48" t="str">
        <f aca="true">IF(OR($B353="",NOT(ISNUMBER($H353))),"",TODAY()-$H353)</f>
        <v/>
      </c>
      <c r="X353" s="47" t="str">
        <f aca="false">IF($B353="","",IF($U353&gt;0,"Event attendee",IF($G353="Yes","Met (no event)",IF($T353&gt;0,"Invited only",IF(OR($L353="Yes",$M353="Yes"),"Contacted only","Not yet contacted")))))</f>
        <v>Event attendee</v>
      </c>
      <c r="Y353" s="47" t="n">
        <f aca="false">IF($B353="","",COUNTIF(c_Firm,"&lt;"&amp;$D353)+COUNTIFS(c_Firm,$D353,c_Name,"&lt;"&amp;$B353)+COUNTIFS($D$2:$D353,$D353,$B$2:$B353,$B353))</f>
        <v>352</v>
      </c>
      <c r="Z353" s="47" t="n">
        <f aca="false">IF($B353="","",IF(AND(OR(Contacts!$C$3="(All)",$D353=Contacts!$C$3),OR(Contacts!$E$3="(All)",$G353=Contacts!$E$3),OR(Contacts!$G$3="(All)",ISNUMBER(SEARCH(Contacts!$G$3,$V353))),OR(Contacts!$I$3="(All)",$X353=Contacts!$I$3),OR(Contacts!$K$3="",ISNUMBER(SEARCH(Contacts!$K$3,$B353&amp;" "&amp;$C353&amp;" "&amp;$D353&amp;" "&amp;$S353)))),1,0))</f>
        <v>1</v>
      </c>
      <c r="AA353" s="47" t="n">
        <f aca="false">IF($Z353=1,COUNTIFS(c_Pass,1,c_Sort,"&lt;="&amp;$Y353),"")</f>
        <v>352</v>
      </c>
      <c r="AB353" s="47" t="str">
        <f aca="false">IF(OR($G353&lt;&gt;"Yes",NOT(ISNUMBER($H353))),"",COUNTIFS(c_Met,"Yes",c_Date,"&lt;"&amp;$H353)+COUNTIFS($G$2:$G353,"Yes",$H$2:$H353,$H353))</f>
        <v/>
      </c>
    </row>
    <row r="354" customFormat="false" ht="15" hidden="false" customHeight="false" outlineLevel="0" collapsed="false">
      <c r="A354" s="44" t="n">
        <f aca="false">IF($B354="","",COUNTA($B$2:$B354))</f>
        <v>353</v>
      </c>
      <c r="B354" s="11" t="s">
        <v>874</v>
      </c>
      <c r="C354" s="11" t="s">
        <v>875</v>
      </c>
      <c r="D354" s="11" t="s">
        <v>29</v>
      </c>
      <c r="E354" s="11" t="s">
        <v>131</v>
      </c>
      <c r="F354" s="11" t="s">
        <v>141</v>
      </c>
      <c r="G354" s="34" t="s">
        <v>142</v>
      </c>
      <c r="H354" s="25" t="n">
        <v>46091</v>
      </c>
      <c r="I354" s="40" t="n">
        <v>1</v>
      </c>
      <c r="J354" s="34" t="s">
        <v>132</v>
      </c>
      <c r="K354" s="45" t="n">
        <v>5000000</v>
      </c>
      <c r="L354" s="34"/>
      <c r="M354" s="34"/>
      <c r="N354" s="11" t="s">
        <v>143</v>
      </c>
      <c r="O354" s="11" t="s">
        <v>143</v>
      </c>
      <c r="P354" s="11" t="s">
        <v>133</v>
      </c>
      <c r="Q354" s="11" t="s">
        <v>133</v>
      </c>
      <c r="R354" s="11" t="s">
        <v>133</v>
      </c>
      <c r="S354" s="46"/>
      <c r="T354" s="44" t="n">
        <f aca="false">IF($B354="","",COUNTA($N354:$R354)-COUNTIF($N354:$R354,"Not Invited"))</f>
        <v>2</v>
      </c>
      <c r="U354" s="44" t="n">
        <f aca="false">IF($B354="","",COUNTIF($N354:$R354,"Attended"))</f>
        <v>0</v>
      </c>
      <c r="V354" s="47" t="str">
        <f aca="false">IF($B354="","",_xlfn.TEXTJOIN(", ",TRUE(),IF($N354="Attended",Setup!$D$15,""),IF($O354="Attended",Setup!$D$16,""),IF($P354="Attended",Setup!$D$17,""),IF($Q354="Attended",Setup!$D$18,""),IF($R354="Attended",Setup!$D$19,"")))</f>
        <v/>
      </c>
      <c r="W354" s="48" t="n">
        <f aca="true">IF(OR($B354="",NOT(ISNUMBER($H354))),"",TODAY()-$H354)</f>
        <v>150</v>
      </c>
      <c r="X354" s="47" t="str">
        <f aca="false">IF($B354="","",IF($U354&gt;0,"Event attendee",IF($G354="Yes","Met (no event)",IF($T354&gt;0,"Invited only",IF(OR($L354="Yes",$M354="Yes"),"Contacted only","Not yet contacted")))))</f>
        <v>Met (no event)</v>
      </c>
      <c r="Y354" s="47" t="n">
        <f aca="false">IF($B354="","",COUNTIF(c_Firm,"&lt;"&amp;$D354)+COUNTIFS(c_Firm,$D354,c_Name,"&lt;"&amp;$B354)+COUNTIFS($D$2:$D354,$D354,$B$2:$B354,$B354))</f>
        <v>353</v>
      </c>
      <c r="Z354" s="47" t="n">
        <f aca="false">IF($B354="","",IF(AND(OR(Contacts!$C$3="(All)",$D354=Contacts!$C$3),OR(Contacts!$E$3="(All)",$G354=Contacts!$E$3),OR(Contacts!$G$3="(All)",ISNUMBER(SEARCH(Contacts!$G$3,$V354))),OR(Contacts!$I$3="(All)",$X354=Contacts!$I$3),OR(Contacts!$K$3="",ISNUMBER(SEARCH(Contacts!$K$3,$B354&amp;" "&amp;$C354&amp;" "&amp;$D354&amp;" "&amp;$S354)))),1,0))</f>
        <v>1</v>
      </c>
      <c r="AA354" s="47" t="n">
        <f aca="false">IF($Z354=1,COUNTIFS(c_Pass,1,c_Sort,"&lt;="&amp;$Y354),"")</f>
        <v>353</v>
      </c>
      <c r="AB354" s="47" t="n">
        <f aca="false">IF(OR($G354&lt;&gt;"Yes",NOT(ISNUMBER($H354))),"",COUNTIFS(c_Met,"Yes",c_Date,"&lt;"&amp;$H354)+COUNTIFS($G$2:$G354,"Yes",$H$2:$H354,$H354))</f>
        <v>49</v>
      </c>
    </row>
    <row r="355" customFormat="false" ht="15" hidden="false" customHeight="false" outlineLevel="0" collapsed="false">
      <c r="A355" s="44" t="n">
        <f aca="false">IF($B355="","",COUNTA($B$2:$B355))</f>
        <v>354</v>
      </c>
      <c r="B355" s="11" t="s">
        <v>876</v>
      </c>
      <c r="C355" s="11" t="s">
        <v>877</v>
      </c>
      <c r="D355" s="11" t="s">
        <v>29</v>
      </c>
      <c r="E355" s="11" t="s">
        <v>131</v>
      </c>
      <c r="F355" s="11" t="s">
        <v>141</v>
      </c>
      <c r="G355" s="34" t="s">
        <v>132</v>
      </c>
      <c r="H355" s="25"/>
      <c r="I355" s="40" t="n">
        <v>0</v>
      </c>
      <c r="J355" s="34" t="s">
        <v>132</v>
      </c>
      <c r="K355" s="45" t="n">
        <v>5000000</v>
      </c>
      <c r="L355" s="34"/>
      <c r="M355" s="34"/>
      <c r="N355" s="11" t="s">
        <v>55</v>
      </c>
      <c r="O355" s="11" t="s">
        <v>143</v>
      </c>
      <c r="P355" s="11" t="s">
        <v>133</v>
      </c>
      <c r="Q355" s="11" t="s">
        <v>133</v>
      </c>
      <c r="R355" s="11" t="s">
        <v>133</v>
      </c>
      <c r="S355" s="46"/>
      <c r="T355" s="44" t="n">
        <f aca="false">IF($B355="","",COUNTA($N355:$R355)-COUNTIF($N355:$R355,"Not Invited"))</f>
        <v>2</v>
      </c>
      <c r="U355" s="44" t="n">
        <f aca="false">IF($B355="","",COUNTIF($N355:$R355,"Attended"))</f>
        <v>1</v>
      </c>
      <c r="V355" s="47" t="str">
        <f aca="false">IF($B355="","",_xlfn.TEXTJOIN(", ",TRUE(),IF($N355="Attended",Setup!$D$15,""),IF($O355="Attended",Setup!$D$16,""),IF($P355="Attended",Setup!$D$17,""),IF($Q355="Attended",Setup!$D$18,""),IF($R355="Attended",Setup!$D$19,"")))</f>
        <v>Oct-25 Symposium</v>
      </c>
      <c r="W355" s="48" t="str">
        <f aca="true">IF(OR($B355="",NOT(ISNUMBER($H355))),"",TODAY()-$H355)</f>
        <v/>
      </c>
      <c r="X355" s="47" t="str">
        <f aca="false">IF($B355="","",IF($U355&gt;0,"Event attendee",IF($G355="Yes","Met (no event)",IF($T355&gt;0,"Invited only",IF(OR($L355="Yes",$M355="Yes"),"Contacted only","Not yet contacted")))))</f>
        <v>Event attendee</v>
      </c>
      <c r="Y355" s="47" t="n">
        <f aca="false">IF($B355="","",COUNTIF(c_Firm,"&lt;"&amp;$D355)+COUNTIFS(c_Firm,$D355,c_Name,"&lt;"&amp;$B355)+COUNTIFS($D$2:$D355,$D355,$B$2:$B355,$B355))</f>
        <v>354</v>
      </c>
      <c r="Z355" s="47" t="n">
        <f aca="false">IF($B355="","",IF(AND(OR(Contacts!$C$3="(All)",$D355=Contacts!$C$3),OR(Contacts!$E$3="(All)",$G355=Contacts!$E$3),OR(Contacts!$G$3="(All)",ISNUMBER(SEARCH(Contacts!$G$3,$V355))),OR(Contacts!$I$3="(All)",$X355=Contacts!$I$3),OR(Contacts!$K$3="",ISNUMBER(SEARCH(Contacts!$K$3,$B355&amp;" "&amp;$C355&amp;" "&amp;$D355&amp;" "&amp;$S355)))),1,0))</f>
        <v>1</v>
      </c>
      <c r="AA355" s="47" t="n">
        <f aca="false">IF($Z355=1,COUNTIFS(c_Pass,1,c_Sort,"&lt;="&amp;$Y355),"")</f>
        <v>354</v>
      </c>
      <c r="AB355" s="47" t="str">
        <f aca="false">IF(OR($G355&lt;&gt;"Yes",NOT(ISNUMBER($H355))),"",COUNTIFS(c_Met,"Yes",c_Date,"&lt;"&amp;$H355)+COUNTIFS($G$2:$G355,"Yes",$H$2:$H355,$H355))</f>
        <v/>
      </c>
    </row>
    <row r="356" customFormat="false" ht="15" hidden="false" customHeight="false" outlineLevel="0" collapsed="false">
      <c r="A356" s="44" t="n">
        <f aca="false">IF($B356="","",COUNTA($B$2:$B356))</f>
        <v>355</v>
      </c>
      <c r="B356" s="11" t="s">
        <v>878</v>
      </c>
      <c r="C356" s="11"/>
      <c r="D356" s="11" t="s">
        <v>29</v>
      </c>
      <c r="E356" s="11" t="s">
        <v>193</v>
      </c>
      <c r="F356" s="11" t="s">
        <v>68</v>
      </c>
      <c r="G356" s="34" t="s">
        <v>132</v>
      </c>
      <c r="H356" s="25"/>
      <c r="I356" s="40" t="n">
        <v>0</v>
      </c>
      <c r="J356" s="34" t="s">
        <v>132</v>
      </c>
      <c r="K356" s="45"/>
      <c r="L356" s="34"/>
      <c r="M356" s="34" t="s">
        <v>142</v>
      </c>
      <c r="N356" s="11" t="s">
        <v>133</v>
      </c>
      <c r="O356" s="11" t="s">
        <v>133</v>
      </c>
      <c r="P356" s="11" t="s">
        <v>133</v>
      </c>
      <c r="Q356" s="11" t="s">
        <v>133</v>
      </c>
      <c r="R356" s="11" t="s">
        <v>133</v>
      </c>
      <c r="S356" s="46" t="s">
        <v>879</v>
      </c>
      <c r="T356" s="44" t="n">
        <f aca="false">IF($B356="","",COUNTA($N356:$R356)-COUNTIF($N356:$R356,"Not Invited"))</f>
        <v>0</v>
      </c>
      <c r="U356" s="44" t="n">
        <f aca="false">IF($B356="","",COUNTIF($N356:$R356,"Attended"))</f>
        <v>0</v>
      </c>
      <c r="V356" s="47" t="str">
        <f aca="false">IF($B356="","",_xlfn.TEXTJOIN(", ",TRUE(),IF($N356="Attended",Setup!$D$15,""),IF($O356="Attended",Setup!$D$16,""),IF($P356="Attended",Setup!$D$17,""),IF($Q356="Attended",Setup!$D$18,""),IF($R356="Attended",Setup!$D$19,"")))</f>
        <v/>
      </c>
      <c r="W356" s="48" t="str">
        <f aca="true">IF(OR($B356="",NOT(ISNUMBER($H356))),"",TODAY()-$H356)</f>
        <v/>
      </c>
      <c r="X356" s="47" t="str">
        <f aca="false">IF($B356="","",IF($U356&gt;0,"Event attendee",IF($G356="Yes","Met (no event)",IF($T356&gt;0,"Invited only",IF(OR($L356="Yes",$M356="Yes"),"Contacted only","Not yet contacted")))))</f>
        <v>Contacted only</v>
      </c>
      <c r="Y356" s="47" t="n">
        <f aca="false">IF($B356="","",COUNTIF(c_Firm,"&lt;"&amp;$D356)+COUNTIFS(c_Firm,$D356,c_Name,"&lt;"&amp;$B356)+COUNTIFS($D$2:$D356,$D356,$B$2:$B356,$B356))</f>
        <v>355</v>
      </c>
      <c r="Z356" s="47" t="n">
        <f aca="false">IF($B356="","",IF(AND(OR(Contacts!$C$3="(All)",$D356=Contacts!$C$3),OR(Contacts!$E$3="(All)",$G356=Contacts!$E$3),OR(Contacts!$G$3="(All)",ISNUMBER(SEARCH(Contacts!$G$3,$V356))),OR(Contacts!$I$3="(All)",$X356=Contacts!$I$3),OR(Contacts!$K$3="",ISNUMBER(SEARCH(Contacts!$K$3,$B356&amp;" "&amp;$C356&amp;" "&amp;$D356&amp;" "&amp;$S356)))),1,0))</f>
        <v>1</v>
      </c>
      <c r="AA356" s="47" t="n">
        <f aca="false">IF($Z356=1,COUNTIFS(c_Pass,1,c_Sort,"&lt;="&amp;$Y356),"")</f>
        <v>355</v>
      </c>
      <c r="AB356" s="47" t="str">
        <f aca="false">IF(OR($G356&lt;&gt;"Yes",NOT(ISNUMBER($H356))),"",COUNTIFS(c_Met,"Yes",c_Date,"&lt;"&amp;$H356)+COUNTIFS($G$2:$G356,"Yes",$H$2:$H356,$H356))</f>
        <v/>
      </c>
    </row>
    <row r="357" customFormat="false" ht="15" hidden="false" customHeight="false" outlineLevel="0" collapsed="false">
      <c r="A357" s="44" t="n">
        <f aca="false">IF($B357="","",COUNTA($B$2:$B357))</f>
        <v>356</v>
      </c>
      <c r="B357" s="11" t="s">
        <v>880</v>
      </c>
      <c r="C357" s="11" t="s">
        <v>881</v>
      </c>
      <c r="D357" s="11" t="s">
        <v>29</v>
      </c>
      <c r="E357" s="11" t="s">
        <v>131</v>
      </c>
      <c r="F357" s="11" t="s">
        <v>141</v>
      </c>
      <c r="G357" s="34" t="s">
        <v>132</v>
      </c>
      <c r="H357" s="25"/>
      <c r="I357" s="40" t="n">
        <v>0</v>
      </c>
      <c r="J357" s="34" t="s">
        <v>132</v>
      </c>
      <c r="K357" s="45" t="n">
        <v>5000000</v>
      </c>
      <c r="L357" s="34"/>
      <c r="M357" s="34"/>
      <c r="N357" s="11" t="s">
        <v>55</v>
      </c>
      <c r="O357" s="11" t="s">
        <v>57</v>
      </c>
      <c r="P357" s="11" t="s">
        <v>133</v>
      </c>
      <c r="Q357" s="11" t="s">
        <v>133</v>
      </c>
      <c r="R357" s="11" t="s">
        <v>133</v>
      </c>
      <c r="S357" s="46" t="s">
        <v>146</v>
      </c>
      <c r="T357" s="44" t="n">
        <f aca="false">IF($B357="","",COUNTA($N357:$R357)-COUNTIF($N357:$R357,"Not Invited"))</f>
        <v>2</v>
      </c>
      <c r="U357" s="44" t="n">
        <f aca="false">IF($B357="","",COUNTIF($N357:$R357,"Attended"))</f>
        <v>1</v>
      </c>
      <c r="V357" s="47" t="str">
        <f aca="false">IF($B357="","",_xlfn.TEXTJOIN(", ",TRUE(),IF($N357="Attended",Setup!$D$15,""),IF($O357="Attended",Setup!$D$16,""),IF($P357="Attended",Setup!$D$17,""),IF($Q357="Attended",Setup!$D$18,""),IF($R357="Attended",Setup!$D$19,"")))</f>
        <v>Oct-25 Symposium</v>
      </c>
      <c r="W357" s="48" t="str">
        <f aca="true">IF(OR($B357="",NOT(ISNUMBER($H357))),"",TODAY()-$H357)</f>
        <v/>
      </c>
      <c r="X357" s="47" t="str">
        <f aca="false">IF($B357="","",IF($U357&gt;0,"Event attendee",IF($G357="Yes","Met (no event)",IF($T357&gt;0,"Invited only",IF(OR($L357="Yes",$M357="Yes"),"Contacted only","Not yet contacted")))))</f>
        <v>Event attendee</v>
      </c>
      <c r="Y357" s="47" t="n">
        <f aca="false">IF($B357="","",COUNTIF(c_Firm,"&lt;"&amp;$D357)+COUNTIFS(c_Firm,$D357,c_Name,"&lt;"&amp;$B357)+COUNTIFS($D$2:$D357,$D357,$B$2:$B357,$B357))</f>
        <v>356</v>
      </c>
      <c r="Z357" s="47" t="n">
        <f aca="false">IF($B357="","",IF(AND(OR(Contacts!$C$3="(All)",$D357=Contacts!$C$3),OR(Contacts!$E$3="(All)",$G357=Contacts!$E$3),OR(Contacts!$G$3="(All)",ISNUMBER(SEARCH(Contacts!$G$3,$V357))),OR(Contacts!$I$3="(All)",$X357=Contacts!$I$3),OR(Contacts!$K$3="",ISNUMBER(SEARCH(Contacts!$K$3,$B357&amp;" "&amp;$C357&amp;" "&amp;$D357&amp;" "&amp;$S357)))),1,0))</f>
        <v>1</v>
      </c>
      <c r="AA357" s="47" t="n">
        <f aca="false">IF($Z357=1,COUNTIFS(c_Pass,1,c_Sort,"&lt;="&amp;$Y357),"")</f>
        <v>356</v>
      </c>
      <c r="AB357" s="47" t="str">
        <f aca="false">IF(OR($G357&lt;&gt;"Yes",NOT(ISNUMBER($H357))),"",COUNTIFS(c_Met,"Yes",c_Date,"&lt;"&amp;$H357)+COUNTIFS($G$2:$G357,"Yes",$H$2:$H357,$H357))</f>
        <v/>
      </c>
    </row>
    <row r="358" customFormat="false" ht="15" hidden="false" customHeight="false" outlineLevel="0" collapsed="false">
      <c r="A358" s="44" t="n">
        <f aca="false">IF($B358="","",COUNTA($B$2:$B358))</f>
        <v>357</v>
      </c>
      <c r="B358" s="11" t="s">
        <v>882</v>
      </c>
      <c r="C358" s="11" t="s">
        <v>883</v>
      </c>
      <c r="D358" s="11" t="s">
        <v>29</v>
      </c>
      <c r="E358" s="11" t="s">
        <v>131</v>
      </c>
      <c r="F358" s="11" t="s">
        <v>141</v>
      </c>
      <c r="G358" s="34" t="s">
        <v>142</v>
      </c>
      <c r="H358" s="25" t="n">
        <v>45902</v>
      </c>
      <c r="I358" s="40" t="n">
        <v>1</v>
      </c>
      <c r="J358" s="34" t="s">
        <v>132</v>
      </c>
      <c r="K358" s="45" t="n">
        <v>5000000</v>
      </c>
      <c r="L358" s="34"/>
      <c r="M358" s="34"/>
      <c r="N358" s="11" t="s">
        <v>143</v>
      </c>
      <c r="O358" s="11" t="s">
        <v>57</v>
      </c>
      <c r="P358" s="11" t="s">
        <v>133</v>
      </c>
      <c r="Q358" s="11" t="s">
        <v>133</v>
      </c>
      <c r="R358" s="11" t="s">
        <v>133</v>
      </c>
      <c r="S358" s="46" t="s">
        <v>146</v>
      </c>
      <c r="T358" s="44" t="n">
        <f aca="false">IF($B358="","",COUNTA($N358:$R358)-COUNTIF($N358:$R358,"Not Invited"))</f>
        <v>2</v>
      </c>
      <c r="U358" s="44" t="n">
        <f aca="false">IF($B358="","",COUNTIF($N358:$R358,"Attended"))</f>
        <v>0</v>
      </c>
      <c r="V358" s="47" t="str">
        <f aca="false">IF($B358="","",_xlfn.TEXTJOIN(", ",TRUE(),IF($N358="Attended",Setup!$D$15,""),IF($O358="Attended",Setup!$D$16,""),IF($P358="Attended",Setup!$D$17,""),IF($Q358="Attended",Setup!$D$18,""),IF($R358="Attended",Setup!$D$19,"")))</f>
        <v/>
      </c>
      <c r="W358" s="48" t="n">
        <f aca="true">IF(OR($B358="",NOT(ISNUMBER($H358))),"",TODAY()-$H358)</f>
        <v>339</v>
      </c>
      <c r="X358" s="47" t="str">
        <f aca="false">IF($B358="","",IF($U358&gt;0,"Event attendee",IF($G358="Yes","Met (no event)",IF($T358&gt;0,"Invited only",IF(OR($L358="Yes",$M358="Yes"),"Contacted only","Not yet contacted")))))</f>
        <v>Met (no event)</v>
      </c>
      <c r="Y358" s="47" t="n">
        <f aca="false">IF($B358="","",COUNTIF(c_Firm,"&lt;"&amp;$D358)+COUNTIFS(c_Firm,$D358,c_Name,"&lt;"&amp;$B358)+COUNTIFS($D$2:$D358,$D358,$B$2:$B358,$B358))</f>
        <v>357</v>
      </c>
      <c r="Z358" s="47" t="n">
        <f aca="false">IF($B358="","",IF(AND(OR(Contacts!$C$3="(All)",$D358=Contacts!$C$3),OR(Contacts!$E$3="(All)",$G358=Contacts!$E$3),OR(Contacts!$G$3="(All)",ISNUMBER(SEARCH(Contacts!$G$3,$V358))),OR(Contacts!$I$3="(All)",$X358=Contacts!$I$3),OR(Contacts!$K$3="",ISNUMBER(SEARCH(Contacts!$K$3,$B358&amp;" "&amp;$C358&amp;" "&amp;$D358&amp;" "&amp;$S358)))),1,0))</f>
        <v>1</v>
      </c>
      <c r="AA358" s="47" t="n">
        <f aca="false">IF($Z358=1,COUNTIFS(c_Pass,1,c_Sort,"&lt;="&amp;$Y358),"")</f>
        <v>357</v>
      </c>
      <c r="AB358" s="47" t="n">
        <f aca="false">IF(OR($G358&lt;&gt;"Yes",NOT(ISNUMBER($H358))),"",COUNTIFS(c_Met,"Yes",c_Date,"&lt;"&amp;$H358)+COUNTIFS($G$2:$G358,"Yes",$H$2:$H358,$H358))</f>
        <v>12</v>
      </c>
    </row>
    <row r="359" customFormat="false" ht="15" hidden="false" customHeight="false" outlineLevel="0" collapsed="false">
      <c r="A359" s="44" t="n">
        <f aca="false">IF($B359="","",COUNTA($B$2:$B359))</f>
        <v>358</v>
      </c>
      <c r="B359" s="11" t="s">
        <v>884</v>
      </c>
      <c r="C359" s="11" t="s">
        <v>885</v>
      </c>
      <c r="D359" s="11" t="s">
        <v>29</v>
      </c>
      <c r="E359" s="11" t="s">
        <v>131</v>
      </c>
      <c r="F359" s="11" t="s">
        <v>289</v>
      </c>
      <c r="G359" s="34" t="s">
        <v>132</v>
      </c>
      <c r="H359" s="25"/>
      <c r="I359" s="40" t="n">
        <v>0</v>
      </c>
      <c r="J359" s="34" t="s">
        <v>132</v>
      </c>
      <c r="K359" s="45"/>
      <c r="L359" s="34"/>
      <c r="M359" s="34" t="s">
        <v>142</v>
      </c>
      <c r="N359" s="11" t="s">
        <v>133</v>
      </c>
      <c r="O359" s="11" t="s">
        <v>143</v>
      </c>
      <c r="P359" s="11" t="s">
        <v>133</v>
      </c>
      <c r="Q359" s="11" t="s">
        <v>133</v>
      </c>
      <c r="R359" s="11" t="s">
        <v>133</v>
      </c>
      <c r="S359" s="46" t="s">
        <v>886</v>
      </c>
      <c r="T359" s="44" t="n">
        <f aca="false">IF($B359="","",COUNTA($N359:$R359)-COUNTIF($N359:$R359,"Not Invited"))</f>
        <v>1</v>
      </c>
      <c r="U359" s="44" t="n">
        <f aca="false">IF($B359="","",COUNTIF($N359:$R359,"Attended"))</f>
        <v>0</v>
      </c>
      <c r="V359" s="47" t="str">
        <f aca="false">IF($B359="","",_xlfn.TEXTJOIN(", ",TRUE(),IF($N359="Attended",Setup!$D$15,""),IF($O359="Attended",Setup!$D$16,""),IF($P359="Attended",Setup!$D$17,""),IF($Q359="Attended",Setup!$D$18,""),IF($R359="Attended",Setup!$D$19,"")))</f>
        <v/>
      </c>
      <c r="W359" s="48" t="str">
        <f aca="true">IF(OR($B359="",NOT(ISNUMBER($H359))),"",TODAY()-$H359)</f>
        <v/>
      </c>
      <c r="X359" s="47" t="str">
        <f aca="false">IF($B359="","",IF($U359&gt;0,"Event attendee",IF($G359="Yes","Met (no event)",IF($T359&gt;0,"Invited only",IF(OR($L359="Yes",$M359="Yes"),"Contacted only","Not yet contacted")))))</f>
        <v>Invited only</v>
      </c>
      <c r="Y359" s="47" t="n">
        <f aca="false">IF($B359="","",COUNTIF(c_Firm,"&lt;"&amp;$D359)+COUNTIFS(c_Firm,$D359,c_Name,"&lt;"&amp;$B359)+COUNTIFS($D$2:$D359,$D359,$B$2:$B359,$B359))</f>
        <v>358</v>
      </c>
      <c r="Z359" s="47" t="n">
        <f aca="false">IF($B359="","",IF(AND(OR(Contacts!$C$3="(All)",$D359=Contacts!$C$3),OR(Contacts!$E$3="(All)",$G359=Contacts!$E$3),OR(Contacts!$G$3="(All)",ISNUMBER(SEARCH(Contacts!$G$3,$V359))),OR(Contacts!$I$3="(All)",$X359=Contacts!$I$3),OR(Contacts!$K$3="",ISNUMBER(SEARCH(Contacts!$K$3,$B359&amp;" "&amp;$C359&amp;" "&amp;$D359&amp;" "&amp;$S359)))),1,0))</f>
        <v>1</v>
      </c>
      <c r="AA359" s="47" t="n">
        <f aca="false">IF($Z359=1,COUNTIFS(c_Pass,1,c_Sort,"&lt;="&amp;$Y359),"")</f>
        <v>358</v>
      </c>
      <c r="AB359" s="47" t="str">
        <f aca="false">IF(OR($G359&lt;&gt;"Yes",NOT(ISNUMBER($H359))),"",COUNTIFS(c_Met,"Yes",c_Date,"&lt;"&amp;$H359)+COUNTIFS($G$2:$G359,"Yes",$H$2:$H359,$H359))</f>
        <v/>
      </c>
    </row>
    <row r="360" customFormat="false" ht="15" hidden="false" customHeight="false" outlineLevel="0" collapsed="false">
      <c r="A360" s="44" t="n">
        <f aca="false">IF($B360="","",COUNTA($B$2:$B360))</f>
        <v>359</v>
      </c>
      <c r="B360" s="11" t="s">
        <v>887</v>
      </c>
      <c r="C360" s="11" t="s">
        <v>888</v>
      </c>
      <c r="D360" s="11" t="s">
        <v>29</v>
      </c>
      <c r="E360" s="11" t="s">
        <v>131</v>
      </c>
      <c r="F360" s="11" t="s">
        <v>289</v>
      </c>
      <c r="G360" s="34" t="s">
        <v>132</v>
      </c>
      <c r="H360" s="25"/>
      <c r="I360" s="40" t="n">
        <v>0</v>
      </c>
      <c r="J360" s="34" t="s">
        <v>132</v>
      </c>
      <c r="K360" s="45"/>
      <c r="L360" s="34"/>
      <c r="M360" s="34" t="s">
        <v>142</v>
      </c>
      <c r="N360" s="11" t="s">
        <v>133</v>
      </c>
      <c r="O360" s="11" t="s">
        <v>143</v>
      </c>
      <c r="P360" s="11" t="s">
        <v>133</v>
      </c>
      <c r="Q360" s="11" t="s">
        <v>133</v>
      </c>
      <c r="R360" s="11" t="s">
        <v>133</v>
      </c>
      <c r="S360" s="46" t="s">
        <v>889</v>
      </c>
      <c r="T360" s="44" t="n">
        <f aca="false">IF($B360="","",COUNTA($N360:$R360)-COUNTIF($N360:$R360,"Not Invited"))</f>
        <v>1</v>
      </c>
      <c r="U360" s="44" t="n">
        <f aca="false">IF($B360="","",COUNTIF($N360:$R360,"Attended"))</f>
        <v>0</v>
      </c>
      <c r="V360" s="47" t="str">
        <f aca="false">IF($B360="","",_xlfn.TEXTJOIN(", ",TRUE(),IF($N360="Attended",Setup!$D$15,""),IF($O360="Attended",Setup!$D$16,""),IF($P360="Attended",Setup!$D$17,""),IF($Q360="Attended",Setup!$D$18,""),IF($R360="Attended",Setup!$D$19,"")))</f>
        <v/>
      </c>
      <c r="W360" s="48" t="str">
        <f aca="true">IF(OR($B360="",NOT(ISNUMBER($H360))),"",TODAY()-$H360)</f>
        <v/>
      </c>
      <c r="X360" s="47" t="str">
        <f aca="false">IF($B360="","",IF($U360&gt;0,"Event attendee",IF($G360="Yes","Met (no event)",IF($T360&gt;0,"Invited only",IF(OR($L360="Yes",$M360="Yes"),"Contacted only","Not yet contacted")))))</f>
        <v>Invited only</v>
      </c>
      <c r="Y360" s="47" t="n">
        <f aca="false">IF($B360="","",COUNTIF(c_Firm,"&lt;"&amp;$D360)+COUNTIFS(c_Firm,$D360,c_Name,"&lt;"&amp;$B360)+COUNTIFS($D$2:$D360,$D360,$B$2:$B360,$B360))</f>
        <v>359</v>
      </c>
      <c r="Z360" s="47" t="n">
        <f aca="false">IF($B360="","",IF(AND(OR(Contacts!$C$3="(All)",$D360=Contacts!$C$3),OR(Contacts!$E$3="(All)",$G360=Contacts!$E$3),OR(Contacts!$G$3="(All)",ISNUMBER(SEARCH(Contacts!$G$3,$V360))),OR(Contacts!$I$3="(All)",$X360=Contacts!$I$3),OR(Contacts!$K$3="",ISNUMBER(SEARCH(Contacts!$K$3,$B360&amp;" "&amp;$C360&amp;" "&amp;$D360&amp;" "&amp;$S360)))),1,0))</f>
        <v>1</v>
      </c>
      <c r="AA360" s="47" t="n">
        <f aca="false">IF($Z360=1,COUNTIFS(c_Pass,1,c_Sort,"&lt;="&amp;$Y360),"")</f>
        <v>359</v>
      </c>
      <c r="AB360" s="47" t="str">
        <f aca="false">IF(OR($G360&lt;&gt;"Yes",NOT(ISNUMBER($H360))),"",COUNTIFS(c_Met,"Yes",c_Date,"&lt;"&amp;$H360)+COUNTIFS($G$2:$G360,"Yes",$H$2:$H360,$H360))</f>
        <v/>
      </c>
    </row>
    <row r="361" customFormat="false" ht="15" hidden="false" customHeight="false" outlineLevel="0" collapsed="false">
      <c r="A361" s="44" t="n">
        <f aca="false">IF($B361="","",COUNTA($B$2:$B361))</f>
        <v>360</v>
      </c>
      <c r="B361" s="11" t="s">
        <v>890</v>
      </c>
      <c r="C361" s="11" t="s">
        <v>891</v>
      </c>
      <c r="D361" s="11" t="s">
        <v>29</v>
      </c>
      <c r="E361" s="11" t="s">
        <v>131</v>
      </c>
      <c r="F361" s="11" t="s">
        <v>289</v>
      </c>
      <c r="G361" s="34" t="s">
        <v>132</v>
      </c>
      <c r="H361" s="25"/>
      <c r="I361" s="40" t="n">
        <v>0</v>
      </c>
      <c r="J361" s="34" t="s">
        <v>132</v>
      </c>
      <c r="K361" s="45"/>
      <c r="L361" s="34"/>
      <c r="M361" s="34" t="s">
        <v>142</v>
      </c>
      <c r="N361" s="11" t="s">
        <v>133</v>
      </c>
      <c r="O361" s="11" t="s">
        <v>143</v>
      </c>
      <c r="P361" s="11" t="s">
        <v>133</v>
      </c>
      <c r="Q361" s="11" t="s">
        <v>133</v>
      </c>
      <c r="R361" s="11" t="s">
        <v>133</v>
      </c>
      <c r="S361" s="46" t="s">
        <v>892</v>
      </c>
      <c r="T361" s="44" t="n">
        <f aca="false">IF($B361="","",COUNTA($N361:$R361)-COUNTIF($N361:$R361,"Not Invited"))</f>
        <v>1</v>
      </c>
      <c r="U361" s="44" t="n">
        <f aca="false">IF($B361="","",COUNTIF($N361:$R361,"Attended"))</f>
        <v>0</v>
      </c>
      <c r="V361" s="47" t="str">
        <f aca="false">IF($B361="","",_xlfn.TEXTJOIN(", ",TRUE(),IF($N361="Attended",Setup!$D$15,""),IF($O361="Attended",Setup!$D$16,""),IF($P361="Attended",Setup!$D$17,""),IF($Q361="Attended",Setup!$D$18,""),IF($R361="Attended",Setup!$D$19,"")))</f>
        <v/>
      </c>
      <c r="W361" s="48" t="str">
        <f aca="true">IF(OR($B361="",NOT(ISNUMBER($H361))),"",TODAY()-$H361)</f>
        <v/>
      </c>
      <c r="X361" s="47" t="str">
        <f aca="false">IF($B361="","",IF($U361&gt;0,"Event attendee",IF($G361="Yes","Met (no event)",IF($T361&gt;0,"Invited only",IF(OR($L361="Yes",$M361="Yes"),"Contacted only","Not yet contacted")))))</f>
        <v>Invited only</v>
      </c>
      <c r="Y361" s="47" t="n">
        <f aca="false">IF($B361="","",COUNTIF(c_Firm,"&lt;"&amp;$D361)+COUNTIFS(c_Firm,$D361,c_Name,"&lt;"&amp;$B361)+COUNTIFS($D$2:$D361,$D361,$B$2:$B361,$B361))</f>
        <v>360</v>
      </c>
      <c r="Z361" s="47" t="n">
        <f aca="false">IF($B361="","",IF(AND(OR(Contacts!$C$3="(All)",$D361=Contacts!$C$3),OR(Contacts!$E$3="(All)",$G361=Contacts!$E$3),OR(Contacts!$G$3="(All)",ISNUMBER(SEARCH(Contacts!$G$3,$V361))),OR(Contacts!$I$3="(All)",$X361=Contacts!$I$3),OR(Contacts!$K$3="",ISNUMBER(SEARCH(Contacts!$K$3,$B361&amp;" "&amp;$C361&amp;" "&amp;$D361&amp;" "&amp;$S361)))),1,0))</f>
        <v>1</v>
      </c>
      <c r="AA361" s="47" t="n">
        <f aca="false">IF($Z361=1,COUNTIFS(c_Pass,1,c_Sort,"&lt;="&amp;$Y361),"")</f>
        <v>360</v>
      </c>
      <c r="AB361" s="47" t="str">
        <f aca="false">IF(OR($G361&lt;&gt;"Yes",NOT(ISNUMBER($H361))),"",COUNTIFS(c_Met,"Yes",c_Date,"&lt;"&amp;$H361)+COUNTIFS($G$2:$G361,"Yes",$H$2:$H361,$H361))</f>
        <v/>
      </c>
    </row>
    <row r="362" customFormat="false" ht="15" hidden="false" customHeight="false" outlineLevel="0" collapsed="false">
      <c r="A362" s="44" t="n">
        <f aca="false">IF($B362="","",COUNTA($B$2:$B362))</f>
        <v>361</v>
      </c>
      <c r="B362" s="11" t="s">
        <v>893</v>
      </c>
      <c r="C362" s="11" t="s">
        <v>894</v>
      </c>
      <c r="D362" s="11" t="s">
        <v>29</v>
      </c>
      <c r="E362" s="11" t="s">
        <v>131</v>
      </c>
      <c r="F362" s="11" t="s">
        <v>141</v>
      </c>
      <c r="G362" s="34" t="s">
        <v>142</v>
      </c>
      <c r="H362" s="25" t="n">
        <v>46034</v>
      </c>
      <c r="I362" s="40" t="n">
        <v>1</v>
      </c>
      <c r="J362" s="34" t="s">
        <v>132</v>
      </c>
      <c r="K362" s="45" t="n">
        <v>5000000</v>
      </c>
      <c r="L362" s="34"/>
      <c r="M362" s="34"/>
      <c r="N362" s="11" t="s">
        <v>143</v>
      </c>
      <c r="O362" s="11" t="s">
        <v>55</v>
      </c>
      <c r="P362" s="11" t="s">
        <v>133</v>
      </c>
      <c r="Q362" s="11" t="s">
        <v>133</v>
      </c>
      <c r="R362" s="11" t="s">
        <v>133</v>
      </c>
      <c r="S362" s="46"/>
      <c r="T362" s="44" t="n">
        <f aca="false">IF($B362="","",COUNTA($N362:$R362)-COUNTIF($N362:$R362,"Not Invited"))</f>
        <v>2</v>
      </c>
      <c r="U362" s="44" t="n">
        <f aca="false">IF($B362="","",COUNTIF($N362:$R362,"Attended"))</f>
        <v>1</v>
      </c>
      <c r="V362" s="47" t="str">
        <f aca="false">IF($B362="","",_xlfn.TEXTJOIN(", ",TRUE(),IF($N362="Attended",Setup!$D$15,""),IF($O362="Attended",Setup!$D$16,""),IF($P362="Attended",Setup!$D$17,""),IF($Q362="Attended",Setup!$D$18,""),IF($R362="Attended",Setup!$D$19,"")))</f>
        <v>May-26 Symposium</v>
      </c>
      <c r="W362" s="48" t="n">
        <f aca="true">IF(OR($B362="",NOT(ISNUMBER($H362))),"",TODAY()-$H362)</f>
        <v>207</v>
      </c>
      <c r="X362" s="47" t="str">
        <f aca="false">IF($B362="","",IF($U362&gt;0,"Event attendee",IF($G362="Yes","Met (no event)",IF($T362&gt;0,"Invited only",IF(OR($L362="Yes",$M362="Yes"),"Contacted only","Not yet contacted")))))</f>
        <v>Event attendee</v>
      </c>
      <c r="Y362" s="47" t="n">
        <f aca="false">IF($B362="","",COUNTIF(c_Firm,"&lt;"&amp;$D362)+COUNTIFS(c_Firm,$D362,c_Name,"&lt;"&amp;$B362)+COUNTIFS($D$2:$D362,$D362,$B$2:$B362,$B362))</f>
        <v>361</v>
      </c>
      <c r="Z362" s="47" t="n">
        <f aca="false">IF($B362="","",IF(AND(OR(Contacts!$C$3="(All)",$D362=Contacts!$C$3),OR(Contacts!$E$3="(All)",$G362=Contacts!$E$3),OR(Contacts!$G$3="(All)",ISNUMBER(SEARCH(Contacts!$G$3,$V362))),OR(Contacts!$I$3="(All)",$X362=Contacts!$I$3),OR(Contacts!$K$3="",ISNUMBER(SEARCH(Contacts!$K$3,$B362&amp;" "&amp;$C362&amp;" "&amp;$D362&amp;" "&amp;$S362)))),1,0))</f>
        <v>1</v>
      </c>
      <c r="AA362" s="47" t="n">
        <f aca="false">IF($Z362=1,COUNTIFS(c_Pass,1,c_Sort,"&lt;="&amp;$Y362),"")</f>
        <v>361</v>
      </c>
      <c r="AB362" s="47" t="n">
        <f aca="false">IF(OR($G362&lt;&gt;"Yes",NOT(ISNUMBER($H362))),"",COUNTIFS(c_Met,"Yes",c_Date,"&lt;"&amp;$H362)+COUNTIFS($G$2:$G362,"Yes",$H$2:$H362,$H362))</f>
        <v>40</v>
      </c>
    </row>
    <row r="363" customFormat="false" ht="15" hidden="false" customHeight="false" outlineLevel="0" collapsed="false">
      <c r="A363" s="44" t="n">
        <f aca="false">IF($B363="","",COUNTA($B$2:$B363))</f>
        <v>362</v>
      </c>
      <c r="B363" s="11" t="s">
        <v>895</v>
      </c>
      <c r="C363" s="11" t="s">
        <v>896</v>
      </c>
      <c r="D363" s="11" t="s">
        <v>29</v>
      </c>
      <c r="E363" s="11" t="s">
        <v>131</v>
      </c>
      <c r="F363" s="11" t="s">
        <v>141</v>
      </c>
      <c r="G363" s="34" t="s">
        <v>142</v>
      </c>
      <c r="H363" s="25" t="n">
        <v>46050</v>
      </c>
      <c r="I363" s="40" t="n">
        <v>1</v>
      </c>
      <c r="J363" s="34" t="s">
        <v>132</v>
      </c>
      <c r="K363" s="45"/>
      <c r="L363" s="34"/>
      <c r="M363" s="34"/>
      <c r="N363" s="11" t="s">
        <v>143</v>
      </c>
      <c r="O363" s="11" t="s">
        <v>57</v>
      </c>
      <c r="P363" s="11" t="s">
        <v>133</v>
      </c>
      <c r="Q363" s="11" t="s">
        <v>133</v>
      </c>
      <c r="R363" s="11" t="s">
        <v>133</v>
      </c>
      <c r="S363" s="46" t="s">
        <v>181</v>
      </c>
      <c r="T363" s="44" t="n">
        <f aca="false">IF($B363="","",COUNTA($N363:$R363)-COUNTIF($N363:$R363,"Not Invited"))</f>
        <v>2</v>
      </c>
      <c r="U363" s="44" t="n">
        <f aca="false">IF($B363="","",COUNTIF($N363:$R363,"Attended"))</f>
        <v>0</v>
      </c>
      <c r="V363" s="47" t="str">
        <f aca="false">IF($B363="","",_xlfn.TEXTJOIN(", ",TRUE(),IF($N363="Attended",Setup!$D$15,""),IF($O363="Attended",Setup!$D$16,""),IF($P363="Attended",Setup!$D$17,""),IF($Q363="Attended",Setup!$D$18,""),IF($R363="Attended",Setup!$D$19,"")))</f>
        <v/>
      </c>
      <c r="W363" s="48" t="n">
        <f aca="true">IF(OR($B363="",NOT(ISNUMBER($H363))),"",TODAY()-$H363)</f>
        <v>191</v>
      </c>
      <c r="X363" s="47" t="str">
        <f aca="false">IF($B363="","",IF($U363&gt;0,"Event attendee",IF($G363="Yes","Met (no event)",IF($T363&gt;0,"Invited only",IF(OR($L363="Yes",$M363="Yes"),"Contacted only","Not yet contacted")))))</f>
        <v>Met (no event)</v>
      </c>
      <c r="Y363" s="47" t="n">
        <f aca="false">IF($B363="","",COUNTIF(c_Firm,"&lt;"&amp;$D363)+COUNTIFS(c_Firm,$D363,c_Name,"&lt;"&amp;$B363)+COUNTIFS($D$2:$D363,$D363,$B$2:$B363,$B363))</f>
        <v>362</v>
      </c>
      <c r="Z363" s="47" t="n">
        <f aca="false">IF($B363="","",IF(AND(OR(Contacts!$C$3="(All)",$D363=Contacts!$C$3),OR(Contacts!$E$3="(All)",$G363=Contacts!$E$3),OR(Contacts!$G$3="(All)",ISNUMBER(SEARCH(Contacts!$G$3,$V363))),OR(Contacts!$I$3="(All)",$X363=Contacts!$I$3),OR(Contacts!$K$3="",ISNUMBER(SEARCH(Contacts!$K$3,$B363&amp;" "&amp;$C363&amp;" "&amp;$D363&amp;" "&amp;$S363)))),1,0))</f>
        <v>1</v>
      </c>
      <c r="AA363" s="47" t="n">
        <f aca="false">IF($Z363=1,COUNTIFS(c_Pass,1,c_Sort,"&lt;="&amp;$Y363),"")</f>
        <v>362</v>
      </c>
      <c r="AB363" s="47" t="n">
        <f aca="false">IF(OR($G363&lt;&gt;"Yes",NOT(ISNUMBER($H363))),"",COUNTIFS(c_Met,"Yes",c_Date,"&lt;"&amp;$H363)+COUNTIFS($G$2:$G363,"Yes",$H$2:$H363,$H363))</f>
        <v>43</v>
      </c>
    </row>
    <row r="364" customFormat="false" ht="15" hidden="false" customHeight="false" outlineLevel="0" collapsed="false">
      <c r="A364" s="44" t="n">
        <f aca="false">IF($B364="","",COUNTA($B$2:$B364))</f>
        <v>363</v>
      </c>
      <c r="B364" s="11" t="s">
        <v>897</v>
      </c>
      <c r="C364" s="11" t="s">
        <v>898</v>
      </c>
      <c r="D364" s="11" t="s">
        <v>29</v>
      </c>
      <c r="E364" s="11" t="s">
        <v>131</v>
      </c>
      <c r="F364" s="11" t="s">
        <v>66</v>
      </c>
      <c r="G364" s="34" t="s">
        <v>132</v>
      </c>
      <c r="H364" s="25"/>
      <c r="I364" s="40" t="n">
        <v>0</v>
      </c>
      <c r="J364" s="34" t="s">
        <v>132</v>
      </c>
      <c r="K364" s="45"/>
      <c r="L364" s="34"/>
      <c r="M364" s="34"/>
      <c r="N364" s="11" t="s">
        <v>133</v>
      </c>
      <c r="O364" s="11" t="s">
        <v>134</v>
      </c>
      <c r="P364" s="11" t="s">
        <v>133</v>
      </c>
      <c r="Q364" s="11" t="s">
        <v>133</v>
      </c>
      <c r="R364" s="11" t="s">
        <v>133</v>
      </c>
      <c r="S364" s="46"/>
      <c r="T364" s="44" t="n">
        <f aca="false">IF($B364="","",COUNTA($N364:$R364)-COUNTIF($N364:$R364,"Not Invited"))</f>
        <v>1</v>
      </c>
      <c r="U364" s="44" t="n">
        <f aca="false">IF($B364="","",COUNTIF($N364:$R364,"Attended"))</f>
        <v>0</v>
      </c>
      <c r="V364" s="47" t="str">
        <f aca="false">IF($B364="","",_xlfn.TEXTJOIN(", ",TRUE(),IF($N364="Attended",Setup!$D$15,""),IF($O364="Attended",Setup!$D$16,""),IF($P364="Attended",Setup!$D$17,""),IF($Q364="Attended",Setup!$D$18,""),IF($R364="Attended",Setup!$D$19,"")))</f>
        <v/>
      </c>
      <c r="W364" s="48" t="str">
        <f aca="true">IF(OR($B364="",NOT(ISNUMBER($H364))),"",TODAY()-$H364)</f>
        <v/>
      </c>
      <c r="X364" s="47" t="str">
        <f aca="false">IF($B364="","",IF($U364&gt;0,"Event attendee",IF($G364="Yes","Met (no event)",IF($T364&gt;0,"Invited only",IF(OR($L364="Yes",$M364="Yes"),"Contacted only","Not yet contacted")))))</f>
        <v>Invited only</v>
      </c>
      <c r="Y364" s="47" t="n">
        <f aca="false">IF($B364="","",COUNTIF(c_Firm,"&lt;"&amp;$D364)+COUNTIFS(c_Firm,$D364,c_Name,"&lt;"&amp;$B364)+COUNTIFS($D$2:$D364,$D364,$B$2:$B364,$B364))</f>
        <v>363</v>
      </c>
      <c r="Z364" s="47" t="n">
        <f aca="false">IF($B364="","",IF(AND(OR(Contacts!$C$3="(All)",$D364=Contacts!$C$3),OR(Contacts!$E$3="(All)",$G364=Contacts!$E$3),OR(Contacts!$G$3="(All)",ISNUMBER(SEARCH(Contacts!$G$3,$V364))),OR(Contacts!$I$3="(All)",$X364=Contacts!$I$3),OR(Contacts!$K$3="",ISNUMBER(SEARCH(Contacts!$K$3,$B364&amp;" "&amp;$C364&amp;" "&amp;$D364&amp;" "&amp;$S364)))),1,0))</f>
        <v>1</v>
      </c>
      <c r="AA364" s="47" t="n">
        <f aca="false">IF($Z364=1,COUNTIFS(c_Pass,1,c_Sort,"&lt;="&amp;$Y364),"")</f>
        <v>363</v>
      </c>
      <c r="AB364" s="47" t="str">
        <f aca="false">IF(OR($G364&lt;&gt;"Yes",NOT(ISNUMBER($H364))),"",COUNTIFS(c_Met,"Yes",c_Date,"&lt;"&amp;$H364)+COUNTIFS($G$2:$G364,"Yes",$H$2:$H364,$H364))</f>
        <v/>
      </c>
    </row>
    <row r="365" customFormat="false" ht="15" hidden="false" customHeight="false" outlineLevel="0" collapsed="false">
      <c r="A365" s="44" t="n">
        <f aca="false">IF($B365="","",COUNTA($B$2:$B365))</f>
        <v>364</v>
      </c>
      <c r="B365" s="11" t="s">
        <v>899</v>
      </c>
      <c r="C365" s="11" t="s">
        <v>900</v>
      </c>
      <c r="D365" s="11" t="s">
        <v>29</v>
      </c>
      <c r="E365" s="11" t="s">
        <v>131</v>
      </c>
      <c r="F365" s="11" t="s">
        <v>66</v>
      </c>
      <c r="G365" s="34" t="s">
        <v>132</v>
      </c>
      <c r="H365" s="25"/>
      <c r="I365" s="40" t="n">
        <v>0</v>
      </c>
      <c r="J365" s="34" t="s">
        <v>132</v>
      </c>
      <c r="K365" s="45"/>
      <c r="L365" s="34"/>
      <c r="M365" s="34"/>
      <c r="N365" s="11" t="s">
        <v>133</v>
      </c>
      <c r="O365" s="11" t="s">
        <v>55</v>
      </c>
      <c r="P365" s="11" t="s">
        <v>133</v>
      </c>
      <c r="Q365" s="11" t="s">
        <v>133</v>
      </c>
      <c r="R365" s="11" t="s">
        <v>133</v>
      </c>
      <c r="S365" s="46"/>
      <c r="T365" s="44" t="n">
        <f aca="false">IF($B365="","",COUNTA($N365:$R365)-COUNTIF($N365:$R365,"Not Invited"))</f>
        <v>1</v>
      </c>
      <c r="U365" s="44" t="n">
        <f aca="false">IF($B365="","",COUNTIF($N365:$R365,"Attended"))</f>
        <v>1</v>
      </c>
      <c r="V365" s="47" t="str">
        <f aca="false">IF($B365="","",_xlfn.TEXTJOIN(", ",TRUE(),IF($N365="Attended",Setup!$D$15,""),IF($O365="Attended",Setup!$D$16,""),IF($P365="Attended",Setup!$D$17,""),IF($Q365="Attended",Setup!$D$18,""),IF($R365="Attended",Setup!$D$19,"")))</f>
        <v>May-26 Symposium</v>
      </c>
      <c r="W365" s="48" t="str">
        <f aca="true">IF(OR($B365="",NOT(ISNUMBER($H365))),"",TODAY()-$H365)</f>
        <v/>
      </c>
      <c r="X365" s="47" t="str">
        <f aca="false">IF($B365="","",IF($U365&gt;0,"Event attendee",IF($G365="Yes","Met (no event)",IF($T365&gt;0,"Invited only",IF(OR($L365="Yes",$M365="Yes"),"Contacted only","Not yet contacted")))))</f>
        <v>Event attendee</v>
      </c>
      <c r="Y365" s="47" t="n">
        <f aca="false">IF($B365="","",COUNTIF(c_Firm,"&lt;"&amp;$D365)+COUNTIFS(c_Firm,$D365,c_Name,"&lt;"&amp;$B365)+COUNTIFS($D$2:$D365,$D365,$B$2:$B365,$B365))</f>
        <v>364</v>
      </c>
      <c r="Z365" s="47" t="n">
        <f aca="false">IF($B365="","",IF(AND(OR(Contacts!$C$3="(All)",$D365=Contacts!$C$3),OR(Contacts!$E$3="(All)",$G365=Contacts!$E$3),OR(Contacts!$G$3="(All)",ISNUMBER(SEARCH(Contacts!$G$3,$V365))),OR(Contacts!$I$3="(All)",$X365=Contacts!$I$3),OR(Contacts!$K$3="",ISNUMBER(SEARCH(Contacts!$K$3,$B365&amp;" "&amp;$C365&amp;" "&amp;$D365&amp;" "&amp;$S365)))),1,0))</f>
        <v>1</v>
      </c>
      <c r="AA365" s="47" t="n">
        <f aca="false">IF($Z365=1,COUNTIFS(c_Pass,1,c_Sort,"&lt;="&amp;$Y365),"")</f>
        <v>364</v>
      </c>
      <c r="AB365" s="47" t="str">
        <f aca="false">IF(OR($G365&lt;&gt;"Yes",NOT(ISNUMBER($H365))),"",COUNTIFS(c_Met,"Yes",c_Date,"&lt;"&amp;$H365)+COUNTIFS($G$2:$G365,"Yes",$H$2:$H365,$H365))</f>
        <v/>
      </c>
    </row>
    <row r="366" customFormat="false" ht="15" hidden="false" customHeight="false" outlineLevel="0" collapsed="false">
      <c r="A366" s="44" t="n">
        <f aca="false">IF($B366="","",COUNTA($B$2:$B366))</f>
        <v>365</v>
      </c>
      <c r="B366" s="11" t="s">
        <v>901</v>
      </c>
      <c r="C366" s="11" t="s">
        <v>902</v>
      </c>
      <c r="D366" s="11" t="s">
        <v>29</v>
      </c>
      <c r="E366" s="11" t="s">
        <v>131</v>
      </c>
      <c r="F366" s="11" t="s">
        <v>289</v>
      </c>
      <c r="G366" s="34" t="s">
        <v>132</v>
      </c>
      <c r="H366" s="25"/>
      <c r="I366" s="40" t="n">
        <v>0</v>
      </c>
      <c r="J366" s="34" t="s">
        <v>132</v>
      </c>
      <c r="K366" s="45"/>
      <c r="L366" s="34"/>
      <c r="M366" s="34" t="s">
        <v>142</v>
      </c>
      <c r="N366" s="11" t="s">
        <v>133</v>
      </c>
      <c r="O366" s="11" t="s">
        <v>57</v>
      </c>
      <c r="P366" s="11" t="s">
        <v>133</v>
      </c>
      <c r="Q366" s="11" t="s">
        <v>133</v>
      </c>
      <c r="R366" s="11" t="s">
        <v>133</v>
      </c>
      <c r="S366" s="46" t="s">
        <v>903</v>
      </c>
      <c r="T366" s="44" t="n">
        <f aca="false">IF($B366="","",COUNTA($N366:$R366)-COUNTIF($N366:$R366,"Not Invited"))</f>
        <v>1</v>
      </c>
      <c r="U366" s="44" t="n">
        <f aca="false">IF($B366="","",COUNTIF($N366:$R366,"Attended"))</f>
        <v>0</v>
      </c>
      <c r="V366" s="47" t="str">
        <f aca="false">IF($B366="","",_xlfn.TEXTJOIN(", ",TRUE(),IF($N366="Attended",Setup!$D$15,""),IF($O366="Attended",Setup!$D$16,""),IF($P366="Attended",Setup!$D$17,""),IF($Q366="Attended",Setup!$D$18,""),IF($R366="Attended",Setup!$D$19,"")))</f>
        <v/>
      </c>
      <c r="W366" s="48" t="str">
        <f aca="true">IF(OR($B366="",NOT(ISNUMBER($H366))),"",TODAY()-$H366)</f>
        <v/>
      </c>
      <c r="X366" s="47" t="str">
        <f aca="false">IF($B366="","",IF($U366&gt;0,"Event attendee",IF($G366="Yes","Met (no event)",IF($T366&gt;0,"Invited only",IF(OR($L366="Yes",$M366="Yes"),"Contacted only","Not yet contacted")))))</f>
        <v>Invited only</v>
      </c>
      <c r="Y366" s="47" t="n">
        <f aca="false">IF($B366="","",COUNTIF(c_Firm,"&lt;"&amp;$D366)+COUNTIFS(c_Firm,$D366,c_Name,"&lt;"&amp;$B366)+COUNTIFS($D$2:$D366,$D366,$B$2:$B366,$B366))</f>
        <v>365</v>
      </c>
      <c r="Z366" s="47" t="n">
        <f aca="false">IF($B366="","",IF(AND(OR(Contacts!$C$3="(All)",$D366=Contacts!$C$3),OR(Contacts!$E$3="(All)",$G366=Contacts!$E$3),OR(Contacts!$G$3="(All)",ISNUMBER(SEARCH(Contacts!$G$3,$V366))),OR(Contacts!$I$3="(All)",$X366=Contacts!$I$3),OR(Contacts!$K$3="",ISNUMBER(SEARCH(Contacts!$K$3,$B366&amp;" "&amp;$C366&amp;" "&amp;$D366&amp;" "&amp;$S366)))),1,0))</f>
        <v>1</v>
      </c>
      <c r="AA366" s="47" t="n">
        <f aca="false">IF($Z366=1,COUNTIFS(c_Pass,1,c_Sort,"&lt;="&amp;$Y366),"")</f>
        <v>365</v>
      </c>
      <c r="AB366" s="47" t="str">
        <f aca="false">IF(OR($G366&lt;&gt;"Yes",NOT(ISNUMBER($H366))),"",COUNTIFS(c_Met,"Yes",c_Date,"&lt;"&amp;$H366)+COUNTIFS($G$2:$G366,"Yes",$H$2:$H366,$H366))</f>
        <v/>
      </c>
    </row>
    <row r="367" customFormat="false" ht="15" hidden="false" customHeight="false" outlineLevel="0" collapsed="false">
      <c r="A367" s="44" t="n">
        <f aca="false">IF($B367="","",COUNTA($B$2:$B367))</f>
        <v>366</v>
      </c>
      <c r="B367" s="11" t="s">
        <v>904</v>
      </c>
      <c r="C367" s="11"/>
      <c r="D367" s="11" t="s">
        <v>29</v>
      </c>
      <c r="E367" s="11" t="s">
        <v>193</v>
      </c>
      <c r="F367" s="11" t="s">
        <v>68</v>
      </c>
      <c r="G367" s="34" t="s">
        <v>132</v>
      </c>
      <c r="H367" s="25"/>
      <c r="I367" s="40" t="n">
        <v>0</v>
      </c>
      <c r="J367" s="34" t="s">
        <v>132</v>
      </c>
      <c r="K367" s="45"/>
      <c r="L367" s="34"/>
      <c r="M367" s="34" t="s">
        <v>142</v>
      </c>
      <c r="N367" s="11" t="s">
        <v>133</v>
      </c>
      <c r="O367" s="11" t="s">
        <v>133</v>
      </c>
      <c r="P367" s="11" t="s">
        <v>133</v>
      </c>
      <c r="Q367" s="11" t="s">
        <v>133</v>
      </c>
      <c r="R367" s="11" t="s">
        <v>133</v>
      </c>
      <c r="S367" s="46" t="s">
        <v>905</v>
      </c>
      <c r="T367" s="44" t="n">
        <f aca="false">IF($B367="","",COUNTA($N367:$R367)-COUNTIF($N367:$R367,"Not Invited"))</f>
        <v>0</v>
      </c>
      <c r="U367" s="44" t="n">
        <f aca="false">IF($B367="","",COUNTIF($N367:$R367,"Attended"))</f>
        <v>0</v>
      </c>
      <c r="V367" s="47" t="str">
        <f aca="false">IF($B367="","",_xlfn.TEXTJOIN(", ",TRUE(),IF($N367="Attended",Setup!$D$15,""),IF($O367="Attended",Setup!$D$16,""),IF($P367="Attended",Setup!$D$17,""),IF($Q367="Attended",Setup!$D$18,""),IF($R367="Attended",Setup!$D$19,"")))</f>
        <v/>
      </c>
      <c r="W367" s="48" t="str">
        <f aca="true">IF(OR($B367="",NOT(ISNUMBER($H367))),"",TODAY()-$H367)</f>
        <v/>
      </c>
      <c r="X367" s="47" t="str">
        <f aca="false">IF($B367="","",IF($U367&gt;0,"Event attendee",IF($G367="Yes","Met (no event)",IF($T367&gt;0,"Invited only",IF(OR($L367="Yes",$M367="Yes"),"Contacted only","Not yet contacted")))))</f>
        <v>Contacted only</v>
      </c>
      <c r="Y367" s="47" t="n">
        <f aca="false">IF($B367="","",COUNTIF(c_Firm,"&lt;"&amp;$D367)+COUNTIFS(c_Firm,$D367,c_Name,"&lt;"&amp;$B367)+COUNTIFS($D$2:$D367,$D367,$B$2:$B367,$B367))</f>
        <v>366</v>
      </c>
      <c r="Z367" s="47" t="n">
        <f aca="false">IF($B367="","",IF(AND(OR(Contacts!$C$3="(All)",$D367=Contacts!$C$3),OR(Contacts!$E$3="(All)",$G367=Contacts!$E$3),OR(Contacts!$G$3="(All)",ISNUMBER(SEARCH(Contacts!$G$3,$V367))),OR(Contacts!$I$3="(All)",$X367=Contacts!$I$3),OR(Contacts!$K$3="",ISNUMBER(SEARCH(Contacts!$K$3,$B367&amp;" "&amp;$C367&amp;" "&amp;$D367&amp;" "&amp;$S367)))),1,0))</f>
        <v>1</v>
      </c>
      <c r="AA367" s="47" t="n">
        <f aca="false">IF($Z367=1,COUNTIFS(c_Pass,1,c_Sort,"&lt;="&amp;$Y367),"")</f>
        <v>366</v>
      </c>
      <c r="AB367" s="47" t="str">
        <f aca="false">IF(OR($G367&lt;&gt;"Yes",NOT(ISNUMBER($H367))),"",COUNTIFS(c_Met,"Yes",c_Date,"&lt;"&amp;$H367)+COUNTIFS($G$2:$G367,"Yes",$H$2:$H367,$H367))</f>
        <v/>
      </c>
    </row>
    <row r="368" customFormat="false" ht="15" hidden="false" customHeight="false" outlineLevel="0" collapsed="false">
      <c r="A368" s="44" t="n">
        <f aca="false">IF($B368="","",COUNTA($B$2:$B368))</f>
        <v>367</v>
      </c>
      <c r="B368" s="11" t="s">
        <v>906</v>
      </c>
      <c r="C368" s="11" t="s">
        <v>907</v>
      </c>
      <c r="D368" s="11" t="s">
        <v>29</v>
      </c>
      <c r="E368" s="11" t="s">
        <v>131</v>
      </c>
      <c r="F368" s="11" t="s">
        <v>141</v>
      </c>
      <c r="G368" s="34" t="s">
        <v>132</v>
      </c>
      <c r="H368" s="25"/>
      <c r="I368" s="40" t="n">
        <v>0</v>
      </c>
      <c r="J368" s="34" t="s">
        <v>132</v>
      </c>
      <c r="K368" s="45" t="n">
        <v>5000000</v>
      </c>
      <c r="L368" s="34"/>
      <c r="M368" s="34"/>
      <c r="N368" s="11" t="s">
        <v>55</v>
      </c>
      <c r="O368" s="11" t="s">
        <v>143</v>
      </c>
      <c r="P368" s="11" t="s">
        <v>133</v>
      </c>
      <c r="Q368" s="11" t="s">
        <v>133</v>
      </c>
      <c r="R368" s="11" t="s">
        <v>133</v>
      </c>
      <c r="S368" s="46"/>
      <c r="T368" s="44" t="n">
        <f aca="false">IF($B368="","",COUNTA($N368:$R368)-COUNTIF($N368:$R368,"Not Invited"))</f>
        <v>2</v>
      </c>
      <c r="U368" s="44" t="n">
        <f aca="false">IF($B368="","",COUNTIF($N368:$R368,"Attended"))</f>
        <v>1</v>
      </c>
      <c r="V368" s="47" t="str">
        <f aca="false">IF($B368="","",_xlfn.TEXTJOIN(", ",TRUE(),IF($N368="Attended",Setup!$D$15,""),IF($O368="Attended",Setup!$D$16,""),IF($P368="Attended",Setup!$D$17,""),IF($Q368="Attended",Setup!$D$18,""),IF($R368="Attended",Setup!$D$19,"")))</f>
        <v>Oct-25 Symposium</v>
      </c>
      <c r="W368" s="48" t="str">
        <f aca="true">IF(OR($B368="",NOT(ISNUMBER($H368))),"",TODAY()-$H368)</f>
        <v/>
      </c>
      <c r="X368" s="47" t="str">
        <f aca="false">IF($B368="","",IF($U368&gt;0,"Event attendee",IF($G368="Yes","Met (no event)",IF($T368&gt;0,"Invited only",IF(OR($L368="Yes",$M368="Yes"),"Contacted only","Not yet contacted")))))</f>
        <v>Event attendee</v>
      </c>
      <c r="Y368" s="47" t="n">
        <f aca="false">IF($B368="","",COUNTIF(c_Firm,"&lt;"&amp;$D368)+COUNTIFS(c_Firm,$D368,c_Name,"&lt;"&amp;$B368)+COUNTIFS($D$2:$D368,$D368,$B$2:$B368,$B368))</f>
        <v>367</v>
      </c>
      <c r="Z368" s="47" t="n">
        <f aca="false">IF($B368="","",IF(AND(OR(Contacts!$C$3="(All)",$D368=Contacts!$C$3),OR(Contacts!$E$3="(All)",$G368=Contacts!$E$3),OR(Contacts!$G$3="(All)",ISNUMBER(SEARCH(Contacts!$G$3,$V368))),OR(Contacts!$I$3="(All)",$X368=Contacts!$I$3),OR(Contacts!$K$3="",ISNUMBER(SEARCH(Contacts!$K$3,$B368&amp;" "&amp;$C368&amp;" "&amp;$D368&amp;" "&amp;$S368)))),1,0))</f>
        <v>1</v>
      </c>
      <c r="AA368" s="47" t="n">
        <f aca="false">IF($Z368=1,COUNTIFS(c_Pass,1,c_Sort,"&lt;="&amp;$Y368),"")</f>
        <v>367</v>
      </c>
      <c r="AB368" s="47" t="str">
        <f aca="false">IF(OR($G368&lt;&gt;"Yes",NOT(ISNUMBER($H368))),"",COUNTIFS(c_Met,"Yes",c_Date,"&lt;"&amp;$H368)+COUNTIFS($G$2:$G368,"Yes",$H$2:$H368,$H368))</f>
        <v/>
      </c>
    </row>
    <row r="369" customFormat="false" ht="15" hidden="false" customHeight="false" outlineLevel="0" collapsed="false">
      <c r="A369" s="44" t="n">
        <f aca="false">IF($B369="","",COUNTA($B$2:$B369))</f>
        <v>368</v>
      </c>
      <c r="B369" s="11" t="s">
        <v>908</v>
      </c>
      <c r="C369" s="11" t="s">
        <v>909</v>
      </c>
      <c r="D369" s="11" t="s">
        <v>29</v>
      </c>
      <c r="E369" s="11" t="s">
        <v>131</v>
      </c>
      <c r="F369" s="11" t="s">
        <v>289</v>
      </c>
      <c r="G369" s="34" t="s">
        <v>132</v>
      </c>
      <c r="H369" s="25"/>
      <c r="I369" s="40" t="n">
        <v>0</v>
      </c>
      <c r="J369" s="34" t="s">
        <v>132</v>
      </c>
      <c r="K369" s="45"/>
      <c r="L369" s="34"/>
      <c r="M369" s="34" t="s">
        <v>132</v>
      </c>
      <c r="N369" s="11" t="s">
        <v>133</v>
      </c>
      <c r="O369" s="11" t="s">
        <v>143</v>
      </c>
      <c r="P369" s="11" t="s">
        <v>133</v>
      </c>
      <c r="Q369" s="11" t="s">
        <v>133</v>
      </c>
      <c r="R369" s="11" t="s">
        <v>133</v>
      </c>
      <c r="S369" s="46" t="s">
        <v>910</v>
      </c>
      <c r="T369" s="44" t="n">
        <f aca="false">IF($B369="","",COUNTA($N369:$R369)-COUNTIF($N369:$R369,"Not Invited"))</f>
        <v>1</v>
      </c>
      <c r="U369" s="44" t="n">
        <f aca="false">IF($B369="","",COUNTIF($N369:$R369,"Attended"))</f>
        <v>0</v>
      </c>
      <c r="V369" s="47" t="str">
        <f aca="false">IF($B369="","",_xlfn.TEXTJOIN(", ",TRUE(),IF($N369="Attended",Setup!$D$15,""),IF($O369="Attended",Setup!$D$16,""),IF($P369="Attended",Setup!$D$17,""),IF($Q369="Attended",Setup!$D$18,""),IF($R369="Attended",Setup!$D$19,"")))</f>
        <v/>
      </c>
      <c r="W369" s="48" t="str">
        <f aca="true">IF(OR($B369="",NOT(ISNUMBER($H369))),"",TODAY()-$H369)</f>
        <v/>
      </c>
      <c r="X369" s="47" t="str">
        <f aca="false">IF($B369="","",IF($U369&gt;0,"Event attendee",IF($G369="Yes","Met (no event)",IF($T369&gt;0,"Invited only",IF(OR($L369="Yes",$M369="Yes"),"Contacted only","Not yet contacted")))))</f>
        <v>Invited only</v>
      </c>
      <c r="Y369" s="47" t="n">
        <f aca="false">IF($B369="","",COUNTIF(c_Firm,"&lt;"&amp;$D369)+COUNTIFS(c_Firm,$D369,c_Name,"&lt;"&amp;$B369)+COUNTIFS($D$2:$D369,$D369,$B$2:$B369,$B369))</f>
        <v>368</v>
      </c>
      <c r="Z369" s="47" t="n">
        <f aca="false">IF($B369="","",IF(AND(OR(Contacts!$C$3="(All)",$D369=Contacts!$C$3),OR(Contacts!$E$3="(All)",$G369=Contacts!$E$3),OR(Contacts!$G$3="(All)",ISNUMBER(SEARCH(Contacts!$G$3,$V369))),OR(Contacts!$I$3="(All)",$X369=Contacts!$I$3),OR(Contacts!$K$3="",ISNUMBER(SEARCH(Contacts!$K$3,$B369&amp;" "&amp;$C369&amp;" "&amp;$D369&amp;" "&amp;$S369)))),1,0))</f>
        <v>1</v>
      </c>
      <c r="AA369" s="47" t="n">
        <f aca="false">IF($Z369=1,COUNTIFS(c_Pass,1,c_Sort,"&lt;="&amp;$Y369),"")</f>
        <v>368</v>
      </c>
      <c r="AB369" s="47" t="str">
        <f aca="false">IF(OR($G369&lt;&gt;"Yes",NOT(ISNUMBER($H369))),"",COUNTIFS(c_Met,"Yes",c_Date,"&lt;"&amp;$H369)+COUNTIFS($G$2:$G369,"Yes",$H$2:$H369,$H369))</f>
        <v/>
      </c>
    </row>
    <row r="370" customFormat="false" ht="15" hidden="false" customHeight="false" outlineLevel="0" collapsed="false">
      <c r="A370" s="44" t="n">
        <f aca="false">IF($B370="","",COUNTA($B$2:$B370))</f>
        <v>369</v>
      </c>
      <c r="B370" s="11" t="s">
        <v>911</v>
      </c>
      <c r="C370" s="11" t="s">
        <v>912</v>
      </c>
      <c r="D370" s="11" t="s">
        <v>29</v>
      </c>
      <c r="E370" s="11" t="s">
        <v>131</v>
      </c>
      <c r="F370" s="11" t="s">
        <v>207</v>
      </c>
      <c r="G370" s="34" t="s">
        <v>132</v>
      </c>
      <c r="H370" s="25"/>
      <c r="I370" s="40" t="n">
        <v>0</v>
      </c>
      <c r="J370" s="34" t="s">
        <v>132</v>
      </c>
      <c r="K370" s="45" t="n">
        <v>5000000</v>
      </c>
      <c r="L370" s="34"/>
      <c r="M370" s="34"/>
      <c r="N370" s="11" t="s">
        <v>57</v>
      </c>
      <c r="O370" s="11" t="s">
        <v>57</v>
      </c>
      <c r="P370" s="11" t="s">
        <v>133</v>
      </c>
      <c r="Q370" s="11" t="s">
        <v>133</v>
      </c>
      <c r="R370" s="11" t="s">
        <v>133</v>
      </c>
      <c r="S370" s="46" t="s">
        <v>913</v>
      </c>
      <c r="T370" s="44" t="n">
        <f aca="false">IF($B370="","",COUNTA($N370:$R370)-COUNTIF($N370:$R370,"Not Invited"))</f>
        <v>2</v>
      </c>
      <c r="U370" s="44" t="n">
        <f aca="false">IF($B370="","",COUNTIF($N370:$R370,"Attended"))</f>
        <v>0</v>
      </c>
      <c r="V370" s="47" t="str">
        <f aca="false">IF($B370="","",_xlfn.TEXTJOIN(", ",TRUE(),IF($N370="Attended",Setup!$D$15,""),IF($O370="Attended",Setup!$D$16,""),IF($P370="Attended",Setup!$D$17,""),IF($Q370="Attended",Setup!$D$18,""),IF($R370="Attended",Setup!$D$19,"")))</f>
        <v/>
      </c>
      <c r="W370" s="48" t="str">
        <f aca="true">IF(OR($B370="",NOT(ISNUMBER($H370))),"",TODAY()-$H370)</f>
        <v/>
      </c>
      <c r="X370" s="47" t="str">
        <f aca="false">IF($B370="","",IF($U370&gt;0,"Event attendee",IF($G370="Yes","Met (no event)",IF($T370&gt;0,"Invited only",IF(OR($L370="Yes",$M370="Yes"),"Contacted only","Not yet contacted")))))</f>
        <v>Invited only</v>
      </c>
      <c r="Y370" s="47" t="n">
        <f aca="false">IF($B370="","",COUNTIF(c_Firm,"&lt;"&amp;$D370)+COUNTIFS(c_Firm,$D370,c_Name,"&lt;"&amp;$B370)+COUNTIFS($D$2:$D370,$D370,$B$2:$B370,$B370))</f>
        <v>369</v>
      </c>
      <c r="Z370" s="47" t="n">
        <f aca="false">IF($B370="","",IF(AND(OR(Contacts!$C$3="(All)",$D370=Contacts!$C$3),OR(Contacts!$E$3="(All)",$G370=Contacts!$E$3),OR(Contacts!$G$3="(All)",ISNUMBER(SEARCH(Contacts!$G$3,$V370))),OR(Contacts!$I$3="(All)",$X370=Contacts!$I$3),OR(Contacts!$K$3="",ISNUMBER(SEARCH(Contacts!$K$3,$B370&amp;" "&amp;$C370&amp;" "&amp;$D370&amp;" "&amp;$S370)))),1,0))</f>
        <v>1</v>
      </c>
      <c r="AA370" s="47" t="n">
        <f aca="false">IF($Z370=1,COUNTIFS(c_Pass,1,c_Sort,"&lt;="&amp;$Y370),"")</f>
        <v>369</v>
      </c>
      <c r="AB370" s="47" t="str">
        <f aca="false">IF(OR($G370&lt;&gt;"Yes",NOT(ISNUMBER($H370))),"",COUNTIFS(c_Met,"Yes",c_Date,"&lt;"&amp;$H370)+COUNTIFS($G$2:$G370,"Yes",$H$2:$H370,$H370))</f>
        <v/>
      </c>
    </row>
    <row r="371" customFormat="false" ht="15" hidden="false" customHeight="false" outlineLevel="0" collapsed="false">
      <c r="A371" s="44" t="str">
        <f aca="false">IF($B371="","",COUNTA($B$2:$B371))</f>
        <v/>
      </c>
      <c r="B371" s="11"/>
      <c r="C371" s="11"/>
      <c r="D371" s="11"/>
      <c r="E371" s="11"/>
      <c r="F371" s="11"/>
      <c r="G371" s="34"/>
      <c r="H371" s="25"/>
      <c r="I371" s="40"/>
      <c r="J371" s="34"/>
      <c r="K371" s="45"/>
      <c r="L371" s="34"/>
      <c r="M371" s="34"/>
      <c r="N371" s="11"/>
      <c r="O371" s="11"/>
      <c r="P371" s="11"/>
      <c r="Q371" s="11"/>
      <c r="R371" s="11"/>
      <c r="S371" s="46"/>
      <c r="T371" s="44" t="str">
        <f aca="false">IF($B371="","",COUNTA($N371:$R371)-COUNTIF($N371:$R371,"Not Invited"))</f>
        <v/>
      </c>
      <c r="U371" s="44" t="str">
        <f aca="false">IF($B371="","",COUNTIF($N371:$R371,"Attended"))</f>
        <v/>
      </c>
      <c r="V371" s="47" t="str">
        <f aca="false">IF($B371="","",_xlfn.TEXTJOIN(", ",TRUE(),IF($N371="Attended",Setup!$D$15,""),IF($O371="Attended",Setup!$D$16,""),IF($P371="Attended",Setup!$D$17,""),IF($Q371="Attended",Setup!$D$18,""),IF($R371="Attended",Setup!$D$19,"")))</f>
        <v/>
      </c>
      <c r="W371" s="48" t="str">
        <f aca="true">IF(OR($B371="",NOT(ISNUMBER($H371))),"",TODAY()-$H371)</f>
        <v/>
      </c>
      <c r="X371" s="47" t="str">
        <f aca="false">IF($B371="","",IF($U371&gt;0,"Event attendee",IF($G371="Yes","Met (no event)",IF($T371&gt;0,"Invited only",IF(OR($L371="Yes",$M371="Yes"),"Contacted only","Not yet contacted")))))</f>
        <v/>
      </c>
      <c r="Y371" s="47" t="str">
        <f aca="false">IF($B371="","",COUNTIF(c_Firm,"&lt;"&amp;$D371)+COUNTIFS(c_Firm,$D371,c_Name,"&lt;"&amp;$B371)+COUNTIFS($D$2:$D371,$D371,$B$2:$B371,$B371))</f>
        <v/>
      </c>
      <c r="Z371" s="47" t="str">
        <f aca="false">IF($B371="","",IF(AND(OR(Contacts!$C$3="(All)",$D371=Contacts!$C$3),OR(Contacts!$E$3="(All)",$G371=Contacts!$E$3),OR(Contacts!$G$3="(All)",ISNUMBER(SEARCH(Contacts!$G$3,$V371))),OR(Contacts!$I$3="(All)",$X371=Contacts!$I$3),OR(Contacts!$K$3="",ISNUMBER(SEARCH(Contacts!$K$3,$B371&amp;" "&amp;$C371&amp;" "&amp;$D371&amp;" "&amp;$S371)))),1,0))</f>
        <v/>
      </c>
      <c r="AA371" s="47" t="str">
        <f aca="false">IF($Z371=1,COUNTIFS(c_Pass,1,c_Sort,"&lt;="&amp;$Y371),"")</f>
        <v/>
      </c>
      <c r="AB371" s="47" t="str">
        <f aca="false">IF(OR($G371&lt;&gt;"Yes",NOT(ISNUMBER($H371))),"",COUNTIFS(c_Met,"Yes",c_Date,"&lt;"&amp;$H371)+COUNTIFS($G$2:$G371,"Yes",$H$2:$H371,$H371))</f>
        <v/>
      </c>
    </row>
    <row r="372" customFormat="false" ht="15" hidden="false" customHeight="false" outlineLevel="0" collapsed="false">
      <c r="A372" s="44" t="str">
        <f aca="false">IF($B372="","",COUNTA($B$2:$B372))</f>
        <v/>
      </c>
      <c r="B372" s="11"/>
      <c r="C372" s="11"/>
      <c r="D372" s="11"/>
      <c r="E372" s="11"/>
      <c r="F372" s="11"/>
      <c r="G372" s="34"/>
      <c r="H372" s="25"/>
      <c r="I372" s="40"/>
      <c r="J372" s="34"/>
      <c r="K372" s="45"/>
      <c r="L372" s="34"/>
      <c r="M372" s="34"/>
      <c r="N372" s="11"/>
      <c r="O372" s="11"/>
      <c r="P372" s="11"/>
      <c r="Q372" s="11"/>
      <c r="R372" s="11"/>
      <c r="S372" s="46"/>
      <c r="T372" s="44" t="str">
        <f aca="false">IF($B372="","",COUNTA($N372:$R372)-COUNTIF($N372:$R372,"Not Invited"))</f>
        <v/>
      </c>
      <c r="U372" s="44" t="str">
        <f aca="false">IF($B372="","",COUNTIF($N372:$R372,"Attended"))</f>
        <v/>
      </c>
      <c r="V372" s="47" t="str">
        <f aca="false">IF($B372="","",_xlfn.TEXTJOIN(", ",TRUE(),IF($N372="Attended",Setup!$D$15,""),IF($O372="Attended",Setup!$D$16,""),IF($P372="Attended",Setup!$D$17,""),IF($Q372="Attended",Setup!$D$18,""),IF($R372="Attended",Setup!$D$19,"")))</f>
        <v/>
      </c>
      <c r="W372" s="48" t="str">
        <f aca="true">IF(OR($B372="",NOT(ISNUMBER($H372))),"",TODAY()-$H372)</f>
        <v/>
      </c>
      <c r="X372" s="47" t="str">
        <f aca="false">IF($B372="","",IF($U372&gt;0,"Event attendee",IF($G372="Yes","Met (no event)",IF($T372&gt;0,"Invited only",IF(OR($L372="Yes",$M372="Yes"),"Contacted only","Not yet contacted")))))</f>
        <v/>
      </c>
      <c r="Y372" s="47" t="str">
        <f aca="false">IF($B372="","",COUNTIF(c_Firm,"&lt;"&amp;$D372)+COUNTIFS(c_Firm,$D372,c_Name,"&lt;"&amp;$B372)+COUNTIFS($D$2:$D372,$D372,$B$2:$B372,$B372))</f>
        <v/>
      </c>
      <c r="Z372" s="47" t="str">
        <f aca="false">IF($B372="","",IF(AND(OR(Contacts!$C$3="(All)",$D372=Contacts!$C$3),OR(Contacts!$E$3="(All)",$G372=Contacts!$E$3),OR(Contacts!$G$3="(All)",ISNUMBER(SEARCH(Contacts!$G$3,$V372))),OR(Contacts!$I$3="(All)",$X372=Contacts!$I$3),OR(Contacts!$K$3="",ISNUMBER(SEARCH(Contacts!$K$3,$B372&amp;" "&amp;$C372&amp;" "&amp;$D372&amp;" "&amp;$S372)))),1,0))</f>
        <v/>
      </c>
      <c r="AA372" s="47" t="str">
        <f aca="false">IF($Z372=1,COUNTIFS(c_Pass,1,c_Sort,"&lt;="&amp;$Y372),"")</f>
        <v/>
      </c>
      <c r="AB372" s="47" t="str">
        <f aca="false">IF(OR($G372&lt;&gt;"Yes",NOT(ISNUMBER($H372))),"",COUNTIFS(c_Met,"Yes",c_Date,"&lt;"&amp;$H372)+COUNTIFS($G$2:$G372,"Yes",$H$2:$H372,$H372))</f>
        <v/>
      </c>
    </row>
    <row r="373" customFormat="false" ht="15" hidden="false" customHeight="false" outlineLevel="0" collapsed="false">
      <c r="A373" s="44" t="str">
        <f aca="false">IF($B373="","",COUNTA($B$2:$B373))</f>
        <v/>
      </c>
      <c r="B373" s="11"/>
      <c r="C373" s="11"/>
      <c r="D373" s="11"/>
      <c r="E373" s="11"/>
      <c r="F373" s="11"/>
      <c r="G373" s="34"/>
      <c r="H373" s="25"/>
      <c r="I373" s="40"/>
      <c r="J373" s="34"/>
      <c r="K373" s="45"/>
      <c r="L373" s="34"/>
      <c r="M373" s="34"/>
      <c r="N373" s="11"/>
      <c r="O373" s="11"/>
      <c r="P373" s="11"/>
      <c r="Q373" s="11"/>
      <c r="R373" s="11"/>
      <c r="S373" s="46"/>
      <c r="T373" s="44" t="str">
        <f aca="false">IF($B373="","",COUNTA($N373:$R373)-COUNTIF($N373:$R373,"Not Invited"))</f>
        <v/>
      </c>
      <c r="U373" s="44" t="str">
        <f aca="false">IF($B373="","",COUNTIF($N373:$R373,"Attended"))</f>
        <v/>
      </c>
      <c r="V373" s="47" t="str">
        <f aca="false">IF($B373="","",_xlfn.TEXTJOIN(", ",TRUE(),IF($N373="Attended",Setup!$D$15,""),IF($O373="Attended",Setup!$D$16,""),IF($P373="Attended",Setup!$D$17,""),IF($Q373="Attended",Setup!$D$18,""),IF($R373="Attended",Setup!$D$19,"")))</f>
        <v/>
      </c>
      <c r="W373" s="48" t="str">
        <f aca="true">IF(OR($B373="",NOT(ISNUMBER($H373))),"",TODAY()-$H373)</f>
        <v/>
      </c>
      <c r="X373" s="47" t="str">
        <f aca="false">IF($B373="","",IF($U373&gt;0,"Event attendee",IF($G373="Yes","Met (no event)",IF($T373&gt;0,"Invited only",IF(OR($L373="Yes",$M373="Yes"),"Contacted only","Not yet contacted")))))</f>
        <v/>
      </c>
      <c r="Y373" s="47" t="str">
        <f aca="false">IF($B373="","",COUNTIF(c_Firm,"&lt;"&amp;$D373)+COUNTIFS(c_Firm,$D373,c_Name,"&lt;"&amp;$B373)+COUNTIFS($D$2:$D373,$D373,$B$2:$B373,$B373))</f>
        <v/>
      </c>
      <c r="Z373" s="47" t="str">
        <f aca="false">IF($B373="","",IF(AND(OR(Contacts!$C$3="(All)",$D373=Contacts!$C$3),OR(Contacts!$E$3="(All)",$G373=Contacts!$E$3),OR(Contacts!$G$3="(All)",ISNUMBER(SEARCH(Contacts!$G$3,$V373))),OR(Contacts!$I$3="(All)",$X373=Contacts!$I$3),OR(Contacts!$K$3="",ISNUMBER(SEARCH(Contacts!$K$3,$B373&amp;" "&amp;$C373&amp;" "&amp;$D373&amp;" "&amp;$S373)))),1,0))</f>
        <v/>
      </c>
      <c r="AA373" s="47" t="str">
        <f aca="false">IF($Z373=1,COUNTIFS(c_Pass,1,c_Sort,"&lt;="&amp;$Y373),"")</f>
        <v/>
      </c>
      <c r="AB373" s="47" t="str">
        <f aca="false">IF(OR($G373&lt;&gt;"Yes",NOT(ISNUMBER($H373))),"",COUNTIFS(c_Met,"Yes",c_Date,"&lt;"&amp;$H373)+COUNTIFS($G$2:$G373,"Yes",$H$2:$H373,$H373))</f>
        <v/>
      </c>
    </row>
    <row r="374" customFormat="false" ht="15" hidden="false" customHeight="false" outlineLevel="0" collapsed="false">
      <c r="A374" s="44" t="str">
        <f aca="false">IF($B374="","",COUNTA($B$2:$B374))</f>
        <v/>
      </c>
      <c r="B374" s="11"/>
      <c r="C374" s="11"/>
      <c r="D374" s="11"/>
      <c r="E374" s="11"/>
      <c r="F374" s="11"/>
      <c r="G374" s="34"/>
      <c r="H374" s="25"/>
      <c r="I374" s="40"/>
      <c r="J374" s="34"/>
      <c r="K374" s="45"/>
      <c r="L374" s="34"/>
      <c r="M374" s="34"/>
      <c r="N374" s="11"/>
      <c r="O374" s="11"/>
      <c r="P374" s="11"/>
      <c r="Q374" s="11"/>
      <c r="R374" s="11"/>
      <c r="S374" s="46"/>
      <c r="T374" s="44" t="str">
        <f aca="false">IF($B374="","",COUNTA($N374:$R374)-COUNTIF($N374:$R374,"Not Invited"))</f>
        <v/>
      </c>
      <c r="U374" s="44" t="str">
        <f aca="false">IF($B374="","",COUNTIF($N374:$R374,"Attended"))</f>
        <v/>
      </c>
      <c r="V374" s="47" t="str">
        <f aca="false">IF($B374="","",_xlfn.TEXTJOIN(", ",TRUE(),IF($N374="Attended",Setup!$D$15,""),IF($O374="Attended",Setup!$D$16,""),IF($P374="Attended",Setup!$D$17,""),IF($Q374="Attended",Setup!$D$18,""),IF($R374="Attended",Setup!$D$19,"")))</f>
        <v/>
      </c>
      <c r="W374" s="48" t="str">
        <f aca="true">IF(OR($B374="",NOT(ISNUMBER($H374))),"",TODAY()-$H374)</f>
        <v/>
      </c>
      <c r="X374" s="47" t="str">
        <f aca="false">IF($B374="","",IF($U374&gt;0,"Event attendee",IF($G374="Yes","Met (no event)",IF($T374&gt;0,"Invited only",IF(OR($L374="Yes",$M374="Yes"),"Contacted only","Not yet contacted")))))</f>
        <v/>
      </c>
      <c r="Y374" s="47" t="str">
        <f aca="false">IF($B374="","",COUNTIF(c_Firm,"&lt;"&amp;$D374)+COUNTIFS(c_Firm,$D374,c_Name,"&lt;"&amp;$B374)+COUNTIFS($D$2:$D374,$D374,$B$2:$B374,$B374))</f>
        <v/>
      </c>
      <c r="Z374" s="47" t="str">
        <f aca="false">IF($B374="","",IF(AND(OR(Contacts!$C$3="(All)",$D374=Contacts!$C$3),OR(Contacts!$E$3="(All)",$G374=Contacts!$E$3),OR(Contacts!$G$3="(All)",ISNUMBER(SEARCH(Contacts!$G$3,$V374))),OR(Contacts!$I$3="(All)",$X374=Contacts!$I$3),OR(Contacts!$K$3="",ISNUMBER(SEARCH(Contacts!$K$3,$B374&amp;" "&amp;$C374&amp;" "&amp;$D374&amp;" "&amp;$S374)))),1,0))</f>
        <v/>
      </c>
      <c r="AA374" s="47" t="str">
        <f aca="false">IF($Z374=1,COUNTIFS(c_Pass,1,c_Sort,"&lt;="&amp;$Y374),"")</f>
        <v/>
      </c>
      <c r="AB374" s="47" t="str">
        <f aca="false">IF(OR($G374&lt;&gt;"Yes",NOT(ISNUMBER($H374))),"",COUNTIFS(c_Met,"Yes",c_Date,"&lt;"&amp;$H374)+COUNTIFS($G$2:$G374,"Yes",$H$2:$H374,$H374))</f>
        <v/>
      </c>
    </row>
    <row r="375" customFormat="false" ht="15" hidden="false" customHeight="false" outlineLevel="0" collapsed="false">
      <c r="A375" s="44" t="str">
        <f aca="false">IF($B375="","",COUNTA($B$2:$B375))</f>
        <v/>
      </c>
      <c r="B375" s="11"/>
      <c r="C375" s="11"/>
      <c r="D375" s="11"/>
      <c r="E375" s="11"/>
      <c r="F375" s="11"/>
      <c r="G375" s="34"/>
      <c r="H375" s="25"/>
      <c r="I375" s="40"/>
      <c r="J375" s="34"/>
      <c r="K375" s="45"/>
      <c r="L375" s="34"/>
      <c r="M375" s="34"/>
      <c r="N375" s="11"/>
      <c r="O375" s="11"/>
      <c r="P375" s="11"/>
      <c r="Q375" s="11"/>
      <c r="R375" s="11"/>
      <c r="S375" s="46"/>
      <c r="T375" s="44" t="str">
        <f aca="false">IF($B375="","",COUNTA($N375:$R375)-COUNTIF($N375:$R375,"Not Invited"))</f>
        <v/>
      </c>
      <c r="U375" s="44" t="str">
        <f aca="false">IF($B375="","",COUNTIF($N375:$R375,"Attended"))</f>
        <v/>
      </c>
      <c r="V375" s="47" t="str">
        <f aca="false">IF($B375="","",_xlfn.TEXTJOIN(", ",TRUE(),IF($N375="Attended",Setup!$D$15,""),IF($O375="Attended",Setup!$D$16,""),IF($P375="Attended",Setup!$D$17,""),IF($Q375="Attended",Setup!$D$18,""),IF($R375="Attended",Setup!$D$19,"")))</f>
        <v/>
      </c>
      <c r="W375" s="48" t="str">
        <f aca="true">IF(OR($B375="",NOT(ISNUMBER($H375))),"",TODAY()-$H375)</f>
        <v/>
      </c>
      <c r="X375" s="47" t="str">
        <f aca="false">IF($B375="","",IF($U375&gt;0,"Event attendee",IF($G375="Yes","Met (no event)",IF($T375&gt;0,"Invited only",IF(OR($L375="Yes",$M375="Yes"),"Contacted only","Not yet contacted")))))</f>
        <v/>
      </c>
      <c r="Y375" s="47" t="str">
        <f aca="false">IF($B375="","",COUNTIF(c_Firm,"&lt;"&amp;$D375)+COUNTIFS(c_Firm,$D375,c_Name,"&lt;"&amp;$B375)+COUNTIFS($D$2:$D375,$D375,$B$2:$B375,$B375))</f>
        <v/>
      </c>
      <c r="Z375" s="47" t="str">
        <f aca="false">IF($B375="","",IF(AND(OR(Contacts!$C$3="(All)",$D375=Contacts!$C$3),OR(Contacts!$E$3="(All)",$G375=Contacts!$E$3),OR(Contacts!$G$3="(All)",ISNUMBER(SEARCH(Contacts!$G$3,$V375))),OR(Contacts!$I$3="(All)",$X375=Contacts!$I$3),OR(Contacts!$K$3="",ISNUMBER(SEARCH(Contacts!$K$3,$B375&amp;" "&amp;$C375&amp;" "&amp;$D375&amp;" "&amp;$S375)))),1,0))</f>
        <v/>
      </c>
      <c r="AA375" s="47" t="str">
        <f aca="false">IF($Z375=1,COUNTIFS(c_Pass,1,c_Sort,"&lt;="&amp;$Y375),"")</f>
        <v/>
      </c>
      <c r="AB375" s="47" t="str">
        <f aca="false">IF(OR($G375&lt;&gt;"Yes",NOT(ISNUMBER($H375))),"",COUNTIFS(c_Met,"Yes",c_Date,"&lt;"&amp;$H375)+COUNTIFS($G$2:$G375,"Yes",$H$2:$H375,$H375))</f>
        <v/>
      </c>
    </row>
    <row r="376" customFormat="false" ht="15" hidden="false" customHeight="false" outlineLevel="0" collapsed="false">
      <c r="A376" s="44" t="str">
        <f aca="false">IF($B376="","",COUNTA($B$2:$B376))</f>
        <v/>
      </c>
      <c r="B376" s="11"/>
      <c r="C376" s="11"/>
      <c r="D376" s="11"/>
      <c r="E376" s="11"/>
      <c r="F376" s="11"/>
      <c r="G376" s="34"/>
      <c r="H376" s="25"/>
      <c r="I376" s="40"/>
      <c r="J376" s="34"/>
      <c r="K376" s="45"/>
      <c r="L376" s="34"/>
      <c r="M376" s="34"/>
      <c r="N376" s="11"/>
      <c r="O376" s="11"/>
      <c r="P376" s="11"/>
      <c r="Q376" s="11"/>
      <c r="R376" s="11"/>
      <c r="S376" s="46"/>
      <c r="T376" s="44" t="str">
        <f aca="false">IF($B376="","",COUNTA($N376:$R376)-COUNTIF($N376:$R376,"Not Invited"))</f>
        <v/>
      </c>
      <c r="U376" s="44" t="str">
        <f aca="false">IF($B376="","",COUNTIF($N376:$R376,"Attended"))</f>
        <v/>
      </c>
      <c r="V376" s="47" t="str">
        <f aca="false">IF($B376="","",_xlfn.TEXTJOIN(", ",TRUE(),IF($N376="Attended",Setup!$D$15,""),IF($O376="Attended",Setup!$D$16,""),IF($P376="Attended",Setup!$D$17,""),IF($Q376="Attended",Setup!$D$18,""),IF($R376="Attended",Setup!$D$19,"")))</f>
        <v/>
      </c>
      <c r="W376" s="48" t="str">
        <f aca="true">IF(OR($B376="",NOT(ISNUMBER($H376))),"",TODAY()-$H376)</f>
        <v/>
      </c>
      <c r="X376" s="47" t="str">
        <f aca="false">IF($B376="","",IF($U376&gt;0,"Event attendee",IF($G376="Yes","Met (no event)",IF($T376&gt;0,"Invited only",IF(OR($L376="Yes",$M376="Yes"),"Contacted only","Not yet contacted")))))</f>
        <v/>
      </c>
      <c r="Y376" s="47" t="str">
        <f aca="false">IF($B376="","",COUNTIF(c_Firm,"&lt;"&amp;$D376)+COUNTIFS(c_Firm,$D376,c_Name,"&lt;"&amp;$B376)+COUNTIFS($D$2:$D376,$D376,$B$2:$B376,$B376))</f>
        <v/>
      </c>
      <c r="Z376" s="47" t="str">
        <f aca="false">IF($B376="","",IF(AND(OR(Contacts!$C$3="(All)",$D376=Contacts!$C$3),OR(Contacts!$E$3="(All)",$G376=Contacts!$E$3),OR(Contacts!$G$3="(All)",ISNUMBER(SEARCH(Contacts!$G$3,$V376))),OR(Contacts!$I$3="(All)",$X376=Contacts!$I$3),OR(Contacts!$K$3="",ISNUMBER(SEARCH(Contacts!$K$3,$B376&amp;" "&amp;$C376&amp;" "&amp;$D376&amp;" "&amp;$S376)))),1,0))</f>
        <v/>
      </c>
      <c r="AA376" s="47" t="str">
        <f aca="false">IF($Z376=1,COUNTIFS(c_Pass,1,c_Sort,"&lt;="&amp;$Y376),"")</f>
        <v/>
      </c>
      <c r="AB376" s="47" t="str">
        <f aca="false">IF(OR($G376&lt;&gt;"Yes",NOT(ISNUMBER($H376))),"",COUNTIFS(c_Met,"Yes",c_Date,"&lt;"&amp;$H376)+COUNTIFS($G$2:$G376,"Yes",$H$2:$H376,$H376))</f>
        <v/>
      </c>
    </row>
    <row r="377" customFormat="false" ht="15" hidden="false" customHeight="false" outlineLevel="0" collapsed="false">
      <c r="A377" s="44" t="str">
        <f aca="false">IF($B377="","",COUNTA($B$2:$B377))</f>
        <v/>
      </c>
      <c r="B377" s="11"/>
      <c r="C377" s="11"/>
      <c r="D377" s="11"/>
      <c r="E377" s="11"/>
      <c r="F377" s="11"/>
      <c r="G377" s="34"/>
      <c r="H377" s="25"/>
      <c r="I377" s="40"/>
      <c r="J377" s="34"/>
      <c r="K377" s="45"/>
      <c r="L377" s="34"/>
      <c r="M377" s="34"/>
      <c r="N377" s="11"/>
      <c r="O377" s="11"/>
      <c r="P377" s="11"/>
      <c r="Q377" s="11"/>
      <c r="R377" s="11"/>
      <c r="S377" s="46"/>
      <c r="T377" s="44" t="str">
        <f aca="false">IF($B377="","",COUNTA($N377:$R377)-COUNTIF($N377:$R377,"Not Invited"))</f>
        <v/>
      </c>
      <c r="U377" s="44" t="str">
        <f aca="false">IF($B377="","",COUNTIF($N377:$R377,"Attended"))</f>
        <v/>
      </c>
      <c r="V377" s="47" t="str">
        <f aca="false">IF($B377="","",_xlfn.TEXTJOIN(", ",TRUE(),IF($N377="Attended",Setup!$D$15,""),IF($O377="Attended",Setup!$D$16,""),IF($P377="Attended",Setup!$D$17,""),IF($Q377="Attended",Setup!$D$18,""),IF($R377="Attended",Setup!$D$19,"")))</f>
        <v/>
      </c>
      <c r="W377" s="48" t="str">
        <f aca="true">IF(OR($B377="",NOT(ISNUMBER($H377))),"",TODAY()-$H377)</f>
        <v/>
      </c>
      <c r="X377" s="47" t="str">
        <f aca="false">IF($B377="","",IF($U377&gt;0,"Event attendee",IF($G377="Yes","Met (no event)",IF($T377&gt;0,"Invited only",IF(OR($L377="Yes",$M377="Yes"),"Contacted only","Not yet contacted")))))</f>
        <v/>
      </c>
      <c r="Y377" s="47" t="str">
        <f aca="false">IF($B377="","",COUNTIF(c_Firm,"&lt;"&amp;$D377)+COUNTIFS(c_Firm,$D377,c_Name,"&lt;"&amp;$B377)+COUNTIFS($D$2:$D377,$D377,$B$2:$B377,$B377))</f>
        <v/>
      </c>
      <c r="Z377" s="47" t="str">
        <f aca="false">IF($B377="","",IF(AND(OR(Contacts!$C$3="(All)",$D377=Contacts!$C$3),OR(Contacts!$E$3="(All)",$G377=Contacts!$E$3),OR(Contacts!$G$3="(All)",ISNUMBER(SEARCH(Contacts!$G$3,$V377))),OR(Contacts!$I$3="(All)",$X377=Contacts!$I$3),OR(Contacts!$K$3="",ISNUMBER(SEARCH(Contacts!$K$3,$B377&amp;" "&amp;$C377&amp;" "&amp;$D377&amp;" "&amp;$S377)))),1,0))</f>
        <v/>
      </c>
      <c r="AA377" s="47" t="str">
        <f aca="false">IF($Z377=1,COUNTIFS(c_Pass,1,c_Sort,"&lt;="&amp;$Y377),"")</f>
        <v/>
      </c>
      <c r="AB377" s="47" t="str">
        <f aca="false">IF(OR($G377&lt;&gt;"Yes",NOT(ISNUMBER($H377))),"",COUNTIFS(c_Met,"Yes",c_Date,"&lt;"&amp;$H377)+COUNTIFS($G$2:$G377,"Yes",$H$2:$H377,$H377))</f>
        <v/>
      </c>
    </row>
    <row r="378" customFormat="false" ht="15" hidden="false" customHeight="false" outlineLevel="0" collapsed="false">
      <c r="A378" s="44" t="str">
        <f aca="false">IF($B378="","",COUNTA($B$2:$B378))</f>
        <v/>
      </c>
      <c r="B378" s="11"/>
      <c r="C378" s="11"/>
      <c r="D378" s="11"/>
      <c r="E378" s="11"/>
      <c r="F378" s="11"/>
      <c r="G378" s="34"/>
      <c r="H378" s="25"/>
      <c r="I378" s="40"/>
      <c r="J378" s="34"/>
      <c r="K378" s="45"/>
      <c r="L378" s="34"/>
      <c r="M378" s="34"/>
      <c r="N378" s="11"/>
      <c r="O378" s="11"/>
      <c r="P378" s="11"/>
      <c r="Q378" s="11"/>
      <c r="R378" s="11"/>
      <c r="S378" s="46"/>
      <c r="T378" s="44" t="str">
        <f aca="false">IF($B378="","",COUNTA($N378:$R378)-COUNTIF($N378:$R378,"Not Invited"))</f>
        <v/>
      </c>
      <c r="U378" s="44" t="str">
        <f aca="false">IF($B378="","",COUNTIF($N378:$R378,"Attended"))</f>
        <v/>
      </c>
      <c r="V378" s="47" t="str">
        <f aca="false">IF($B378="","",_xlfn.TEXTJOIN(", ",TRUE(),IF($N378="Attended",Setup!$D$15,""),IF($O378="Attended",Setup!$D$16,""),IF($P378="Attended",Setup!$D$17,""),IF($Q378="Attended",Setup!$D$18,""),IF($R378="Attended",Setup!$D$19,"")))</f>
        <v/>
      </c>
      <c r="W378" s="48" t="str">
        <f aca="true">IF(OR($B378="",NOT(ISNUMBER($H378))),"",TODAY()-$H378)</f>
        <v/>
      </c>
      <c r="X378" s="47" t="str">
        <f aca="false">IF($B378="","",IF($U378&gt;0,"Event attendee",IF($G378="Yes","Met (no event)",IF($T378&gt;0,"Invited only",IF(OR($L378="Yes",$M378="Yes"),"Contacted only","Not yet contacted")))))</f>
        <v/>
      </c>
      <c r="Y378" s="47" t="str">
        <f aca="false">IF($B378="","",COUNTIF(c_Firm,"&lt;"&amp;$D378)+COUNTIFS(c_Firm,$D378,c_Name,"&lt;"&amp;$B378)+COUNTIFS($D$2:$D378,$D378,$B$2:$B378,$B378))</f>
        <v/>
      </c>
      <c r="Z378" s="47" t="str">
        <f aca="false">IF($B378="","",IF(AND(OR(Contacts!$C$3="(All)",$D378=Contacts!$C$3),OR(Contacts!$E$3="(All)",$G378=Contacts!$E$3),OR(Contacts!$G$3="(All)",ISNUMBER(SEARCH(Contacts!$G$3,$V378))),OR(Contacts!$I$3="(All)",$X378=Contacts!$I$3),OR(Contacts!$K$3="",ISNUMBER(SEARCH(Contacts!$K$3,$B378&amp;" "&amp;$C378&amp;" "&amp;$D378&amp;" "&amp;$S378)))),1,0))</f>
        <v/>
      </c>
      <c r="AA378" s="47" t="str">
        <f aca="false">IF($Z378=1,COUNTIFS(c_Pass,1,c_Sort,"&lt;="&amp;$Y378),"")</f>
        <v/>
      </c>
      <c r="AB378" s="47" t="str">
        <f aca="false">IF(OR($G378&lt;&gt;"Yes",NOT(ISNUMBER($H378))),"",COUNTIFS(c_Met,"Yes",c_Date,"&lt;"&amp;$H378)+COUNTIFS($G$2:$G378,"Yes",$H$2:$H378,$H378))</f>
        <v/>
      </c>
    </row>
    <row r="379" customFormat="false" ht="15" hidden="false" customHeight="false" outlineLevel="0" collapsed="false">
      <c r="A379" s="44" t="str">
        <f aca="false">IF($B379="","",COUNTA($B$2:$B379))</f>
        <v/>
      </c>
      <c r="B379" s="11"/>
      <c r="C379" s="11"/>
      <c r="D379" s="11"/>
      <c r="E379" s="11"/>
      <c r="F379" s="11"/>
      <c r="G379" s="34"/>
      <c r="H379" s="25"/>
      <c r="I379" s="40"/>
      <c r="J379" s="34"/>
      <c r="K379" s="45"/>
      <c r="L379" s="34"/>
      <c r="M379" s="34"/>
      <c r="N379" s="11"/>
      <c r="O379" s="11"/>
      <c r="P379" s="11"/>
      <c r="Q379" s="11"/>
      <c r="R379" s="11"/>
      <c r="S379" s="46"/>
      <c r="T379" s="44" t="str">
        <f aca="false">IF($B379="","",COUNTA($N379:$R379)-COUNTIF($N379:$R379,"Not Invited"))</f>
        <v/>
      </c>
      <c r="U379" s="44" t="str">
        <f aca="false">IF($B379="","",COUNTIF($N379:$R379,"Attended"))</f>
        <v/>
      </c>
      <c r="V379" s="47" t="str">
        <f aca="false">IF($B379="","",_xlfn.TEXTJOIN(", ",TRUE(),IF($N379="Attended",Setup!$D$15,""),IF($O379="Attended",Setup!$D$16,""),IF($P379="Attended",Setup!$D$17,""),IF($Q379="Attended",Setup!$D$18,""),IF($R379="Attended",Setup!$D$19,"")))</f>
        <v/>
      </c>
      <c r="W379" s="48" t="str">
        <f aca="true">IF(OR($B379="",NOT(ISNUMBER($H379))),"",TODAY()-$H379)</f>
        <v/>
      </c>
      <c r="X379" s="47" t="str">
        <f aca="false">IF($B379="","",IF($U379&gt;0,"Event attendee",IF($G379="Yes","Met (no event)",IF($T379&gt;0,"Invited only",IF(OR($L379="Yes",$M379="Yes"),"Contacted only","Not yet contacted")))))</f>
        <v/>
      </c>
      <c r="Y379" s="47" t="str">
        <f aca="false">IF($B379="","",COUNTIF(c_Firm,"&lt;"&amp;$D379)+COUNTIFS(c_Firm,$D379,c_Name,"&lt;"&amp;$B379)+COUNTIFS($D$2:$D379,$D379,$B$2:$B379,$B379))</f>
        <v/>
      </c>
      <c r="Z379" s="47" t="str">
        <f aca="false">IF($B379="","",IF(AND(OR(Contacts!$C$3="(All)",$D379=Contacts!$C$3),OR(Contacts!$E$3="(All)",$G379=Contacts!$E$3),OR(Contacts!$G$3="(All)",ISNUMBER(SEARCH(Contacts!$G$3,$V379))),OR(Contacts!$I$3="(All)",$X379=Contacts!$I$3),OR(Contacts!$K$3="",ISNUMBER(SEARCH(Contacts!$K$3,$B379&amp;" "&amp;$C379&amp;" "&amp;$D379&amp;" "&amp;$S379)))),1,0))</f>
        <v/>
      </c>
      <c r="AA379" s="47" t="str">
        <f aca="false">IF($Z379=1,COUNTIFS(c_Pass,1,c_Sort,"&lt;="&amp;$Y379),"")</f>
        <v/>
      </c>
      <c r="AB379" s="47" t="str">
        <f aca="false">IF(OR($G379&lt;&gt;"Yes",NOT(ISNUMBER($H379))),"",COUNTIFS(c_Met,"Yes",c_Date,"&lt;"&amp;$H379)+COUNTIFS($G$2:$G379,"Yes",$H$2:$H379,$H379))</f>
        <v/>
      </c>
    </row>
    <row r="380" customFormat="false" ht="15" hidden="false" customHeight="false" outlineLevel="0" collapsed="false">
      <c r="A380" s="44" t="str">
        <f aca="false">IF($B380="","",COUNTA($B$2:$B380))</f>
        <v/>
      </c>
      <c r="B380" s="11"/>
      <c r="C380" s="11"/>
      <c r="D380" s="11"/>
      <c r="E380" s="11"/>
      <c r="F380" s="11"/>
      <c r="G380" s="34"/>
      <c r="H380" s="25"/>
      <c r="I380" s="40"/>
      <c r="J380" s="34"/>
      <c r="K380" s="45"/>
      <c r="L380" s="34"/>
      <c r="M380" s="34"/>
      <c r="N380" s="11"/>
      <c r="O380" s="11"/>
      <c r="P380" s="11"/>
      <c r="Q380" s="11"/>
      <c r="R380" s="11"/>
      <c r="S380" s="46"/>
      <c r="T380" s="44" t="str">
        <f aca="false">IF($B380="","",COUNTA($N380:$R380)-COUNTIF($N380:$R380,"Not Invited"))</f>
        <v/>
      </c>
      <c r="U380" s="44" t="str">
        <f aca="false">IF($B380="","",COUNTIF($N380:$R380,"Attended"))</f>
        <v/>
      </c>
      <c r="V380" s="47" t="str">
        <f aca="false">IF($B380="","",_xlfn.TEXTJOIN(", ",TRUE(),IF($N380="Attended",Setup!$D$15,""),IF($O380="Attended",Setup!$D$16,""),IF($P380="Attended",Setup!$D$17,""),IF($Q380="Attended",Setup!$D$18,""),IF($R380="Attended",Setup!$D$19,"")))</f>
        <v/>
      </c>
      <c r="W380" s="48" t="str">
        <f aca="true">IF(OR($B380="",NOT(ISNUMBER($H380))),"",TODAY()-$H380)</f>
        <v/>
      </c>
      <c r="X380" s="47" t="str">
        <f aca="false">IF($B380="","",IF($U380&gt;0,"Event attendee",IF($G380="Yes","Met (no event)",IF($T380&gt;0,"Invited only",IF(OR($L380="Yes",$M380="Yes"),"Contacted only","Not yet contacted")))))</f>
        <v/>
      </c>
      <c r="Y380" s="47" t="str">
        <f aca="false">IF($B380="","",COUNTIF(c_Firm,"&lt;"&amp;$D380)+COUNTIFS(c_Firm,$D380,c_Name,"&lt;"&amp;$B380)+COUNTIFS($D$2:$D380,$D380,$B$2:$B380,$B380))</f>
        <v/>
      </c>
      <c r="Z380" s="47" t="str">
        <f aca="false">IF($B380="","",IF(AND(OR(Contacts!$C$3="(All)",$D380=Contacts!$C$3),OR(Contacts!$E$3="(All)",$G380=Contacts!$E$3),OR(Contacts!$G$3="(All)",ISNUMBER(SEARCH(Contacts!$G$3,$V380))),OR(Contacts!$I$3="(All)",$X380=Contacts!$I$3),OR(Contacts!$K$3="",ISNUMBER(SEARCH(Contacts!$K$3,$B380&amp;" "&amp;$C380&amp;" "&amp;$D380&amp;" "&amp;$S380)))),1,0))</f>
        <v/>
      </c>
      <c r="AA380" s="47" t="str">
        <f aca="false">IF($Z380=1,COUNTIFS(c_Pass,1,c_Sort,"&lt;="&amp;$Y380),"")</f>
        <v/>
      </c>
      <c r="AB380" s="47" t="str">
        <f aca="false">IF(OR($G380&lt;&gt;"Yes",NOT(ISNUMBER($H380))),"",COUNTIFS(c_Met,"Yes",c_Date,"&lt;"&amp;$H380)+COUNTIFS($G$2:$G380,"Yes",$H$2:$H380,$H380))</f>
        <v/>
      </c>
    </row>
    <row r="381" customFormat="false" ht="15" hidden="false" customHeight="false" outlineLevel="0" collapsed="false">
      <c r="A381" s="44" t="str">
        <f aca="false">IF($B381="","",COUNTA($B$2:$B381))</f>
        <v/>
      </c>
      <c r="B381" s="11"/>
      <c r="C381" s="11"/>
      <c r="D381" s="11"/>
      <c r="E381" s="11"/>
      <c r="F381" s="11"/>
      <c r="G381" s="34"/>
      <c r="H381" s="25"/>
      <c r="I381" s="40"/>
      <c r="J381" s="34"/>
      <c r="K381" s="45"/>
      <c r="L381" s="34"/>
      <c r="M381" s="34"/>
      <c r="N381" s="11"/>
      <c r="O381" s="11"/>
      <c r="P381" s="11"/>
      <c r="Q381" s="11"/>
      <c r="R381" s="11"/>
      <c r="S381" s="46"/>
      <c r="T381" s="44" t="str">
        <f aca="false">IF($B381="","",COUNTA($N381:$R381)-COUNTIF($N381:$R381,"Not Invited"))</f>
        <v/>
      </c>
      <c r="U381" s="44" t="str">
        <f aca="false">IF($B381="","",COUNTIF($N381:$R381,"Attended"))</f>
        <v/>
      </c>
      <c r="V381" s="47" t="str">
        <f aca="false">IF($B381="","",_xlfn.TEXTJOIN(", ",TRUE(),IF($N381="Attended",Setup!$D$15,""),IF($O381="Attended",Setup!$D$16,""),IF($P381="Attended",Setup!$D$17,""),IF($Q381="Attended",Setup!$D$18,""),IF($R381="Attended",Setup!$D$19,"")))</f>
        <v/>
      </c>
      <c r="W381" s="48" t="str">
        <f aca="true">IF(OR($B381="",NOT(ISNUMBER($H381))),"",TODAY()-$H381)</f>
        <v/>
      </c>
      <c r="X381" s="47" t="str">
        <f aca="false">IF($B381="","",IF($U381&gt;0,"Event attendee",IF($G381="Yes","Met (no event)",IF($T381&gt;0,"Invited only",IF(OR($L381="Yes",$M381="Yes"),"Contacted only","Not yet contacted")))))</f>
        <v/>
      </c>
      <c r="Y381" s="47" t="str">
        <f aca="false">IF($B381="","",COUNTIF(c_Firm,"&lt;"&amp;$D381)+COUNTIFS(c_Firm,$D381,c_Name,"&lt;"&amp;$B381)+COUNTIFS($D$2:$D381,$D381,$B$2:$B381,$B381))</f>
        <v/>
      </c>
      <c r="Z381" s="47" t="str">
        <f aca="false">IF($B381="","",IF(AND(OR(Contacts!$C$3="(All)",$D381=Contacts!$C$3),OR(Contacts!$E$3="(All)",$G381=Contacts!$E$3),OR(Contacts!$G$3="(All)",ISNUMBER(SEARCH(Contacts!$G$3,$V381))),OR(Contacts!$I$3="(All)",$X381=Contacts!$I$3),OR(Contacts!$K$3="",ISNUMBER(SEARCH(Contacts!$K$3,$B381&amp;" "&amp;$C381&amp;" "&amp;$D381&amp;" "&amp;$S381)))),1,0))</f>
        <v/>
      </c>
      <c r="AA381" s="47" t="str">
        <f aca="false">IF($Z381=1,COUNTIFS(c_Pass,1,c_Sort,"&lt;="&amp;$Y381),"")</f>
        <v/>
      </c>
      <c r="AB381" s="47" t="str">
        <f aca="false">IF(OR($G381&lt;&gt;"Yes",NOT(ISNUMBER($H381))),"",COUNTIFS(c_Met,"Yes",c_Date,"&lt;"&amp;$H381)+COUNTIFS($G$2:$G381,"Yes",$H$2:$H381,$H381))</f>
        <v/>
      </c>
    </row>
    <row r="382" customFormat="false" ht="15" hidden="false" customHeight="false" outlineLevel="0" collapsed="false">
      <c r="A382" s="44" t="str">
        <f aca="false">IF($B382="","",COUNTA($B$2:$B382))</f>
        <v/>
      </c>
      <c r="B382" s="11"/>
      <c r="C382" s="11"/>
      <c r="D382" s="11"/>
      <c r="E382" s="11"/>
      <c r="F382" s="11"/>
      <c r="G382" s="34"/>
      <c r="H382" s="25"/>
      <c r="I382" s="40"/>
      <c r="J382" s="34"/>
      <c r="K382" s="45"/>
      <c r="L382" s="34"/>
      <c r="M382" s="34"/>
      <c r="N382" s="11"/>
      <c r="O382" s="11"/>
      <c r="P382" s="11"/>
      <c r="Q382" s="11"/>
      <c r="R382" s="11"/>
      <c r="S382" s="46"/>
      <c r="T382" s="44" t="str">
        <f aca="false">IF($B382="","",COUNTA($N382:$R382)-COUNTIF($N382:$R382,"Not Invited"))</f>
        <v/>
      </c>
      <c r="U382" s="44" t="str">
        <f aca="false">IF($B382="","",COUNTIF($N382:$R382,"Attended"))</f>
        <v/>
      </c>
      <c r="V382" s="47" t="str">
        <f aca="false">IF($B382="","",_xlfn.TEXTJOIN(", ",TRUE(),IF($N382="Attended",Setup!$D$15,""),IF($O382="Attended",Setup!$D$16,""),IF($P382="Attended",Setup!$D$17,""),IF($Q382="Attended",Setup!$D$18,""),IF($R382="Attended",Setup!$D$19,"")))</f>
        <v/>
      </c>
      <c r="W382" s="48" t="str">
        <f aca="true">IF(OR($B382="",NOT(ISNUMBER($H382))),"",TODAY()-$H382)</f>
        <v/>
      </c>
      <c r="X382" s="47" t="str">
        <f aca="false">IF($B382="","",IF($U382&gt;0,"Event attendee",IF($G382="Yes","Met (no event)",IF($T382&gt;0,"Invited only",IF(OR($L382="Yes",$M382="Yes"),"Contacted only","Not yet contacted")))))</f>
        <v/>
      </c>
      <c r="Y382" s="47" t="str">
        <f aca="false">IF($B382="","",COUNTIF(c_Firm,"&lt;"&amp;$D382)+COUNTIFS(c_Firm,$D382,c_Name,"&lt;"&amp;$B382)+COUNTIFS($D$2:$D382,$D382,$B$2:$B382,$B382))</f>
        <v/>
      </c>
      <c r="Z382" s="47" t="str">
        <f aca="false">IF($B382="","",IF(AND(OR(Contacts!$C$3="(All)",$D382=Contacts!$C$3),OR(Contacts!$E$3="(All)",$G382=Contacts!$E$3),OR(Contacts!$G$3="(All)",ISNUMBER(SEARCH(Contacts!$G$3,$V382))),OR(Contacts!$I$3="(All)",$X382=Contacts!$I$3),OR(Contacts!$K$3="",ISNUMBER(SEARCH(Contacts!$K$3,$B382&amp;" "&amp;$C382&amp;" "&amp;$D382&amp;" "&amp;$S382)))),1,0))</f>
        <v/>
      </c>
      <c r="AA382" s="47" t="str">
        <f aca="false">IF($Z382=1,COUNTIFS(c_Pass,1,c_Sort,"&lt;="&amp;$Y382),"")</f>
        <v/>
      </c>
      <c r="AB382" s="47" t="str">
        <f aca="false">IF(OR($G382&lt;&gt;"Yes",NOT(ISNUMBER($H382))),"",COUNTIFS(c_Met,"Yes",c_Date,"&lt;"&amp;$H382)+COUNTIFS($G$2:$G382,"Yes",$H$2:$H382,$H382))</f>
        <v/>
      </c>
    </row>
    <row r="383" customFormat="false" ht="15" hidden="false" customHeight="false" outlineLevel="0" collapsed="false">
      <c r="A383" s="44" t="str">
        <f aca="false">IF($B383="","",COUNTA($B$2:$B383))</f>
        <v/>
      </c>
      <c r="B383" s="11"/>
      <c r="C383" s="11"/>
      <c r="D383" s="11"/>
      <c r="E383" s="11"/>
      <c r="F383" s="11"/>
      <c r="G383" s="34"/>
      <c r="H383" s="25"/>
      <c r="I383" s="40"/>
      <c r="J383" s="34"/>
      <c r="K383" s="45"/>
      <c r="L383" s="34"/>
      <c r="M383" s="34"/>
      <c r="N383" s="11"/>
      <c r="O383" s="11"/>
      <c r="P383" s="11"/>
      <c r="Q383" s="11"/>
      <c r="R383" s="11"/>
      <c r="S383" s="46"/>
      <c r="T383" s="44" t="str">
        <f aca="false">IF($B383="","",COUNTA($N383:$R383)-COUNTIF($N383:$R383,"Not Invited"))</f>
        <v/>
      </c>
      <c r="U383" s="44" t="str">
        <f aca="false">IF($B383="","",COUNTIF($N383:$R383,"Attended"))</f>
        <v/>
      </c>
      <c r="V383" s="47" t="str">
        <f aca="false">IF($B383="","",_xlfn.TEXTJOIN(", ",TRUE(),IF($N383="Attended",Setup!$D$15,""),IF($O383="Attended",Setup!$D$16,""),IF($P383="Attended",Setup!$D$17,""),IF($Q383="Attended",Setup!$D$18,""),IF($R383="Attended",Setup!$D$19,"")))</f>
        <v/>
      </c>
      <c r="W383" s="48" t="str">
        <f aca="true">IF(OR($B383="",NOT(ISNUMBER($H383))),"",TODAY()-$H383)</f>
        <v/>
      </c>
      <c r="X383" s="47" t="str">
        <f aca="false">IF($B383="","",IF($U383&gt;0,"Event attendee",IF($G383="Yes","Met (no event)",IF($T383&gt;0,"Invited only",IF(OR($L383="Yes",$M383="Yes"),"Contacted only","Not yet contacted")))))</f>
        <v/>
      </c>
      <c r="Y383" s="47" t="str">
        <f aca="false">IF($B383="","",COUNTIF(c_Firm,"&lt;"&amp;$D383)+COUNTIFS(c_Firm,$D383,c_Name,"&lt;"&amp;$B383)+COUNTIFS($D$2:$D383,$D383,$B$2:$B383,$B383))</f>
        <v/>
      </c>
      <c r="Z383" s="47" t="str">
        <f aca="false">IF($B383="","",IF(AND(OR(Contacts!$C$3="(All)",$D383=Contacts!$C$3),OR(Contacts!$E$3="(All)",$G383=Contacts!$E$3),OR(Contacts!$G$3="(All)",ISNUMBER(SEARCH(Contacts!$G$3,$V383))),OR(Contacts!$I$3="(All)",$X383=Contacts!$I$3),OR(Contacts!$K$3="",ISNUMBER(SEARCH(Contacts!$K$3,$B383&amp;" "&amp;$C383&amp;" "&amp;$D383&amp;" "&amp;$S383)))),1,0))</f>
        <v/>
      </c>
      <c r="AA383" s="47" t="str">
        <f aca="false">IF($Z383=1,COUNTIFS(c_Pass,1,c_Sort,"&lt;="&amp;$Y383),"")</f>
        <v/>
      </c>
      <c r="AB383" s="47" t="str">
        <f aca="false">IF(OR($G383&lt;&gt;"Yes",NOT(ISNUMBER($H383))),"",COUNTIFS(c_Met,"Yes",c_Date,"&lt;"&amp;$H383)+COUNTIFS($G$2:$G383,"Yes",$H$2:$H383,$H383))</f>
        <v/>
      </c>
    </row>
    <row r="384" customFormat="false" ht="15" hidden="false" customHeight="false" outlineLevel="0" collapsed="false">
      <c r="A384" s="44" t="str">
        <f aca="false">IF($B384="","",COUNTA($B$2:$B384))</f>
        <v/>
      </c>
      <c r="B384" s="11"/>
      <c r="C384" s="11"/>
      <c r="D384" s="11"/>
      <c r="E384" s="11"/>
      <c r="F384" s="11"/>
      <c r="G384" s="34"/>
      <c r="H384" s="25"/>
      <c r="I384" s="40"/>
      <c r="J384" s="34"/>
      <c r="K384" s="45"/>
      <c r="L384" s="34"/>
      <c r="M384" s="34"/>
      <c r="N384" s="11"/>
      <c r="O384" s="11"/>
      <c r="P384" s="11"/>
      <c r="Q384" s="11"/>
      <c r="R384" s="11"/>
      <c r="S384" s="46"/>
      <c r="T384" s="44" t="str">
        <f aca="false">IF($B384="","",COUNTA($N384:$R384)-COUNTIF($N384:$R384,"Not Invited"))</f>
        <v/>
      </c>
      <c r="U384" s="44" t="str">
        <f aca="false">IF($B384="","",COUNTIF($N384:$R384,"Attended"))</f>
        <v/>
      </c>
      <c r="V384" s="47" t="str">
        <f aca="false">IF($B384="","",_xlfn.TEXTJOIN(", ",TRUE(),IF($N384="Attended",Setup!$D$15,""),IF($O384="Attended",Setup!$D$16,""),IF($P384="Attended",Setup!$D$17,""),IF($Q384="Attended",Setup!$D$18,""),IF($R384="Attended",Setup!$D$19,"")))</f>
        <v/>
      </c>
      <c r="W384" s="48" t="str">
        <f aca="true">IF(OR($B384="",NOT(ISNUMBER($H384))),"",TODAY()-$H384)</f>
        <v/>
      </c>
      <c r="X384" s="47" t="str">
        <f aca="false">IF($B384="","",IF($U384&gt;0,"Event attendee",IF($G384="Yes","Met (no event)",IF($T384&gt;0,"Invited only",IF(OR($L384="Yes",$M384="Yes"),"Contacted only","Not yet contacted")))))</f>
        <v/>
      </c>
      <c r="Y384" s="47" t="str">
        <f aca="false">IF($B384="","",COUNTIF(c_Firm,"&lt;"&amp;$D384)+COUNTIFS(c_Firm,$D384,c_Name,"&lt;"&amp;$B384)+COUNTIFS($D$2:$D384,$D384,$B$2:$B384,$B384))</f>
        <v/>
      </c>
      <c r="Z384" s="47" t="str">
        <f aca="false">IF($B384="","",IF(AND(OR(Contacts!$C$3="(All)",$D384=Contacts!$C$3),OR(Contacts!$E$3="(All)",$G384=Contacts!$E$3),OR(Contacts!$G$3="(All)",ISNUMBER(SEARCH(Contacts!$G$3,$V384))),OR(Contacts!$I$3="(All)",$X384=Contacts!$I$3),OR(Contacts!$K$3="",ISNUMBER(SEARCH(Contacts!$K$3,$B384&amp;" "&amp;$C384&amp;" "&amp;$D384&amp;" "&amp;$S384)))),1,0))</f>
        <v/>
      </c>
      <c r="AA384" s="47" t="str">
        <f aca="false">IF($Z384=1,COUNTIFS(c_Pass,1,c_Sort,"&lt;="&amp;$Y384),"")</f>
        <v/>
      </c>
      <c r="AB384" s="47" t="str">
        <f aca="false">IF(OR($G384&lt;&gt;"Yes",NOT(ISNUMBER($H384))),"",COUNTIFS(c_Met,"Yes",c_Date,"&lt;"&amp;$H384)+COUNTIFS($G$2:$G384,"Yes",$H$2:$H384,$H384))</f>
        <v/>
      </c>
    </row>
    <row r="385" customFormat="false" ht="15" hidden="false" customHeight="false" outlineLevel="0" collapsed="false">
      <c r="A385" s="44" t="str">
        <f aca="false">IF($B385="","",COUNTA($B$2:$B385))</f>
        <v/>
      </c>
      <c r="B385" s="11"/>
      <c r="C385" s="11"/>
      <c r="D385" s="11"/>
      <c r="E385" s="11"/>
      <c r="F385" s="11"/>
      <c r="G385" s="34"/>
      <c r="H385" s="25"/>
      <c r="I385" s="40"/>
      <c r="J385" s="34"/>
      <c r="K385" s="45"/>
      <c r="L385" s="34"/>
      <c r="M385" s="34"/>
      <c r="N385" s="11"/>
      <c r="O385" s="11"/>
      <c r="P385" s="11"/>
      <c r="Q385" s="11"/>
      <c r="R385" s="11"/>
      <c r="S385" s="46"/>
      <c r="T385" s="44" t="str">
        <f aca="false">IF($B385="","",COUNTA($N385:$R385)-COUNTIF($N385:$R385,"Not Invited"))</f>
        <v/>
      </c>
      <c r="U385" s="44" t="str">
        <f aca="false">IF($B385="","",COUNTIF($N385:$R385,"Attended"))</f>
        <v/>
      </c>
      <c r="V385" s="47" t="str">
        <f aca="false">IF($B385="","",_xlfn.TEXTJOIN(", ",TRUE(),IF($N385="Attended",Setup!$D$15,""),IF($O385="Attended",Setup!$D$16,""),IF($P385="Attended",Setup!$D$17,""),IF($Q385="Attended",Setup!$D$18,""),IF($R385="Attended",Setup!$D$19,"")))</f>
        <v/>
      </c>
      <c r="W385" s="48" t="str">
        <f aca="true">IF(OR($B385="",NOT(ISNUMBER($H385))),"",TODAY()-$H385)</f>
        <v/>
      </c>
      <c r="X385" s="47" t="str">
        <f aca="false">IF($B385="","",IF($U385&gt;0,"Event attendee",IF($G385="Yes","Met (no event)",IF($T385&gt;0,"Invited only",IF(OR($L385="Yes",$M385="Yes"),"Contacted only","Not yet contacted")))))</f>
        <v/>
      </c>
      <c r="Y385" s="47" t="str">
        <f aca="false">IF($B385="","",COUNTIF(c_Firm,"&lt;"&amp;$D385)+COUNTIFS(c_Firm,$D385,c_Name,"&lt;"&amp;$B385)+COUNTIFS($D$2:$D385,$D385,$B$2:$B385,$B385))</f>
        <v/>
      </c>
      <c r="Z385" s="47" t="str">
        <f aca="false">IF($B385="","",IF(AND(OR(Contacts!$C$3="(All)",$D385=Contacts!$C$3),OR(Contacts!$E$3="(All)",$G385=Contacts!$E$3),OR(Contacts!$G$3="(All)",ISNUMBER(SEARCH(Contacts!$G$3,$V385))),OR(Contacts!$I$3="(All)",$X385=Contacts!$I$3),OR(Contacts!$K$3="",ISNUMBER(SEARCH(Contacts!$K$3,$B385&amp;" "&amp;$C385&amp;" "&amp;$D385&amp;" "&amp;$S385)))),1,0))</f>
        <v/>
      </c>
      <c r="AA385" s="47" t="str">
        <f aca="false">IF($Z385=1,COUNTIFS(c_Pass,1,c_Sort,"&lt;="&amp;$Y385),"")</f>
        <v/>
      </c>
      <c r="AB385" s="47" t="str">
        <f aca="false">IF(OR($G385&lt;&gt;"Yes",NOT(ISNUMBER($H385))),"",COUNTIFS(c_Met,"Yes",c_Date,"&lt;"&amp;$H385)+COUNTIFS($G$2:$G385,"Yes",$H$2:$H385,$H385))</f>
        <v/>
      </c>
    </row>
    <row r="386" customFormat="false" ht="15" hidden="false" customHeight="false" outlineLevel="0" collapsed="false">
      <c r="A386" s="44" t="str">
        <f aca="false">IF($B386="","",COUNTA($B$2:$B386))</f>
        <v/>
      </c>
      <c r="B386" s="11"/>
      <c r="C386" s="11"/>
      <c r="D386" s="11"/>
      <c r="E386" s="11"/>
      <c r="F386" s="11"/>
      <c r="G386" s="34"/>
      <c r="H386" s="25"/>
      <c r="I386" s="40"/>
      <c r="J386" s="34"/>
      <c r="K386" s="45"/>
      <c r="L386" s="34"/>
      <c r="M386" s="34"/>
      <c r="N386" s="11"/>
      <c r="O386" s="11"/>
      <c r="P386" s="11"/>
      <c r="Q386" s="11"/>
      <c r="R386" s="11"/>
      <c r="S386" s="46"/>
      <c r="T386" s="44" t="str">
        <f aca="false">IF($B386="","",COUNTA($N386:$R386)-COUNTIF($N386:$R386,"Not Invited"))</f>
        <v/>
      </c>
      <c r="U386" s="44" t="str">
        <f aca="false">IF($B386="","",COUNTIF($N386:$R386,"Attended"))</f>
        <v/>
      </c>
      <c r="V386" s="47" t="str">
        <f aca="false">IF($B386="","",_xlfn.TEXTJOIN(", ",TRUE(),IF($N386="Attended",Setup!$D$15,""),IF($O386="Attended",Setup!$D$16,""),IF($P386="Attended",Setup!$D$17,""),IF($Q386="Attended",Setup!$D$18,""),IF($R386="Attended",Setup!$D$19,"")))</f>
        <v/>
      </c>
      <c r="W386" s="48" t="str">
        <f aca="true">IF(OR($B386="",NOT(ISNUMBER($H386))),"",TODAY()-$H386)</f>
        <v/>
      </c>
      <c r="X386" s="47" t="str">
        <f aca="false">IF($B386="","",IF($U386&gt;0,"Event attendee",IF($G386="Yes","Met (no event)",IF($T386&gt;0,"Invited only",IF(OR($L386="Yes",$M386="Yes"),"Contacted only","Not yet contacted")))))</f>
        <v/>
      </c>
      <c r="Y386" s="47" t="str">
        <f aca="false">IF($B386="","",COUNTIF(c_Firm,"&lt;"&amp;$D386)+COUNTIFS(c_Firm,$D386,c_Name,"&lt;"&amp;$B386)+COUNTIFS($D$2:$D386,$D386,$B$2:$B386,$B386))</f>
        <v/>
      </c>
      <c r="Z386" s="47" t="str">
        <f aca="false">IF($B386="","",IF(AND(OR(Contacts!$C$3="(All)",$D386=Contacts!$C$3),OR(Contacts!$E$3="(All)",$G386=Contacts!$E$3),OR(Contacts!$G$3="(All)",ISNUMBER(SEARCH(Contacts!$G$3,$V386))),OR(Contacts!$I$3="(All)",$X386=Contacts!$I$3),OR(Contacts!$K$3="",ISNUMBER(SEARCH(Contacts!$K$3,$B386&amp;" "&amp;$C386&amp;" "&amp;$D386&amp;" "&amp;$S386)))),1,0))</f>
        <v/>
      </c>
      <c r="AA386" s="47" t="str">
        <f aca="false">IF($Z386=1,COUNTIFS(c_Pass,1,c_Sort,"&lt;="&amp;$Y386),"")</f>
        <v/>
      </c>
      <c r="AB386" s="47" t="str">
        <f aca="false">IF(OR($G386&lt;&gt;"Yes",NOT(ISNUMBER($H386))),"",COUNTIFS(c_Met,"Yes",c_Date,"&lt;"&amp;$H386)+COUNTIFS($G$2:$G386,"Yes",$H$2:$H386,$H386))</f>
        <v/>
      </c>
    </row>
    <row r="387" customFormat="false" ht="15" hidden="false" customHeight="false" outlineLevel="0" collapsed="false">
      <c r="A387" s="44" t="str">
        <f aca="false">IF($B387="","",COUNTA($B$2:$B387))</f>
        <v/>
      </c>
      <c r="B387" s="11"/>
      <c r="C387" s="11"/>
      <c r="D387" s="11"/>
      <c r="E387" s="11"/>
      <c r="F387" s="11"/>
      <c r="G387" s="34"/>
      <c r="H387" s="25"/>
      <c r="I387" s="40"/>
      <c r="J387" s="34"/>
      <c r="K387" s="45"/>
      <c r="L387" s="34"/>
      <c r="M387" s="34"/>
      <c r="N387" s="11"/>
      <c r="O387" s="11"/>
      <c r="P387" s="11"/>
      <c r="Q387" s="11"/>
      <c r="R387" s="11"/>
      <c r="S387" s="46"/>
      <c r="T387" s="44" t="str">
        <f aca="false">IF($B387="","",COUNTA($N387:$R387)-COUNTIF($N387:$R387,"Not Invited"))</f>
        <v/>
      </c>
      <c r="U387" s="44" t="str">
        <f aca="false">IF($B387="","",COUNTIF($N387:$R387,"Attended"))</f>
        <v/>
      </c>
      <c r="V387" s="47" t="str">
        <f aca="false">IF($B387="","",_xlfn.TEXTJOIN(", ",TRUE(),IF($N387="Attended",Setup!$D$15,""),IF($O387="Attended",Setup!$D$16,""),IF($P387="Attended",Setup!$D$17,""),IF($Q387="Attended",Setup!$D$18,""),IF($R387="Attended",Setup!$D$19,"")))</f>
        <v/>
      </c>
      <c r="W387" s="48" t="str">
        <f aca="true">IF(OR($B387="",NOT(ISNUMBER($H387))),"",TODAY()-$H387)</f>
        <v/>
      </c>
      <c r="X387" s="47" t="str">
        <f aca="false">IF($B387="","",IF($U387&gt;0,"Event attendee",IF($G387="Yes","Met (no event)",IF($T387&gt;0,"Invited only",IF(OR($L387="Yes",$M387="Yes"),"Contacted only","Not yet contacted")))))</f>
        <v/>
      </c>
      <c r="Y387" s="47" t="str">
        <f aca="false">IF($B387="","",COUNTIF(c_Firm,"&lt;"&amp;$D387)+COUNTIFS(c_Firm,$D387,c_Name,"&lt;"&amp;$B387)+COUNTIFS($D$2:$D387,$D387,$B$2:$B387,$B387))</f>
        <v/>
      </c>
      <c r="Z387" s="47" t="str">
        <f aca="false">IF($B387="","",IF(AND(OR(Contacts!$C$3="(All)",$D387=Contacts!$C$3),OR(Contacts!$E$3="(All)",$G387=Contacts!$E$3),OR(Contacts!$G$3="(All)",ISNUMBER(SEARCH(Contacts!$G$3,$V387))),OR(Contacts!$I$3="(All)",$X387=Contacts!$I$3),OR(Contacts!$K$3="",ISNUMBER(SEARCH(Contacts!$K$3,$B387&amp;" "&amp;$C387&amp;" "&amp;$D387&amp;" "&amp;$S387)))),1,0))</f>
        <v/>
      </c>
      <c r="AA387" s="47" t="str">
        <f aca="false">IF($Z387=1,COUNTIFS(c_Pass,1,c_Sort,"&lt;="&amp;$Y387),"")</f>
        <v/>
      </c>
      <c r="AB387" s="47" t="str">
        <f aca="false">IF(OR($G387&lt;&gt;"Yes",NOT(ISNUMBER($H387))),"",COUNTIFS(c_Met,"Yes",c_Date,"&lt;"&amp;$H387)+COUNTIFS($G$2:$G387,"Yes",$H$2:$H387,$H387))</f>
        <v/>
      </c>
    </row>
    <row r="388" customFormat="false" ht="15" hidden="false" customHeight="false" outlineLevel="0" collapsed="false">
      <c r="A388" s="44" t="str">
        <f aca="false">IF($B388="","",COUNTA($B$2:$B388))</f>
        <v/>
      </c>
      <c r="B388" s="11"/>
      <c r="C388" s="11"/>
      <c r="D388" s="11"/>
      <c r="E388" s="11"/>
      <c r="F388" s="11"/>
      <c r="G388" s="34"/>
      <c r="H388" s="25"/>
      <c r="I388" s="40"/>
      <c r="J388" s="34"/>
      <c r="K388" s="45"/>
      <c r="L388" s="34"/>
      <c r="M388" s="34"/>
      <c r="N388" s="11"/>
      <c r="O388" s="11"/>
      <c r="P388" s="11"/>
      <c r="Q388" s="11"/>
      <c r="R388" s="11"/>
      <c r="S388" s="46"/>
      <c r="T388" s="44" t="str">
        <f aca="false">IF($B388="","",COUNTA($N388:$R388)-COUNTIF($N388:$R388,"Not Invited"))</f>
        <v/>
      </c>
      <c r="U388" s="44" t="str">
        <f aca="false">IF($B388="","",COUNTIF($N388:$R388,"Attended"))</f>
        <v/>
      </c>
      <c r="V388" s="47" t="str">
        <f aca="false">IF($B388="","",_xlfn.TEXTJOIN(", ",TRUE(),IF($N388="Attended",Setup!$D$15,""),IF($O388="Attended",Setup!$D$16,""),IF($P388="Attended",Setup!$D$17,""),IF($Q388="Attended",Setup!$D$18,""),IF($R388="Attended",Setup!$D$19,"")))</f>
        <v/>
      </c>
      <c r="W388" s="48" t="str">
        <f aca="true">IF(OR($B388="",NOT(ISNUMBER($H388))),"",TODAY()-$H388)</f>
        <v/>
      </c>
      <c r="X388" s="47" t="str">
        <f aca="false">IF($B388="","",IF($U388&gt;0,"Event attendee",IF($G388="Yes","Met (no event)",IF($T388&gt;0,"Invited only",IF(OR($L388="Yes",$M388="Yes"),"Contacted only","Not yet contacted")))))</f>
        <v/>
      </c>
      <c r="Y388" s="47" t="str">
        <f aca="false">IF($B388="","",COUNTIF(c_Firm,"&lt;"&amp;$D388)+COUNTIFS(c_Firm,$D388,c_Name,"&lt;"&amp;$B388)+COUNTIFS($D$2:$D388,$D388,$B$2:$B388,$B388))</f>
        <v/>
      </c>
      <c r="Z388" s="47" t="str">
        <f aca="false">IF($B388="","",IF(AND(OR(Contacts!$C$3="(All)",$D388=Contacts!$C$3),OR(Contacts!$E$3="(All)",$G388=Contacts!$E$3),OR(Contacts!$G$3="(All)",ISNUMBER(SEARCH(Contacts!$G$3,$V388))),OR(Contacts!$I$3="(All)",$X388=Contacts!$I$3),OR(Contacts!$K$3="",ISNUMBER(SEARCH(Contacts!$K$3,$B388&amp;" "&amp;$C388&amp;" "&amp;$D388&amp;" "&amp;$S388)))),1,0))</f>
        <v/>
      </c>
      <c r="AA388" s="47" t="str">
        <f aca="false">IF($Z388=1,COUNTIFS(c_Pass,1,c_Sort,"&lt;="&amp;$Y388),"")</f>
        <v/>
      </c>
      <c r="AB388" s="47" t="str">
        <f aca="false">IF(OR($G388&lt;&gt;"Yes",NOT(ISNUMBER($H388))),"",COUNTIFS(c_Met,"Yes",c_Date,"&lt;"&amp;$H388)+COUNTIFS($G$2:$G388,"Yes",$H$2:$H388,$H388))</f>
        <v/>
      </c>
    </row>
    <row r="389" customFormat="false" ht="15" hidden="false" customHeight="false" outlineLevel="0" collapsed="false">
      <c r="A389" s="44" t="str">
        <f aca="false">IF($B389="","",COUNTA($B$2:$B389))</f>
        <v/>
      </c>
      <c r="B389" s="11"/>
      <c r="C389" s="11"/>
      <c r="D389" s="11"/>
      <c r="E389" s="11"/>
      <c r="F389" s="11"/>
      <c r="G389" s="34"/>
      <c r="H389" s="25"/>
      <c r="I389" s="40"/>
      <c r="J389" s="34"/>
      <c r="K389" s="45"/>
      <c r="L389" s="34"/>
      <c r="M389" s="34"/>
      <c r="N389" s="11"/>
      <c r="O389" s="11"/>
      <c r="P389" s="11"/>
      <c r="Q389" s="11"/>
      <c r="R389" s="11"/>
      <c r="S389" s="46"/>
      <c r="T389" s="44" t="str">
        <f aca="false">IF($B389="","",COUNTA($N389:$R389)-COUNTIF($N389:$R389,"Not Invited"))</f>
        <v/>
      </c>
      <c r="U389" s="44" t="str">
        <f aca="false">IF($B389="","",COUNTIF($N389:$R389,"Attended"))</f>
        <v/>
      </c>
      <c r="V389" s="47" t="str">
        <f aca="false">IF($B389="","",_xlfn.TEXTJOIN(", ",TRUE(),IF($N389="Attended",Setup!$D$15,""),IF($O389="Attended",Setup!$D$16,""),IF($P389="Attended",Setup!$D$17,""),IF($Q389="Attended",Setup!$D$18,""),IF($R389="Attended",Setup!$D$19,"")))</f>
        <v/>
      </c>
      <c r="W389" s="48" t="str">
        <f aca="true">IF(OR($B389="",NOT(ISNUMBER($H389))),"",TODAY()-$H389)</f>
        <v/>
      </c>
      <c r="X389" s="47" t="str">
        <f aca="false">IF($B389="","",IF($U389&gt;0,"Event attendee",IF($G389="Yes","Met (no event)",IF($T389&gt;0,"Invited only",IF(OR($L389="Yes",$M389="Yes"),"Contacted only","Not yet contacted")))))</f>
        <v/>
      </c>
      <c r="Y389" s="47" t="str">
        <f aca="false">IF($B389="","",COUNTIF(c_Firm,"&lt;"&amp;$D389)+COUNTIFS(c_Firm,$D389,c_Name,"&lt;"&amp;$B389)+COUNTIFS($D$2:$D389,$D389,$B$2:$B389,$B389))</f>
        <v/>
      </c>
      <c r="Z389" s="47" t="str">
        <f aca="false">IF($B389="","",IF(AND(OR(Contacts!$C$3="(All)",$D389=Contacts!$C$3),OR(Contacts!$E$3="(All)",$G389=Contacts!$E$3),OR(Contacts!$G$3="(All)",ISNUMBER(SEARCH(Contacts!$G$3,$V389))),OR(Contacts!$I$3="(All)",$X389=Contacts!$I$3),OR(Contacts!$K$3="",ISNUMBER(SEARCH(Contacts!$K$3,$B389&amp;" "&amp;$C389&amp;" "&amp;$D389&amp;" "&amp;$S389)))),1,0))</f>
        <v/>
      </c>
      <c r="AA389" s="47" t="str">
        <f aca="false">IF($Z389=1,COUNTIFS(c_Pass,1,c_Sort,"&lt;="&amp;$Y389),"")</f>
        <v/>
      </c>
      <c r="AB389" s="47" t="str">
        <f aca="false">IF(OR($G389&lt;&gt;"Yes",NOT(ISNUMBER($H389))),"",COUNTIFS(c_Met,"Yes",c_Date,"&lt;"&amp;$H389)+COUNTIFS($G$2:$G389,"Yes",$H$2:$H389,$H389))</f>
        <v/>
      </c>
    </row>
    <row r="390" customFormat="false" ht="15" hidden="false" customHeight="false" outlineLevel="0" collapsed="false">
      <c r="A390" s="44" t="str">
        <f aca="false">IF($B390="","",COUNTA($B$2:$B390))</f>
        <v/>
      </c>
      <c r="B390" s="11"/>
      <c r="C390" s="11"/>
      <c r="D390" s="11"/>
      <c r="E390" s="11"/>
      <c r="F390" s="11"/>
      <c r="G390" s="34"/>
      <c r="H390" s="25"/>
      <c r="I390" s="40"/>
      <c r="J390" s="34"/>
      <c r="K390" s="45"/>
      <c r="L390" s="34"/>
      <c r="M390" s="34"/>
      <c r="N390" s="11"/>
      <c r="O390" s="11"/>
      <c r="P390" s="11"/>
      <c r="Q390" s="11"/>
      <c r="R390" s="11"/>
      <c r="S390" s="46"/>
      <c r="T390" s="44" t="str">
        <f aca="false">IF($B390="","",COUNTA($N390:$R390)-COUNTIF($N390:$R390,"Not Invited"))</f>
        <v/>
      </c>
      <c r="U390" s="44" t="str">
        <f aca="false">IF($B390="","",COUNTIF($N390:$R390,"Attended"))</f>
        <v/>
      </c>
      <c r="V390" s="47" t="str">
        <f aca="false">IF($B390="","",_xlfn.TEXTJOIN(", ",TRUE(),IF($N390="Attended",Setup!$D$15,""),IF($O390="Attended",Setup!$D$16,""),IF($P390="Attended",Setup!$D$17,""),IF($Q390="Attended",Setup!$D$18,""),IF($R390="Attended",Setup!$D$19,"")))</f>
        <v/>
      </c>
      <c r="W390" s="48" t="str">
        <f aca="true">IF(OR($B390="",NOT(ISNUMBER($H390))),"",TODAY()-$H390)</f>
        <v/>
      </c>
      <c r="X390" s="47" t="str">
        <f aca="false">IF($B390="","",IF($U390&gt;0,"Event attendee",IF($G390="Yes","Met (no event)",IF($T390&gt;0,"Invited only",IF(OR($L390="Yes",$M390="Yes"),"Contacted only","Not yet contacted")))))</f>
        <v/>
      </c>
      <c r="Y390" s="47" t="str">
        <f aca="false">IF($B390="","",COUNTIF(c_Firm,"&lt;"&amp;$D390)+COUNTIFS(c_Firm,$D390,c_Name,"&lt;"&amp;$B390)+COUNTIFS($D$2:$D390,$D390,$B$2:$B390,$B390))</f>
        <v/>
      </c>
      <c r="Z390" s="47" t="str">
        <f aca="false">IF($B390="","",IF(AND(OR(Contacts!$C$3="(All)",$D390=Contacts!$C$3),OR(Contacts!$E$3="(All)",$G390=Contacts!$E$3),OR(Contacts!$G$3="(All)",ISNUMBER(SEARCH(Contacts!$G$3,$V390))),OR(Contacts!$I$3="(All)",$X390=Contacts!$I$3),OR(Contacts!$K$3="",ISNUMBER(SEARCH(Contacts!$K$3,$B390&amp;" "&amp;$C390&amp;" "&amp;$D390&amp;" "&amp;$S390)))),1,0))</f>
        <v/>
      </c>
      <c r="AA390" s="47" t="str">
        <f aca="false">IF($Z390=1,COUNTIFS(c_Pass,1,c_Sort,"&lt;="&amp;$Y390),"")</f>
        <v/>
      </c>
      <c r="AB390" s="47" t="str">
        <f aca="false">IF(OR($G390&lt;&gt;"Yes",NOT(ISNUMBER($H390))),"",COUNTIFS(c_Met,"Yes",c_Date,"&lt;"&amp;$H390)+COUNTIFS($G$2:$G390,"Yes",$H$2:$H390,$H390))</f>
        <v/>
      </c>
    </row>
    <row r="391" customFormat="false" ht="15" hidden="false" customHeight="false" outlineLevel="0" collapsed="false">
      <c r="A391" s="44" t="str">
        <f aca="false">IF($B391="","",COUNTA($B$2:$B391))</f>
        <v/>
      </c>
      <c r="B391" s="11"/>
      <c r="C391" s="11"/>
      <c r="D391" s="11"/>
      <c r="E391" s="11"/>
      <c r="F391" s="11"/>
      <c r="G391" s="34"/>
      <c r="H391" s="25"/>
      <c r="I391" s="40"/>
      <c r="J391" s="34"/>
      <c r="K391" s="45"/>
      <c r="L391" s="34"/>
      <c r="M391" s="34"/>
      <c r="N391" s="11"/>
      <c r="O391" s="11"/>
      <c r="P391" s="11"/>
      <c r="Q391" s="11"/>
      <c r="R391" s="11"/>
      <c r="S391" s="46"/>
      <c r="T391" s="44" t="str">
        <f aca="false">IF($B391="","",COUNTA($N391:$R391)-COUNTIF($N391:$R391,"Not Invited"))</f>
        <v/>
      </c>
      <c r="U391" s="44" t="str">
        <f aca="false">IF($B391="","",COUNTIF($N391:$R391,"Attended"))</f>
        <v/>
      </c>
      <c r="V391" s="47" t="str">
        <f aca="false">IF($B391="","",_xlfn.TEXTJOIN(", ",TRUE(),IF($N391="Attended",Setup!$D$15,""),IF($O391="Attended",Setup!$D$16,""),IF($P391="Attended",Setup!$D$17,""),IF($Q391="Attended",Setup!$D$18,""),IF($R391="Attended",Setup!$D$19,"")))</f>
        <v/>
      </c>
      <c r="W391" s="48" t="str">
        <f aca="true">IF(OR($B391="",NOT(ISNUMBER($H391))),"",TODAY()-$H391)</f>
        <v/>
      </c>
      <c r="X391" s="47" t="str">
        <f aca="false">IF($B391="","",IF($U391&gt;0,"Event attendee",IF($G391="Yes","Met (no event)",IF($T391&gt;0,"Invited only",IF(OR($L391="Yes",$M391="Yes"),"Contacted only","Not yet contacted")))))</f>
        <v/>
      </c>
      <c r="Y391" s="47" t="str">
        <f aca="false">IF($B391="","",COUNTIF(c_Firm,"&lt;"&amp;$D391)+COUNTIFS(c_Firm,$D391,c_Name,"&lt;"&amp;$B391)+COUNTIFS($D$2:$D391,$D391,$B$2:$B391,$B391))</f>
        <v/>
      </c>
      <c r="Z391" s="47" t="str">
        <f aca="false">IF($B391="","",IF(AND(OR(Contacts!$C$3="(All)",$D391=Contacts!$C$3),OR(Contacts!$E$3="(All)",$G391=Contacts!$E$3),OR(Contacts!$G$3="(All)",ISNUMBER(SEARCH(Contacts!$G$3,$V391))),OR(Contacts!$I$3="(All)",$X391=Contacts!$I$3),OR(Contacts!$K$3="",ISNUMBER(SEARCH(Contacts!$K$3,$B391&amp;" "&amp;$C391&amp;" "&amp;$D391&amp;" "&amp;$S391)))),1,0))</f>
        <v/>
      </c>
      <c r="AA391" s="47" t="str">
        <f aca="false">IF($Z391=1,COUNTIFS(c_Pass,1,c_Sort,"&lt;="&amp;$Y391),"")</f>
        <v/>
      </c>
      <c r="AB391" s="47" t="str">
        <f aca="false">IF(OR($G391&lt;&gt;"Yes",NOT(ISNUMBER($H391))),"",COUNTIFS(c_Met,"Yes",c_Date,"&lt;"&amp;$H391)+COUNTIFS($G$2:$G391,"Yes",$H$2:$H391,$H391))</f>
        <v/>
      </c>
    </row>
    <row r="392" customFormat="false" ht="15" hidden="false" customHeight="false" outlineLevel="0" collapsed="false">
      <c r="A392" s="44" t="str">
        <f aca="false">IF($B392="","",COUNTA($B$2:$B392))</f>
        <v/>
      </c>
      <c r="B392" s="11"/>
      <c r="C392" s="11"/>
      <c r="D392" s="11"/>
      <c r="E392" s="11"/>
      <c r="F392" s="11"/>
      <c r="G392" s="34"/>
      <c r="H392" s="25"/>
      <c r="I392" s="40"/>
      <c r="J392" s="34"/>
      <c r="K392" s="45"/>
      <c r="L392" s="34"/>
      <c r="M392" s="34"/>
      <c r="N392" s="11"/>
      <c r="O392" s="11"/>
      <c r="P392" s="11"/>
      <c r="Q392" s="11"/>
      <c r="R392" s="11"/>
      <c r="S392" s="46"/>
      <c r="T392" s="44" t="str">
        <f aca="false">IF($B392="","",COUNTA($N392:$R392)-COUNTIF($N392:$R392,"Not Invited"))</f>
        <v/>
      </c>
      <c r="U392" s="44" t="str">
        <f aca="false">IF($B392="","",COUNTIF($N392:$R392,"Attended"))</f>
        <v/>
      </c>
      <c r="V392" s="47" t="str">
        <f aca="false">IF($B392="","",_xlfn.TEXTJOIN(", ",TRUE(),IF($N392="Attended",Setup!$D$15,""),IF($O392="Attended",Setup!$D$16,""),IF($P392="Attended",Setup!$D$17,""),IF($Q392="Attended",Setup!$D$18,""),IF($R392="Attended",Setup!$D$19,"")))</f>
        <v/>
      </c>
      <c r="W392" s="48" t="str">
        <f aca="true">IF(OR($B392="",NOT(ISNUMBER($H392))),"",TODAY()-$H392)</f>
        <v/>
      </c>
      <c r="X392" s="47" t="str">
        <f aca="false">IF($B392="","",IF($U392&gt;0,"Event attendee",IF($G392="Yes","Met (no event)",IF($T392&gt;0,"Invited only",IF(OR($L392="Yes",$M392="Yes"),"Contacted only","Not yet contacted")))))</f>
        <v/>
      </c>
      <c r="Y392" s="47" t="str">
        <f aca="false">IF($B392="","",COUNTIF(c_Firm,"&lt;"&amp;$D392)+COUNTIFS(c_Firm,$D392,c_Name,"&lt;"&amp;$B392)+COUNTIFS($D$2:$D392,$D392,$B$2:$B392,$B392))</f>
        <v/>
      </c>
      <c r="Z392" s="47" t="str">
        <f aca="false">IF($B392="","",IF(AND(OR(Contacts!$C$3="(All)",$D392=Contacts!$C$3),OR(Contacts!$E$3="(All)",$G392=Contacts!$E$3),OR(Contacts!$G$3="(All)",ISNUMBER(SEARCH(Contacts!$G$3,$V392))),OR(Contacts!$I$3="(All)",$X392=Contacts!$I$3),OR(Contacts!$K$3="",ISNUMBER(SEARCH(Contacts!$K$3,$B392&amp;" "&amp;$C392&amp;" "&amp;$D392&amp;" "&amp;$S392)))),1,0))</f>
        <v/>
      </c>
      <c r="AA392" s="47" t="str">
        <f aca="false">IF($Z392=1,COUNTIFS(c_Pass,1,c_Sort,"&lt;="&amp;$Y392),"")</f>
        <v/>
      </c>
      <c r="AB392" s="47" t="str">
        <f aca="false">IF(OR($G392&lt;&gt;"Yes",NOT(ISNUMBER($H392))),"",COUNTIFS(c_Met,"Yes",c_Date,"&lt;"&amp;$H392)+COUNTIFS($G$2:$G392,"Yes",$H$2:$H392,$H392))</f>
        <v/>
      </c>
    </row>
    <row r="393" customFormat="false" ht="15" hidden="false" customHeight="false" outlineLevel="0" collapsed="false">
      <c r="A393" s="44" t="str">
        <f aca="false">IF($B393="","",COUNTA($B$2:$B393))</f>
        <v/>
      </c>
      <c r="B393" s="11"/>
      <c r="C393" s="11"/>
      <c r="D393" s="11"/>
      <c r="E393" s="11"/>
      <c r="F393" s="11"/>
      <c r="G393" s="34"/>
      <c r="H393" s="25"/>
      <c r="I393" s="40"/>
      <c r="J393" s="34"/>
      <c r="K393" s="45"/>
      <c r="L393" s="34"/>
      <c r="M393" s="34"/>
      <c r="N393" s="11"/>
      <c r="O393" s="11"/>
      <c r="P393" s="11"/>
      <c r="Q393" s="11"/>
      <c r="R393" s="11"/>
      <c r="S393" s="46"/>
      <c r="T393" s="44" t="str">
        <f aca="false">IF($B393="","",COUNTA($N393:$R393)-COUNTIF($N393:$R393,"Not Invited"))</f>
        <v/>
      </c>
      <c r="U393" s="44" t="str">
        <f aca="false">IF($B393="","",COUNTIF($N393:$R393,"Attended"))</f>
        <v/>
      </c>
      <c r="V393" s="47" t="str">
        <f aca="false">IF($B393="","",_xlfn.TEXTJOIN(", ",TRUE(),IF($N393="Attended",Setup!$D$15,""),IF($O393="Attended",Setup!$D$16,""),IF($P393="Attended",Setup!$D$17,""),IF($Q393="Attended",Setup!$D$18,""),IF($R393="Attended",Setup!$D$19,"")))</f>
        <v/>
      </c>
      <c r="W393" s="48" t="str">
        <f aca="true">IF(OR($B393="",NOT(ISNUMBER($H393))),"",TODAY()-$H393)</f>
        <v/>
      </c>
      <c r="X393" s="47" t="str">
        <f aca="false">IF($B393="","",IF($U393&gt;0,"Event attendee",IF($G393="Yes","Met (no event)",IF($T393&gt;0,"Invited only",IF(OR($L393="Yes",$M393="Yes"),"Contacted only","Not yet contacted")))))</f>
        <v/>
      </c>
      <c r="Y393" s="47" t="str">
        <f aca="false">IF($B393="","",COUNTIF(c_Firm,"&lt;"&amp;$D393)+COUNTIFS(c_Firm,$D393,c_Name,"&lt;"&amp;$B393)+COUNTIFS($D$2:$D393,$D393,$B$2:$B393,$B393))</f>
        <v/>
      </c>
      <c r="Z393" s="47" t="str">
        <f aca="false">IF($B393="","",IF(AND(OR(Contacts!$C$3="(All)",$D393=Contacts!$C$3),OR(Contacts!$E$3="(All)",$G393=Contacts!$E$3),OR(Contacts!$G$3="(All)",ISNUMBER(SEARCH(Contacts!$G$3,$V393))),OR(Contacts!$I$3="(All)",$X393=Contacts!$I$3),OR(Contacts!$K$3="",ISNUMBER(SEARCH(Contacts!$K$3,$B393&amp;" "&amp;$C393&amp;" "&amp;$D393&amp;" "&amp;$S393)))),1,0))</f>
        <v/>
      </c>
      <c r="AA393" s="47" t="str">
        <f aca="false">IF($Z393=1,COUNTIFS(c_Pass,1,c_Sort,"&lt;="&amp;$Y393),"")</f>
        <v/>
      </c>
      <c r="AB393" s="47" t="str">
        <f aca="false">IF(OR($G393&lt;&gt;"Yes",NOT(ISNUMBER($H393))),"",COUNTIFS(c_Met,"Yes",c_Date,"&lt;"&amp;$H393)+COUNTIFS($G$2:$G393,"Yes",$H$2:$H393,$H393))</f>
        <v/>
      </c>
    </row>
    <row r="394" customFormat="false" ht="15" hidden="false" customHeight="false" outlineLevel="0" collapsed="false">
      <c r="A394" s="44" t="str">
        <f aca="false">IF($B394="","",COUNTA($B$2:$B394))</f>
        <v/>
      </c>
      <c r="B394" s="11"/>
      <c r="C394" s="11"/>
      <c r="D394" s="11"/>
      <c r="E394" s="11"/>
      <c r="F394" s="11"/>
      <c r="G394" s="34"/>
      <c r="H394" s="25"/>
      <c r="I394" s="40"/>
      <c r="J394" s="34"/>
      <c r="K394" s="45"/>
      <c r="L394" s="34"/>
      <c r="M394" s="34"/>
      <c r="N394" s="11"/>
      <c r="O394" s="11"/>
      <c r="P394" s="11"/>
      <c r="Q394" s="11"/>
      <c r="R394" s="11"/>
      <c r="S394" s="46"/>
      <c r="T394" s="44" t="str">
        <f aca="false">IF($B394="","",COUNTA($N394:$R394)-COUNTIF($N394:$R394,"Not Invited"))</f>
        <v/>
      </c>
      <c r="U394" s="44" t="str">
        <f aca="false">IF($B394="","",COUNTIF($N394:$R394,"Attended"))</f>
        <v/>
      </c>
      <c r="V394" s="47" t="str">
        <f aca="false">IF($B394="","",_xlfn.TEXTJOIN(", ",TRUE(),IF($N394="Attended",Setup!$D$15,""),IF($O394="Attended",Setup!$D$16,""),IF($P394="Attended",Setup!$D$17,""),IF($Q394="Attended",Setup!$D$18,""),IF($R394="Attended",Setup!$D$19,"")))</f>
        <v/>
      </c>
      <c r="W394" s="48" t="str">
        <f aca="true">IF(OR($B394="",NOT(ISNUMBER($H394))),"",TODAY()-$H394)</f>
        <v/>
      </c>
      <c r="X394" s="47" t="str">
        <f aca="false">IF($B394="","",IF($U394&gt;0,"Event attendee",IF($G394="Yes","Met (no event)",IF($T394&gt;0,"Invited only",IF(OR($L394="Yes",$M394="Yes"),"Contacted only","Not yet contacted")))))</f>
        <v/>
      </c>
      <c r="Y394" s="47" t="str">
        <f aca="false">IF($B394="","",COUNTIF(c_Firm,"&lt;"&amp;$D394)+COUNTIFS(c_Firm,$D394,c_Name,"&lt;"&amp;$B394)+COUNTIFS($D$2:$D394,$D394,$B$2:$B394,$B394))</f>
        <v/>
      </c>
      <c r="Z394" s="47" t="str">
        <f aca="false">IF($B394="","",IF(AND(OR(Contacts!$C$3="(All)",$D394=Contacts!$C$3),OR(Contacts!$E$3="(All)",$G394=Contacts!$E$3),OR(Contacts!$G$3="(All)",ISNUMBER(SEARCH(Contacts!$G$3,$V394))),OR(Contacts!$I$3="(All)",$X394=Contacts!$I$3),OR(Contacts!$K$3="",ISNUMBER(SEARCH(Contacts!$K$3,$B394&amp;" "&amp;$C394&amp;" "&amp;$D394&amp;" "&amp;$S394)))),1,0))</f>
        <v/>
      </c>
      <c r="AA394" s="47" t="str">
        <f aca="false">IF($Z394=1,COUNTIFS(c_Pass,1,c_Sort,"&lt;="&amp;$Y394),"")</f>
        <v/>
      </c>
      <c r="AB394" s="47" t="str">
        <f aca="false">IF(OR($G394&lt;&gt;"Yes",NOT(ISNUMBER($H394))),"",COUNTIFS(c_Met,"Yes",c_Date,"&lt;"&amp;$H394)+COUNTIFS($G$2:$G394,"Yes",$H$2:$H394,$H394))</f>
        <v/>
      </c>
    </row>
    <row r="395" customFormat="false" ht="15" hidden="false" customHeight="false" outlineLevel="0" collapsed="false">
      <c r="A395" s="44" t="str">
        <f aca="false">IF($B395="","",COUNTA($B$2:$B395))</f>
        <v/>
      </c>
      <c r="B395" s="11"/>
      <c r="C395" s="11"/>
      <c r="D395" s="11"/>
      <c r="E395" s="11"/>
      <c r="F395" s="11"/>
      <c r="G395" s="34"/>
      <c r="H395" s="25"/>
      <c r="I395" s="40"/>
      <c r="J395" s="34"/>
      <c r="K395" s="45"/>
      <c r="L395" s="34"/>
      <c r="M395" s="34"/>
      <c r="N395" s="11"/>
      <c r="O395" s="11"/>
      <c r="P395" s="11"/>
      <c r="Q395" s="11"/>
      <c r="R395" s="11"/>
      <c r="S395" s="46"/>
      <c r="T395" s="44" t="str">
        <f aca="false">IF($B395="","",COUNTA($N395:$R395)-COUNTIF($N395:$R395,"Not Invited"))</f>
        <v/>
      </c>
      <c r="U395" s="44" t="str">
        <f aca="false">IF($B395="","",COUNTIF($N395:$R395,"Attended"))</f>
        <v/>
      </c>
      <c r="V395" s="47" t="str">
        <f aca="false">IF($B395="","",_xlfn.TEXTJOIN(", ",TRUE(),IF($N395="Attended",Setup!$D$15,""),IF($O395="Attended",Setup!$D$16,""),IF($P395="Attended",Setup!$D$17,""),IF($Q395="Attended",Setup!$D$18,""),IF($R395="Attended",Setup!$D$19,"")))</f>
        <v/>
      </c>
      <c r="W395" s="48" t="str">
        <f aca="true">IF(OR($B395="",NOT(ISNUMBER($H395))),"",TODAY()-$H395)</f>
        <v/>
      </c>
      <c r="X395" s="47" t="str">
        <f aca="false">IF($B395="","",IF($U395&gt;0,"Event attendee",IF($G395="Yes","Met (no event)",IF($T395&gt;0,"Invited only",IF(OR($L395="Yes",$M395="Yes"),"Contacted only","Not yet contacted")))))</f>
        <v/>
      </c>
      <c r="Y395" s="47" t="str">
        <f aca="false">IF($B395="","",COUNTIF(c_Firm,"&lt;"&amp;$D395)+COUNTIFS(c_Firm,$D395,c_Name,"&lt;"&amp;$B395)+COUNTIFS($D$2:$D395,$D395,$B$2:$B395,$B395))</f>
        <v/>
      </c>
      <c r="Z395" s="47" t="str">
        <f aca="false">IF($B395="","",IF(AND(OR(Contacts!$C$3="(All)",$D395=Contacts!$C$3),OR(Contacts!$E$3="(All)",$G395=Contacts!$E$3),OR(Contacts!$G$3="(All)",ISNUMBER(SEARCH(Contacts!$G$3,$V395))),OR(Contacts!$I$3="(All)",$X395=Contacts!$I$3),OR(Contacts!$K$3="",ISNUMBER(SEARCH(Contacts!$K$3,$B395&amp;" "&amp;$C395&amp;" "&amp;$D395&amp;" "&amp;$S395)))),1,0))</f>
        <v/>
      </c>
      <c r="AA395" s="47" t="str">
        <f aca="false">IF($Z395=1,COUNTIFS(c_Pass,1,c_Sort,"&lt;="&amp;$Y395),"")</f>
        <v/>
      </c>
      <c r="AB395" s="47" t="str">
        <f aca="false">IF(OR($G395&lt;&gt;"Yes",NOT(ISNUMBER($H395))),"",COUNTIFS(c_Met,"Yes",c_Date,"&lt;"&amp;$H395)+COUNTIFS($G$2:$G395,"Yes",$H$2:$H395,$H395))</f>
        <v/>
      </c>
    </row>
    <row r="396" customFormat="false" ht="15" hidden="false" customHeight="false" outlineLevel="0" collapsed="false">
      <c r="A396" s="44" t="str">
        <f aca="false">IF($B396="","",COUNTA($B$2:$B396))</f>
        <v/>
      </c>
      <c r="B396" s="11"/>
      <c r="C396" s="11"/>
      <c r="D396" s="11"/>
      <c r="E396" s="11"/>
      <c r="F396" s="11"/>
      <c r="G396" s="34"/>
      <c r="H396" s="25"/>
      <c r="I396" s="40"/>
      <c r="J396" s="34"/>
      <c r="K396" s="45"/>
      <c r="L396" s="34"/>
      <c r="M396" s="34"/>
      <c r="N396" s="11"/>
      <c r="O396" s="11"/>
      <c r="P396" s="11"/>
      <c r="Q396" s="11"/>
      <c r="R396" s="11"/>
      <c r="S396" s="46"/>
      <c r="T396" s="44" t="str">
        <f aca="false">IF($B396="","",COUNTA($N396:$R396)-COUNTIF($N396:$R396,"Not Invited"))</f>
        <v/>
      </c>
      <c r="U396" s="44" t="str">
        <f aca="false">IF($B396="","",COUNTIF($N396:$R396,"Attended"))</f>
        <v/>
      </c>
      <c r="V396" s="47" t="str">
        <f aca="false">IF($B396="","",_xlfn.TEXTJOIN(", ",TRUE(),IF($N396="Attended",Setup!$D$15,""),IF($O396="Attended",Setup!$D$16,""),IF($P396="Attended",Setup!$D$17,""),IF($Q396="Attended",Setup!$D$18,""),IF($R396="Attended",Setup!$D$19,"")))</f>
        <v/>
      </c>
      <c r="W396" s="48" t="str">
        <f aca="true">IF(OR($B396="",NOT(ISNUMBER($H396))),"",TODAY()-$H396)</f>
        <v/>
      </c>
      <c r="X396" s="47" t="str">
        <f aca="false">IF($B396="","",IF($U396&gt;0,"Event attendee",IF($G396="Yes","Met (no event)",IF($T396&gt;0,"Invited only",IF(OR($L396="Yes",$M396="Yes"),"Contacted only","Not yet contacted")))))</f>
        <v/>
      </c>
      <c r="Y396" s="47" t="str">
        <f aca="false">IF($B396="","",COUNTIF(c_Firm,"&lt;"&amp;$D396)+COUNTIFS(c_Firm,$D396,c_Name,"&lt;"&amp;$B396)+COUNTIFS($D$2:$D396,$D396,$B$2:$B396,$B396))</f>
        <v/>
      </c>
      <c r="Z396" s="47" t="str">
        <f aca="false">IF($B396="","",IF(AND(OR(Contacts!$C$3="(All)",$D396=Contacts!$C$3),OR(Contacts!$E$3="(All)",$G396=Contacts!$E$3),OR(Contacts!$G$3="(All)",ISNUMBER(SEARCH(Contacts!$G$3,$V396))),OR(Contacts!$I$3="(All)",$X396=Contacts!$I$3),OR(Contacts!$K$3="",ISNUMBER(SEARCH(Contacts!$K$3,$B396&amp;" "&amp;$C396&amp;" "&amp;$D396&amp;" "&amp;$S396)))),1,0))</f>
        <v/>
      </c>
      <c r="AA396" s="47" t="str">
        <f aca="false">IF($Z396=1,COUNTIFS(c_Pass,1,c_Sort,"&lt;="&amp;$Y396),"")</f>
        <v/>
      </c>
      <c r="AB396" s="47" t="str">
        <f aca="false">IF(OR($G396&lt;&gt;"Yes",NOT(ISNUMBER($H396))),"",COUNTIFS(c_Met,"Yes",c_Date,"&lt;"&amp;$H396)+COUNTIFS($G$2:$G396,"Yes",$H$2:$H396,$H396))</f>
        <v/>
      </c>
    </row>
    <row r="397" customFormat="false" ht="15" hidden="false" customHeight="false" outlineLevel="0" collapsed="false">
      <c r="A397" s="44" t="str">
        <f aca="false">IF($B397="","",COUNTA($B$2:$B397))</f>
        <v/>
      </c>
      <c r="B397" s="11"/>
      <c r="C397" s="11"/>
      <c r="D397" s="11"/>
      <c r="E397" s="11"/>
      <c r="F397" s="11"/>
      <c r="G397" s="34"/>
      <c r="H397" s="25"/>
      <c r="I397" s="40"/>
      <c r="J397" s="34"/>
      <c r="K397" s="45"/>
      <c r="L397" s="34"/>
      <c r="M397" s="34"/>
      <c r="N397" s="11"/>
      <c r="O397" s="11"/>
      <c r="P397" s="11"/>
      <c r="Q397" s="11"/>
      <c r="R397" s="11"/>
      <c r="S397" s="46"/>
      <c r="T397" s="44" t="str">
        <f aca="false">IF($B397="","",COUNTA($N397:$R397)-COUNTIF($N397:$R397,"Not Invited"))</f>
        <v/>
      </c>
      <c r="U397" s="44" t="str">
        <f aca="false">IF($B397="","",COUNTIF($N397:$R397,"Attended"))</f>
        <v/>
      </c>
      <c r="V397" s="47" t="str">
        <f aca="false">IF($B397="","",_xlfn.TEXTJOIN(", ",TRUE(),IF($N397="Attended",Setup!$D$15,""),IF($O397="Attended",Setup!$D$16,""),IF($P397="Attended",Setup!$D$17,""),IF($Q397="Attended",Setup!$D$18,""),IF($R397="Attended",Setup!$D$19,"")))</f>
        <v/>
      </c>
      <c r="W397" s="48" t="str">
        <f aca="true">IF(OR($B397="",NOT(ISNUMBER($H397))),"",TODAY()-$H397)</f>
        <v/>
      </c>
      <c r="X397" s="47" t="str">
        <f aca="false">IF($B397="","",IF($U397&gt;0,"Event attendee",IF($G397="Yes","Met (no event)",IF($T397&gt;0,"Invited only",IF(OR($L397="Yes",$M397="Yes"),"Contacted only","Not yet contacted")))))</f>
        <v/>
      </c>
      <c r="Y397" s="47" t="str">
        <f aca="false">IF($B397="","",COUNTIF(c_Firm,"&lt;"&amp;$D397)+COUNTIFS(c_Firm,$D397,c_Name,"&lt;"&amp;$B397)+COUNTIFS($D$2:$D397,$D397,$B$2:$B397,$B397))</f>
        <v/>
      </c>
      <c r="Z397" s="47" t="str">
        <f aca="false">IF($B397="","",IF(AND(OR(Contacts!$C$3="(All)",$D397=Contacts!$C$3),OR(Contacts!$E$3="(All)",$G397=Contacts!$E$3),OR(Contacts!$G$3="(All)",ISNUMBER(SEARCH(Contacts!$G$3,$V397))),OR(Contacts!$I$3="(All)",$X397=Contacts!$I$3),OR(Contacts!$K$3="",ISNUMBER(SEARCH(Contacts!$K$3,$B397&amp;" "&amp;$C397&amp;" "&amp;$D397&amp;" "&amp;$S397)))),1,0))</f>
        <v/>
      </c>
      <c r="AA397" s="47" t="str">
        <f aca="false">IF($Z397=1,COUNTIFS(c_Pass,1,c_Sort,"&lt;="&amp;$Y397),"")</f>
        <v/>
      </c>
      <c r="AB397" s="47" t="str">
        <f aca="false">IF(OR($G397&lt;&gt;"Yes",NOT(ISNUMBER($H397))),"",COUNTIFS(c_Met,"Yes",c_Date,"&lt;"&amp;$H397)+COUNTIFS($G$2:$G397,"Yes",$H$2:$H397,$H397))</f>
        <v/>
      </c>
    </row>
    <row r="398" customFormat="false" ht="15" hidden="false" customHeight="false" outlineLevel="0" collapsed="false">
      <c r="A398" s="44" t="str">
        <f aca="false">IF($B398="","",COUNTA($B$2:$B398))</f>
        <v/>
      </c>
      <c r="B398" s="11"/>
      <c r="C398" s="11"/>
      <c r="D398" s="11"/>
      <c r="E398" s="11"/>
      <c r="F398" s="11"/>
      <c r="G398" s="34"/>
      <c r="H398" s="25"/>
      <c r="I398" s="40"/>
      <c r="J398" s="34"/>
      <c r="K398" s="45"/>
      <c r="L398" s="34"/>
      <c r="M398" s="34"/>
      <c r="N398" s="11"/>
      <c r="O398" s="11"/>
      <c r="P398" s="11"/>
      <c r="Q398" s="11"/>
      <c r="R398" s="11"/>
      <c r="S398" s="46"/>
      <c r="T398" s="44" t="str">
        <f aca="false">IF($B398="","",COUNTA($N398:$R398)-COUNTIF($N398:$R398,"Not Invited"))</f>
        <v/>
      </c>
      <c r="U398" s="44" t="str">
        <f aca="false">IF($B398="","",COUNTIF($N398:$R398,"Attended"))</f>
        <v/>
      </c>
      <c r="V398" s="47" t="str">
        <f aca="false">IF($B398="","",_xlfn.TEXTJOIN(", ",TRUE(),IF($N398="Attended",Setup!$D$15,""),IF($O398="Attended",Setup!$D$16,""),IF($P398="Attended",Setup!$D$17,""),IF($Q398="Attended",Setup!$D$18,""),IF($R398="Attended",Setup!$D$19,"")))</f>
        <v/>
      </c>
      <c r="W398" s="48" t="str">
        <f aca="true">IF(OR($B398="",NOT(ISNUMBER($H398))),"",TODAY()-$H398)</f>
        <v/>
      </c>
      <c r="X398" s="47" t="str">
        <f aca="false">IF($B398="","",IF($U398&gt;0,"Event attendee",IF($G398="Yes","Met (no event)",IF($T398&gt;0,"Invited only",IF(OR($L398="Yes",$M398="Yes"),"Contacted only","Not yet contacted")))))</f>
        <v/>
      </c>
      <c r="Y398" s="47" t="str">
        <f aca="false">IF($B398="","",COUNTIF(c_Firm,"&lt;"&amp;$D398)+COUNTIFS(c_Firm,$D398,c_Name,"&lt;"&amp;$B398)+COUNTIFS($D$2:$D398,$D398,$B$2:$B398,$B398))</f>
        <v/>
      </c>
      <c r="Z398" s="47" t="str">
        <f aca="false">IF($B398="","",IF(AND(OR(Contacts!$C$3="(All)",$D398=Contacts!$C$3),OR(Contacts!$E$3="(All)",$G398=Contacts!$E$3),OR(Contacts!$G$3="(All)",ISNUMBER(SEARCH(Contacts!$G$3,$V398))),OR(Contacts!$I$3="(All)",$X398=Contacts!$I$3),OR(Contacts!$K$3="",ISNUMBER(SEARCH(Contacts!$K$3,$B398&amp;" "&amp;$C398&amp;" "&amp;$D398&amp;" "&amp;$S398)))),1,0))</f>
        <v/>
      </c>
      <c r="AA398" s="47" t="str">
        <f aca="false">IF($Z398=1,COUNTIFS(c_Pass,1,c_Sort,"&lt;="&amp;$Y398),"")</f>
        <v/>
      </c>
      <c r="AB398" s="47" t="str">
        <f aca="false">IF(OR($G398&lt;&gt;"Yes",NOT(ISNUMBER($H398))),"",COUNTIFS(c_Met,"Yes",c_Date,"&lt;"&amp;$H398)+COUNTIFS($G$2:$G398,"Yes",$H$2:$H398,$H398))</f>
        <v/>
      </c>
    </row>
    <row r="399" customFormat="false" ht="15" hidden="false" customHeight="false" outlineLevel="0" collapsed="false">
      <c r="A399" s="44" t="str">
        <f aca="false">IF($B399="","",COUNTA($B$2:$B399))</f>
        <v/>
      </c>
      <c r="B399" s="11"/>
      <c r="C399" s="11"/>
      <c r="D399" s="11"/>
      <c r="E399" s="11"/>
      <c r="F399" s="11"/>
      <c r="G399" s="34"/>
      <c r="H399" s="25"/>
      <c r="I399" s="40"/>
      <c r="J399" s="34"/>
      <c r="K399" s="45"/>
      <c r="L399" s="34"/>
      <c r="M399" s="34"/>
      <c r="N399" s="11"/>
      <c r="O399" s="11"/>
      <c r="P399" s="11"/>
      <c r="Q399" s="11"/>
      <c r="R399" s="11"/>
      <c r="S399" s="46"/>
      <c r="T399" s="44" t="str">
        <f aca="false">IF($B399="","",COUNTA($N399:$R399)-COUNTIF($N399:$R399,"Not Invited"))</f>
        <v/>
      </c>
      <c r="U399" s="44" t="str">
        <f aca="false">IF($B399="","",COUNTIF($N399:$R399,"Attended"))</f>
        <v/>
      </c>
      <c r="V399" s="47" t="str">
        <f aca="false">IF($B399="","",_xlfn.TEXTJOIN(", ",TRUE(),IF($N399="Attended",Setup!$D$15,""),IF($O399="Attended",Setup!$D$16,""),IF($P399="Attended",Setup!$D$17,""),IF($Q399="Attended",Setup!$D$18,""),IF($R399="Attended",Setup!$D$19,"")))</f>
        <v/>
      </c>
      <c r="W399" s="48" t="str">
        <f aca="true">IF(OR($B399="",NOT(ISNUMBER($H399))),"",TODAY()-$H399)</f>
        <v/>
      </c>
      <c r="X399" s="47" t="str">
        <f aca="false">IF($B399="","",IF($U399&gt;0,"Event attendee",IF($G399="Yes","Met (no event)",IF($T399&gt;0,"Invited only",IF(OR($L399="Yes",$M399="Yes"),"Contacted only","Not yet contacted")))))</f>
        <v/>
      </c>
      <c r="Y399" s="47" t="str">
        <f aca="false">IF($B399="","",COUNTIF(c_Firm,"&lt;"&amp;$D399)+COUNTIFS(c_Firm,$D399,c_Name,"&lt;"&amp;$B399)+COUNTIFS($D$2:$D399,$D399,$B$2:$B399,$B399))</f>
        <v/>
      </c>
      <c r="Z399" s="47" t="str">
        <f aca="false">IF($B399="","",IF(AND(OR(Contacts!$C$3="(All)",$D399=Contacts!$C$3),OR(Contacts!$E$3="(All)",$G399=Contacts!$E$3),OR(Contacts!$G$3="(All)",ISNUMBER(SEARCH(Contacts!$G$3,$V399))),OR(Contacts!$I$3="(All)",$X399=Contacts!$I$3),OR(Contacts!$K$3="",ISNUMBER(SEARCH(Contacts!$K$3,$B399&amp;" "&amp;$C399&amp;" "&amp;$D399&amp;" "&amp;$S399)))),1,0))</f>
        <v/>
      </c>
      <c r="AA399" s="47" t="str">
        <f aca="false">IF($Z399=1,COUNTIFS(c_Pass,1,c_Sort,"&lt;="&amp;$Y399),"")</f>
        <v/>
      </c>
      <c r="AB399" s="47" t="str">
        <f aca="false">IF(OR($G399&lt;&gt;"Yes",NOT(ISNUMBER($H399))),"",COUNTIFS(c_Met,"Yes",c_Date,"&lt;"&amp;$H399)+COUNTIFS($G$2:$G399,"Yes",$H$2:$H399,$H399))</f>
        <v/>
      </c>
    </row>
    <row r="400" customFormat="false" ht="15" hidden="false" customHeight="false" outlineLevel="0" collapsed="false">
      <c r="A400" s="44" t="str">
        <f aca="false">IF($B400="","",COUNTA($B$2:$B400))</f>
        <v/>
      </c>
      <c r="B400" s="11"/>
      <c r="C400" s="11"/>
      <c r="D400" s="11"/>
      <c r="E400" s="11"/>
      <c r="F400" s="11"/>
      <c r="G400" s="34"/>
      <c r="H400" s="25"/>
      <c r="I400" s="40"/>
      <c r="J400" s="34"/>
      <c r="K400" s="45"/>
      <c r="L400" s="34"/>
      <c r="M400" s="34"/>
      <c r="N400" s="11"/>
      <c r="O400" s="11"/>
      <c r="P400" s="11"/>
      <c r="Q400" s="11"/>
      <c r="R400" s="11"/>
      <c r="S400" s="46"/>
      <c r="T400" s="44" t="str">
        <f aca="false">IF($B400="","",COUNTA($N400:$R400)-COUNTIF($N400:$R400,"Not Invited"))</f>
        <v/>
      </c>
      <c r="U400" s="44" t="str">
        <f aca="false">IF($B400="","",COUNTIF($N400:$R400,"Attended"))</f>
        <v/>
      </c>
      <c r="V400" s="47" t="str">
        <f aca="false">IF($B400="","",_xlfn.TEXTJOIN(", ",TRUE(),IF($N400="Attended",Setup!$D$15,""),IF($O400="Attended",Setup!$D$16,""),IF($P400="Attended",Setup!$D$17,""),IF($Q400="Attended",Setup!$D$18,""),IF($R400="Attended",Setup!$D$19,"")))</f>
        <v/>
      </c>
      <c r="W400" s="48" t="str">
        <f aca="true">IF(OR($B400="",NOT(ISNUMBER($H400))),"",TODAY()-$H400)</f>
        <v/>
      </c>
      <c r="X400" s="47" t="str">
        <f aca="false">IF($B400="","",IF($U400&gt;0,"Event attendee",IF($G400="Yes","Met (no event)",IF($T400&gt;0,"Invited only",IF(OR($L400="Yes",$M400="Yes"),"Contacted only","Not yet contacted")))))</f>
        <v/>
      </c>
      <c r="Y400" s="47" t="str">
        <f aca="false">IF($B400="","",COUNTIF(c_Firm,"&lt;"&amp;$D400)+COUNTIFS(c_Firm,$D400,c_Name,"&lt;"&amp;$B400)+COUNTIFS($D$2:$D400,$D400,$B$2:$B400,$B400))</f>
        <v/>
      </c>
      <c r="Z400" s="47" t="str">
        <f aca="false">IF($B400="","",IF(AND(OR(Contacts!$C$3="(All)",$D400=Contacts!$C$3),OR(Contacts!$E$3="(All)",$G400=Contacts!$E$3),OR(Contacts!$G$3="(All)",ISNUMBER(SEARCH(Contacts!$G$3,$V400))),OR(Contacts!$I$3="(All)",$X400=Contacts!$I$3),OR(Contacts!$K$3="",ISNUMBER(SEARCH(Contacts!$K$3,$B400&amp;" "&amp;$C400&amp;" "&amp;$D400&amp;" "&amp;$S400)))),1,0))</f>
        <v/>
      </c>
      <c r="AA400" s="47" t="str">
        <f aca="false">IF($Z400=1,COUNTIFS(c_Pass,1,c_Sort,"&lt;="&amp;$Y400),"")</f>
        <v/>
      </c>
      <c r="AB400" s="47" t="str">
        <f aca="false">IF(OR($G400&lt;&gt;"Yes",NOT(ISNUMBER($H400))),"",COUNTIFS(c_Met,"Yes",c_Date,"&lt;"&amp;$H400)+COUNTIFS($G$2:$G400,"Yes",$H$2:$H400,$H400))</f>
        <v/>
      </c>
    </row>
    <row r="401" customFormat="false" ht="15" hidden="false" customHeight="false" outlineLevel="0" collapsed="false">
      <c r="A401" s="44" t="str">
        <f aca="false">IF($B401="","",COUNTA($B$2:$B401))</f>
        <v/>
      </c>
      <c r="B401" s="11"/>
      <c r="C401" s="11"/>
      <c r="D401" s="11"/>
      <c r="E401" s="11"/>
      <c r="F401" s="11"/>
      <c r="G401" s="34"/>
      <c r="H401" s="25"/>
      <c r="I401" s="40"/>
      <c r="J401" s="34"/>
      <c r="K401" s="45"/>
      <c r="L401" s="34"/>
      <c r="M401" s="34"/>
      <c r="N401" s="11"/>
      <c r="O401" s="11"/>
      <c r="P401" s="11"/>
      <c r="Q401" s="11"/>
      <c r="R401" s="11"/>
      <c r="S401" s="46"/>
      <c r="T401" s="44" t="str">
        <f aca="false">IF($B401="","",COUNTA($N401:$R401)-COUNTIF($N401:$R401,"Not Invited"))</f>
        <v/>
      </c>
      <c r="U401" s="44" t="str">
        <f aca="false">IF($B401="","",COUNTIF($N401:$R401,"Attended"))</f>
        <v/>
      </c>
      <c r="V401" s="47" t="str">
        <f aca="false">IF($B401="","",_xlfn.TEXTJOIN(", ",TRUE(),IF($N401="Attended",Setup!$D$15,""),IF($O401="Attended",Setup!$D$16,""),IF($P401="Attended",Setup!$D$17,""),IF($Q401="Attended",Setup!$D$18,""),IF($R401="Attended",Setup!$D$19,"")))</f>
        <v/>
      </c>
      <c r="W401" s="48" t="str">
        <f aca="true">IF(OR($B401="",NOT(ISNUMBER($H401))),"",TODAY()-$H401)</f>
        <v/>
      </c>
      <c r="X401" s="47" t="str">
        <f aca="false">IF($B401="","",IF($U401&gt;0,"Event attendee",IF($G401="Yes","Met (no event)",IF($T401&gt;0,"Invited only",IF(OR($L401="Yes",$M401="Yes"),"Contacted only","Not yet contacted")))))</f>
        <v/>
      </c>
      <c r="Y401" s="47" t="str">
        <f aca="false">IF($B401="","",COUNTIF(c_Firm,"&lt;"&amp;$D401)+COUNTIFS(c_Firm,$D401,c_Name,"&lt;"&amp;$B401)+COUNTIFS($D$2:$D401,$D401,$B$2:$B401,$B401))</f>
        <v/>
      </c>
      <c r="Z401" s="47" t="str">
        <f aca="false">IF($B401="","",IF(AND(OR(Contacts!$C$3="(All)",$D401=Contacts!$C$3),OR(Contacts!$E$3="(All)",$G401=Contacts!$E$3),OR(Contacts!$G$3="(All)",ISNUMBER(SEARCH(Contacts!$G$3,$V401))),OR(Contacts!$I$3="(All)",$X401=Contacts!$I$3),OR(Contacts!$K$3="",ISNUMBER(SEARCH(Contacts!$K$3,$B401&amp;" "&amp;$C401&amp;" "&amp;$D401&amp;" "&amp;$S401)))),1,0))</f>
        <v/>
      </c>
      <c r="AA401" s="47" t="str">
        <f aca="false">IF($Z401=1,COUNTIFS(c_Pass,1,c_Sort,"&lt;="&amp;$Y401),"")</f>
        <v/>
      </c>
      <c r="AB401" s="47" t="str">
        <f aca="false">IF(OR($G401&lt;&gt;"Yes",NOT(ISNUMBER($H401))),"",COUNTIFS(c_Met,"Yes",c_Date,"&lt;"&amp;$H401)+COUNTIFS($G$2:$G401,"Yes",$H$2:$H401,$H401))</f>
        <v/>
      </c>
    </row>
    <row r="402" customFormat="false" ht="15" hidden="false" customHeight="false" outlineLevel="0" collapsed="false">
      <c r="A402" s="44" t="str">
        <f aca="false">IF($B402="","",COUNTA($B$2:$B402))</f>
        <v/>
      </c>
      <c r="B402" s="11"/>
      <c r="C402" s="11"/>
      <c r="D402" s="11"/>
      <c r="E402" s="11"/>
      <c r="F402" s="11"/>
      <c r="G402" s="34"/>
      <c r="H402" s="25"/>
      <c r="I402" s="40"/>
      <c r="J402" s="34"/>
      <c r="K402" s="45"/>
      <c r="L402" s="34"/>
      <c r="M402" s="34"/>
      <c r="N402" s="11"/>
      <c r="O402" s="11"/>
      <c r="P402" s="11"/>
      <c r="Q402" s="11"/>
      <c r="R402" s="11"/>
      <c r="S402" s="46"/>
      <c r="T402" s="44" t="str">
        <f aca="false">IF($B402="","",COUNTA($N402:$R402)-COUNTIF($N402:$R402,"Not Invited"))</f>
        <v/>
      </c>
      <c r="U402" s="44" t="str">
        <f aca="false">IF($B402="","",COUNTIF($N402:$R402,"Attended"))</f>
        <v/>
      </c>
      <c r="V402" s="47" t="str">
        <f aca="false">IF($B402="","",_xlfn.TEXTJOIN(", ",TRUE(),IF($N402="Attended",Setup!$D$15,""),IF($O402="Attended",Setup!$D$16,""),IF($P402="Attended",Setup!$D$17,""),IF($Q402="Attended",Setup!$D$18,""),IF($R402="Attended",Setup!$D$19,"")))</f>
        <v/>
      </c>
      <c r="W402" s="48" t="str">
        <f aca="true">IF(OR($B402="",NOT(ISNUMBER($H402))),"",TODAY()-$H402)</f>
        <v/>
      </c>
      <c r="X402" s="47" t="str">
        <f aca="false">IF($B402="","",IF($U402&gt;0,"Event attendee",IF($G402="Yes","Met (no event)",IF($T402&gt;0,"Invited only",IF(OR($L402="Yes",$M402="Yes"),"Contacted only","Not yet contacted")))))</f>
        <v/>
      </c>
      <c r="Y402" s="47" t="str">
        <f aca="false">IF($B402="","",COUNTIF(c_Firm,"&lt;"&amp;$D402)+COUNTIFS(c_Firm,$D402,c_Name,"&lt;"&amp;$B402)+COUNTIFS($D$2:$D402,$D402,$B$2:$B402,$B402))</f>
        <v/>
      </c>
      <c r="Z402" s="47" t="str">
        <f aca="false">IF($B402="","",IF(AND(OR(Contacts!$C$3="(All)",$D402=Contacts!$C$3),OR(Contacts!$E$3="(All)",$G402=Contacts!$E$3),OR(Contacts!$G$3="(All)",ISNUMBER(SEARCH(Contacts!$G$3,$V402))),OR(Contacts!$I$3="(All)",$X402=Contacts!$I$3),OR(Contacts!$K$3="",ISNUMBER(SEARCH(Contacts!$K$3,$B402&amp;" "&amp;$C402&amp;" "&amp;$D402&amp;" "&amp;$S402)))),1,0))</f>
        <v/>
      </c>
      <c r="AA402" s="47" t="str">
        <f aca="false">IF($Z402=1,COUNTIFS(c_Pass,1,c_Sort,"&lt;="&amp;$Y402),"")</f>
        <v/>
      </c>
      <c r="AB402" s="47" t="str">
        <f aca="false">IF(OR($G402&lt;&gt;"Yes",NOT(ISNUMBER($H402))),"",COUNTIFS(c_Met,"Yes",c_Date,"&lt;"&amp;$H402)+COUNTIFS($G$2:$G402,"Yes",$H$2:$H402,$H402))</f>
        <v/>
      </c>
    </row>
    <row r="403" customFormat="false" ht="15" hidden="false" customHeight="false" outlineLevel="0" collapsed="false">
      <c r="A403" s="44" t="str">
        <f aca="false">IF($B403="","",COUNTA($B$2:$B403))</f>
        <v/>
      </c>
      <c r="B403" s="11"/>
      <c r="C403" s="11"/>
      <c r="D403" s="11"/>
      <c r="E403" s="11"/>
      <c r="F403" s="11"/>
      <c r="G403" s="34"/>
      <c r="H403" s="25"/>
      <c r="I403" s="40"/>
      <c r="J403" s="34"/>
      <c r="K403" s="45"/>
      <c r="L403" s="34"/>
      <c r="M403" s="34"/>
      <c r="N403" s="11"/>
      <c r="O403" s="11"/>
      <c r="P403" s="11"/>
      <c r="Q403" s="11"/>
      <c r="R403" s="11"/>
      <c r="S403" s="46"/>
      <c r="T403" s="44" t="str">
        <f aca="false">IF($B403="","",COUNTA($N403:$R403)-COUNTIF($N403:$R403,"Not Invited"))</f>
        <v/>
      </c>
      <c r="U403" s="44" t="str">
        <f aca="false">IF($B403="","",COUNTIF($N403:$R403,"Attended"))</f>
        <v/>
      </c>
      <c r="V403" s="47" t="str">
        <f aca="false">IF($B403="","",_xlfn.TEXTJOIN(", ",TRUE(),IF($N403="Attended",Setup!$D$15,""),IF($O403="Attended",Setup!$D$16,""),IF($P403="Attended",Setup!$D$17,""),IF($Q403="Attended",Setup!$D$18,""),IF($R403="Attended",Setup!$D$19,"")))</f>
        <v/>
      </c>
      <c r="W403" s="48" t="str">
        <f aca="true">IF(OR($B403="",NOT(ISNUMBER($H403))),"",TODAY()-$H403)</f>
        <v/>
      </c>
      <c r="X403" s="47" t="str">
        <f aca="false">IF($B403="","",IF($U403&gt;0,"Event attendee",IF($G403="Yes","Met (no event)",IF($T403&gt;0,"Invited only",IF(OR($L403="Yes",$M403="Yes"),"Contacted only","Not yet contacted")))))</f>
        <v/>
      </c>
      <c r="Y403" s="47" t="str">
        <f aca="false">IF($B403="","",COUNTIF(c_Firm,"&lt;"&amp;$D403)+COUNTIFS(c_Firm,$D403,c_Name,"&lt;"&amp;$B403)+COUNTIFS($D$2:$D403,$D403,$B$2:$B403,$B403))</f>
        <v/>
      </c>
      <c r="Z403" s="47" t="str">
        <f aca="false">IF($B403="","",IF(AND(OR(Contacts!$C$3="(All)",$D403=Contacts!$C$3),OR(Contacts!$E$3="(All)",$G403=Contacts!$E$3),OR(Contacts!$G$3="(All)",ISNUMBER(SEARCH(Contacts!$G$3,$V403))),OR(Contacts!$I$3="(All)",$X403=Contacts!$I$3),OR(Contacts!$K$3="",ISNUMBER(SEARCH(Contacts!$K$3,$B403&amp;" "&amp;$C403&amp;" "&amp;$D403&amp;" "&amp;$S403)))),1,0))</f>
        <v/>
      </c>
      <c r="AA403" s="47" t="str">
        <f aca="false">IF($Z403=1,COUNTIFS(c_Pass,1,c_Sort,"&lt;="&amp;$Y403),"")</f>
        <v/>
      </c>
      <c r="AB403" s="47" t="str">
        <f aca="false">IF(OR($G403&lt;&gt;"Yes",NOT(ISNUMBER($H403))),"",COUNTIFS(c_Met,"Yes",c_Date,"&lt;"&amp;$H403)+COUNTIFS($G$2:$G403,"Yes",$H$2:$H403,$H403))</f>
        <v/>
      </c>
    </row>
    <row r="404" customFormat="false" ht="15" hidden="false" customHeight="false" outlineLevel="0" collapsed="false">
      <c r="A404" s="44" t="str">
        <f aca="false">IF($B404="","",COUNTA($B$2:$B404))</f>
        <v/>
      </c>
      <c r="B404" s="11"/>
      <c r="C404" s="11"/>
      <c r="D404" s="11"/>
      <c r="E404" s="11"/>
      <c r="F404" s="11"/>
      <c r="G404" s="34"/>
      <c r="H404" s="25"/>
      <c r="I404" s="40"/>
      <c r="J404" s="34"/>
      <c r="K404" s="45"/>
      <c r="L404" s="34"/>
      <c r="M404" s="34"/>
      <c r="N404" s="11"/>
      <c r="O404" s="11"/>
      <c r="P404" s="11"/>
      <c r="Q404" s="11"/>
      <c r="R404" s="11"/>
      <c r="S404" s="46"/>
      <c r="T404" s="44" t="str">
        <f aca="false">IF($B404="","",COUNTA($N404:$R404)-COUNTIF($N404:$R404,"Not Invited"))</f>
        <v/>
      </c>
      <c r="U404" s="44" t="str">
        <f aca="false">IF($B404="","",COUNTIF($N404:$R404,"Attended"))</f>
        <v/>
      </c>
      <c r="V404" s="47" t="str">
        <f aca="false">IF($B404="","",_xlfn.TEXTJOIN(", ",TRUE(),IF($N404="Attended",Setup!$D$15,""),IF($O404="Attended",Setup!$D$16,""),IF($P404="Attended",Setup!$D$17,""),IF($Q404="Attended",Setup!$D$18,""),IF($R404="Attended",Setup!$D$19,"")))</f>
        <v/>
      </c>
      <c r="W404" s="48" t="str">
        <f aca="true">IF(OR($B404="",NOT(ISNUMBER($H404))),"",TODAY()-$H404)</f>
        <v/>
      </c>
      <c r="X404" s="47" t="str">
        <f aca="false">IF($B404="","",IF($U404&gt;0,"Event attendee",IF($G404="Yes","Met (no event)",IF($T404&gt;0,"Invited only",IF(OR($L404="Yes",$M404="Yes"),"Contacted only","Not yet contacted")))))</f>
        <v/>
      </c>
      <c r="Y404" s="47" t="str">
        <f aca="false">IF($B404="","",COUNTIF(c_Firm,"&lt;"&amp;$D404)+COUNTIFS(c_Firm,$D404,c_Name,"&lt;"&amp;$B404)+COUNTIFS($D$2:$D404,$D404,$B$2:$B404,$B404))</f>
        <v/>
      </c>
      <c r="Z404" s="47" t="str">
        <f aca="false">IF($B404="","",IF(AND(OR(Contacts!$C$3="(All)",$D404=Contacts!$C$3),OR(Contacts!$E$3="(All)",$G404=Contacts!$E$3),OR(Contacts!$G$3="(All)",ISNUMBER(SEARCH(Contacts!$G$3,$V404))),OR(Contacts!$I$3="(All)",$X404=Contacts!$I$3),OR(Contacts!$K$3="",ISNUMBER(SEARCH(Contacts!$K$3,$B404&amp;" "&amp;$C404&amp;" "&amp;$D404&amp;" "&amp;$S404)))),1,0))</f>
        <v/>
      </c>
      <c r="AA404" s="47" t="str">
        <f aca="false">IF($Z404=1,COUNTIFS(c_Pass,1,c_Sort,"&lt;="&amp;$Y404),"")</f>
        <v/>
      </c>
      <c r="AB404" s="47" t="str">
        <f aca="false">IF(OR($G404&lt;&gt;"Yes",NOT(ISNUMBER($H404))),"",COUNTIFS(c_Met,"Yes",c_Date,"&lt;"&amp;$H404)+COUNTIFS($G$2:$G404,"Yes",$H$2:$H404,$H404))</f>
        <v/>
      </c>
    </row>
    <row r="405" customFormat="false" ht="15" hidden="false" customHeight="false" outlineLevel="0" collapsed="false">
      <c r="A405" s="44" t="str">
        <f aca="false">IF($B405="","",COUNTA($B$2:$B405))</f>
        <v/>
      </c>
      <c r="B405" s="11"/>
      <c r="C405" s="11"/>
      <c r="D405" s="11"/>
      <c r="E405" s="11"/>
      <c r="F405" s="11"/>
      <c r="G405" s="34"/>
      <c r="H405" s="25"/>
      <c r="I405" s="40"/>
      <c r="J405" s="34"/>
      <c r="K405" s="45"/>
      <c r="L405" s="34"/>
      <c r="M405" s="34"/>
      <c r="N405" s="11"/>
      <c r="O405" s="11"/>
      <c r="P405" s="11"/>
      <c r="Q405" s="11"/>
      <c r="R405" s="11"/>
      <c r="S405" s="46"/>
      <c r="T405" s="44" t="str">
        <f aca="false">IF($B405="","",COUNTA($N405:$R405)-COUNTIF($N405:$R405,"Not Invited"))</f>
        <v/>
      </c>
      <c r="U405" s="44" t="str">
        <f aca="false">IF($B405="","",COUNTIF($N405:$R405,"Attended"))</f>
        <v/>
      </c>
      <c r="V405" s="47" t="str">
        <f aca="false">IF($B405="","",_xlfn.TEXTJOIN(", ",TRUE(),IF($N405="Attended",Setup!$D$15,""),IF($O405="Attended",Setup!$D$16,""),IF($P405="Attended",Setup!$D$17,""),IF($Q405="Attended",Setup!$D$18,""),IF($R405="Attended",Setup!$D$19,"")))</f>
        <v/>
      </c>
      <c r="W405" s="48" t="str">
        <f aca="true">IF(OR($B405="",NOT(ISNUMBER($H405))),"",TODAY()-$H405)</f>
        <v/>
      </c>
      <c r="X405" s="47" t="str">
        <f aca="false">IF($B405="","",IF($U405&gt;0,"Event attendee",IF($G405="Yes","Met (no event)",IF($T405&gt;0,"Invited only",IF(OR($L405="Yes",$M405="Yes"),"Contacted only","Not yet contacted")))))</f>
        <v/>
      </c>
      <c r="Y405" s="47" t="str">
        <f aca="false">IF($B405="","",COUNTIF(c_Firm,"&lt;"&amp;$D405)+COUNTIFS(c_Firm,$D405,c_Name,"&lt;"&amp;$B405)+COUNTIFS($D$2:$D405,$D405,$B$2:$B405,$B405))</f>
        <v/>
      </c>
      <c r="Z405" s="47" t="str">
        <f aca="false">IF($B405="","",IF(AND(OR(Contacts!$C$3="(All)",$D405=Contacts!$C$3),OR(Contacts!$E$3="(All)",$G405=Contacts!$E$3),OR(Contacts!$G$3="(All)",ISNUMBER(SEARCH(Contacts!$G$3,$V405))),OR(Contacts!$I$3="(All)",$X405=Contacts!$I$3),OR(Contacts!$K$3="",ISNUMBER(SEARCH(Contacts!$K$3,$B405&amp;" "&amp;$C405&amp;" "&amp;$D405&amp;" "&amp;$S405)))),1,0))</f>
        <v/>
      </c>
      <c r="AA405" s="47" t="str">
        <f aca="false">IF($Z405=1,COUNTIFS(c_Pass,1,c_Sort,"&lt;="&amp;$Y405),"")</f>
        <v/>
      </c>
      <c r="AB405" s="47" t="str">
        <f aca="false">IF(OR($G405&lt;&gt;"Yes",NOT(ISNUMBER($H405))),"",COUNTIFS(c_Met,"Yes",c_Date,"&lt;"&amp;$H405)+COUNTIFS($G$2:$G405,"Yes",$H$2:$H405,$H405))</f>
        <v/>
      </c>
    </row>
    <row r="406" customFormat="false" ht="15" hidden="false" customHeight="false" outlineLevel="0" collapsed="false">
      <c r="A406" s="44" t="str">
        <f aca="false">IF($B406="","",COUNTA($B$2:$B406))</f>
        <v/>
      </c>
      <c r="B406" s="11"/>
      <c r="C406" s="11"/>
      <c r="D406" s="11"/>
      <c r="E406" s="11"/>
      <c r="F406" s="11"/>
      <c r="G406" s="34"/>
      <c r="H406" s="25"/>
      <c r="I406" s="40"/>
      <c r="J406" s="34"/>
      <c r="K406" s="45"/>
      <c r="L406" s="34"/>
      <c r="M406" s="34"/>
      <c r="N406" s="11"/>
      <c r="O406" s="11"/>
      <c r="P406" s="11"/>
      <c r="Q406" s="11"/>
      <c r="R406" s="11"/>
      <c r="S406" s="46"/>
      <c r="T406" s="44" t="str">
        <f aca="false">IF($B406="","",COUNTA($N406:$R406)-COUNTIF($N406:$R406,"Not Invited"))</f>
        <v/>
      </c>
      <c r="U406" s="44" t="str">
        <f aca="false">IF($B406="","",COUNTIF($N406:$R406,"Attended"))</f>
        <v/>
      </c>
      <c r="V406" s="47" t="str">
        <f aca="false">IF($B406="","",_xlfn.TEXTJOIN(", ",TRUE(),IF($N406="Attended",Setup!$D$15,""),IF($O406="Attended",Setup!$D$16,""),IF($P406="Attended",Setup!$D$17,""),IF($Q406="Attended",Setup!$D$18,""),IF($R406="Attended",Setup!$D$19,"")))</f>
        <v/>
      </c>
      <c r="W406" s="48" t="str">
        <f aca="true">IF(OR($B406="",NOT(ISNUMBER($H406))),"",TODAY()-$H406)</f>
        <v/>
      </c>
      <c r="X406" s="47" t="str">
        <f aca="false">IF($B406="","",IF($U406&gt;0,"Event attendee",IF($G406="Yes","Met (no event)",IF($T406&gt;0,"Invited only",IF(OR($L406="Yes",$M406="Yes"),"Contacted only","Not yet contacted")))))</f>
        <v/>
      </c>
      <c r="Y406" s="47" t="str">
        <f aca="false">IF($B406="","",COUNTIF(c_Firm,"&lt;"&amp;$D406)+COUNTIFS(c_Firm,$D406,c_Name,"&lt;"&amp;$B406)+COUNTIFS($D$2:$D406,$D406,$B$2:$B406,$B406))</f>
        <v/>
      </c>
      <c r="Z406" s="47" t="str">
        <f aca="false">IF($B406="","",IF(AND(OR(Contacts!$C$3="(All)",$D406=Contacts!$C$3),OR(Contacts!$E$3="(All)",$G406=Contacts!$E$3),OR(Contacts!$G$3="(All)",ISNUMBER(SEARCH(Contacts!$G$3,$V406))),OR(Contacts!$I$3="(All)",$X406=Contacts!$I$3),OR(Contacts!$K$3="",ISNUMBER(SEARCH(Contacts!$K$3,$B406&amp;" "&amp;$C406&amp;" "&amp;$D406&amp;" "&amp;$S406)))),1,0))</f>
        <v/>
      </c>
      <c r="AA406" s="47" t="str">
        <f aca="false">IF($Z406=1,COUNTIFS(c_Pass,1,c_Sort,"&lt;="&amp;$Y406),"")</f>
        <v/>
      </c>
      <c r="AB406" s="47" t="str">
        <f aca="false">IF(OR($G406&lt;&gt;"Yes",NOT(ISNUMBER($H406))),"",COUNTIFS(c_Met,"Yes",c_Date,"&lt;"&amp;$H406)+COUNTIFS($G$2:$G406,"Yes",$H$2:$H406,$H406))</f>
        <v/>
      </c>
    </row>
    <row r="407" customFormat="false" ht="15" hidden="false" customHeight="false" outlineLevel="0" collapsed="false">
      <c r="A407" s="44" t="str">
        <f aca="false">IF($B407="","",COUNTA($B$2:$B407))</f>
        <v/>
      </c>
      <c r="B407" s="11"/>
      <c r="C407" s="11"/>
      <c r="D407" s="11"/>
      <c r="E407" s="11"/>
      <c r="F407" s="11"/>
      <c r="G407" s="34"/>
      <c r="H407" s="25"/>
      <c r="I407" s="40"/>
      <c r="J407" s="34"/>
      <c r="K407" s="45"/>
      <c r="L407" s="34"/>
      <c r="M407" s="34"/>
      <c r="N407" s="11"/>
      <c r="O407" s="11"/>
      <c r="P407" s="11"/>
      <c r="Q407" s="11"/>
      <c r="R407" s="11"/>
      <c r="S407" s="46"/>
      <c r="T407" s="44" t="str">
        <f aca="false">IF($B407="","",COUNTA($N407:$R407)-COUNTIF($N407:$R407,"Not Invited"))</f>
        <v/>
      </c>
      <c r="U407" s="44" t="str">
        <f aca="false">IF($B407="","",COUNTIF($N407:$R407,"Attended"))</f>
        <v/>
      </c>
      <c r="V407" s="47" t="str">
        <f aca="false">IF($B407="","",_xlfn.TEXTJOIN(", ",TRUE(),IF($N407="Attended",Setup!$D$15,""),IF($O407="Attended",Setup!$D$16,""),IF($P407="Attended",Setup!$D$17,""),IF($Q407="Attended",Setup!$D$18,""),IF($R407="Attended",Setup!$D$19,"")))</f>
        <v/>
      </c>
      <c r="W407" s="48" t="str">
        <f aca="true">IF(OR($B407="",NOT(ISNUMBER($H407))),"",TODAY()-$H407)</f>
        <v/>
      </c>
      <c r="X407" s="47" t="str">
        <f aca="false">IF($B407="","",IF($U407&gt;0,"Event attendee",IF($G407="Yes","Met (no event)",IF($T407&gt;0,"Invited only",IF(OR($L407="Yes",$M407="Yes"),"Contacted only","Not yet contacted")))))</f>
        <v/>
      </c>
      <c r="Y407" s="47" t="str">
        <f aca="false">IF($B407="","",COUNTIF(c_Firm,"&lt;"&amp;$D407)+COUNTIFS(c_Firm,$D407,c_Name,"&lt;"&amp;$B407)+COUNTIFS($D$2:$D407,$D407,$B$2:$B407,$B407))</f>
        <v/>
      </c>
      <c r="Z407" s="47" t="str">
        <f aca="false">IF($B407="","",IF(AND(OR(Contacts!$C$3="(All)",$D407=Contacts!$C$3),OR(Contacts!$E$3="(All)",$G407=Contacts!$E$3),OR(Contacts!$G$3="(All)",ISNUMBER(SEARCH(Contacts!$G$3,$V407))),OR(Contacts!$I$3="(All)",$X407=Contacts!$I$3),OR(Contacts!$K$3="",ISNUMBER(SEARCH(Contacts!$K$3,$B407&amp;" "&amp;$C407&amp;" "&amp;$D407&amp;" "&amp;$S407)))),1,0))</f>
        <v/>
      </c>
      <c r="AA407" s="47" t="str">
        <f aca="false">IF($Z407=1,COUNTIFS(c_Pass,1,c_Sort,"&lt;="&amp;$Y407),"")</f>
        <v/>
      </c>
      <c r="AB407" s="47" t="str">
        <f aca="false">IF(OR($G407&lt;&gt;"Yes",NOT(ISNUMBER($H407))),"",COUNTIFS(c_Met,"Yes",c_Date,"&lt;"&amp;$H407)+COUNTIFS($G$2:$G407,"Yes",$H$2:$H407,$H407))</f>
        <v/>
      </c>
    </row>
    <row r="408" customFormat="false" ht="15" hidden="false" customHeight="false" outlineLevel="0" collapsed="false">
      <c r="A408" s="44" t="str">
        <f aca="false">IF($B408="","",COUNTA($B$2:$B408))</f>
        <v/>
      </c>
      <c r="B408" s="11"/>
      <c r="C408" s="11"/>
      <c r="D408" s="11"/>
      <c r="E408" s="11"/>
      <c r="F408" s="11"/>
      <c r="G408" s="34"/>
      <c r="H408" s="25"/>
      <c r="I408" s="40"/>
      <c r="J408" s="34"/>
      <c r="K408" s="45"/>
      <c r="L408" s="34"/>
      <c r="M408" s="34"/>
      <c r="N408" s="11"/>
      <c r="O408" s="11"/>
      <c r="P408" s="11"/>
      <c r="Q408" s="11"/>
      <c r="R408" s="11"/>
      <c r="S408" s="46"/>
      <c r="T408" s="44" t="str">
        <f aca="false">IF($B408="","",COUNTA($N408:$R408)-COUNTIF($N408:$R408,"Not Invited"))</f>
        <v/>
      </c>
      <c r="U408" s="44" t="str">
        <f aca="false">IF($B408="","",COUNTIF($N408:$R408,"Attended"))</f>
        <v/>
      </c>
      <c r="V408" s="47" t="str">
        <f aca="false">IF($B408="","",_xlfn.TEXTJOIN(", ",TRUE(),IF($N408="Attended",Setup!$D$15,""),IF($O408="Attended",Setup!$D$16,""),IF($P408="Attended",Setup!$D$17,""),IF($Q408="Attended",Setup!$D$18,""),IF($R408="Attended",Setup!$D$19,"")))</f>
        <v/>
      </c>
      <c r="W408" s="48" t="str">
        <f aca="true">IF(OR($B408="",NOT(ISNUMBER($H408))),"",TODAY()-$H408)</f>
        <v/>
      </c>
      <c r="X408" s="47" t="str">
        <f aca="false">IF($B408="","",IF($U408&gt;0,"Event attendee",IF($G408="Yes","Met (no event)",IF($T408&gt;0,"Invited only",IF(OR($L408="Yes",$M408="Yes"),"Contacted only","Not yet contacted")))))</f>
        <v/>
      </c>
      <c r="Y408" s="47" t="str">
        <f aca="false">IF($B408="","",COUNTIF(c_Firm,"&lt;"&amp;$D408)+COUNTIFS(c_Firm,$D408,c_Name,"&lt;"&amp;$B408)+COUNTIFS($D$2:$D408,$D408,$B$2:$B408,$B408))</f>
        <v/>
      </c>
      <c r="Z408" s="47" t="str">
        <f aca="false">IF($B408="","",IF(AND(OR(Contacts!$C$3="(All)",$D408=Contacts!$C$3),OR(Contacts!$E$3="(All)",$G408=Contacts!$E$3),OR(Contacts!$G$3="(All)",ISNUMBER(SEARCH(Contacts!$G$3,$V408))),OR(Contacts!$I$3="(All)",$X408=Contacts!$I$3),OR(Contacts!$K$3="",ISNUMBER(SEARCH(Contacts!$K$3,$B408&amp;" "&amp;$C408&amp;" "&amp;$D408&amp;" "&amp;$S408)))),1,0))</f>
        <v/>
      </c>
      <c r="AA408" s="47" t="str">
        <f aca="false">IF($Z408=1,COUNTIFS(c_Pass,1,c_Sort,"&lt;="&amp;$Y408),"")</f>
        <v/>
      </c>
      <c r="AB408" s="47" t="str">
        <f aca="false">IF(OR($G408&lt;&gt;"Yes",NOT(ISNUMBER($H408))),"",COUNTIFS(c_Met,"Yes",c_Date,"&lt;"&amp;$H408)+COUNTIFS($G$2:$G408,"Yes",$H$2:$H408,$H408))</f>
        <v/>
      </c>
    </row>
    <row r="409" customFormat="false" ht="15" hidden="false" customHeight="false" outlineLevel="0" collapsed="false">
      <c r="A409" s="44" t="str">
        <f aca="false">IF($B409="","",COUNTA($B$2:$B409))</f>
        <v/>
      </c>
      <c r="B409" s="11"/>
      <c r="C409" s="11"/>
      <c r="D409" s="11"/>
      <c r="E409" s="11"/>
      <c r="F409" s="11"/>
      <c r="G409" s="34"/>
      <c r="H409" s="25"/>
      <c r="I409" s="40"/>
      <c r="J409" s="34"/>
      <c r="K409" s="45"/>
      <c r="L409" s="34"/>
      <c r="M409" s="34"/>
      <c r="N409" s="11"/>
      <c r="O409" s="11"/>
      <c r="P409" s="11"/>
      <c r="Q409" s="11"/>
      <c r="R409" s="11"/>
      <c r="S409" s="46"/>
      <c r="T409" s="44" t="str">
        <f aca="false">IF($B409="","",COUNTA($N409:$R409)-COUNTIF($N409:$R409,"Not Invited"))</f>
        <v/>
      </c>
      <c r="U409" s="44" t="str">
        <f aca="false">IF($B409="","",COUNTIF($N409:$R409,"Attended"))</f>
        <v/>
      </c>
      <c r="V409" s="47" t="str">
        <f aca="false">IF($B409="","",_xlfn.TEXTJOIN(", ",TRUE(),IF($N409="Attended",Setup!$D$15,""),IF($O409="Attended",Setup!$D$16,""),IF($P409="Attended",Setup!$D$17,""),IF($Q409="Attended",Setup!$D$18,""),IF($R409="Attended",Setup!$D$19,"")))</f>
        <v/>
      </c>
      <c r="W409" s="48" t="str">
        <f aca="true">IF(OR($B409="",NOT(ISNUMBER($H409))),"",TODAY()-$H409)</f>
        <v/>
      </c>
      <c r="X409" s="47" t="str">
        <f aca="false">IF($B409="","",IF($U409&gt;0,"Event attendee",IF($G409="Yes","Met (no event)",IF($T409&gt;0,"Invited only",IF(OR($L409="Yes",$M409="Yes"),"Contacted only","Not yet contacted")))))</f>
        <v/>
      </c>
      <c r="Y409" s="47" t="str">
        <f aca="false">IF($B409="","",COUNTIF(c_Firm,"&lt;"&amp;$D409)+COUNTIFS(c_Firm,$D409,c_Name,"&lt;"&amp;$B409)+COUNTIFS($D$2:$D409,$D409,$B$2:$B409,$B409))</f>
        <v/>
      </c>
      <c r="Z409" s="47" t="str">
        <f aca="false">IF($B409="","",IF(AND(OR(Contacts!$C$3="(All)",$D409=Contacts!$C$3),OR(Contacts!$E$3="(All)",$G409=Contacts!$E$3),OR(Contacts!$G$3="(All)",ISNUMBER(SEARCH(Contacts!$G$3,$V409))),OR(Contacts!$I$3="(All)",$X409=Contacts!$I$3),OR(Contacts!$K$3="",ISNUMBER(SEARCH(Contacts!$K$3,$B409&amp;" "&amp;$C409&amp;" "&amp;$D409&amp;" "&amp;$S409)))),1,0))</f>
        <v/>
      </c>
      <c r="AA409" s="47" t="str">
        <f aca="false">IF($Z409=1,COUNTIFS(c_Pass,1,c_Sort,"&lt;="&amp;$Y409),"")</f>
        <v/>
      </c>
      <c r="AB409" s="47" t="str">
        <f aca="false">IF(OR($G409&lt;&gt;"Yes",NOT(ISNUMBER($H409))),"",COUNTIFS(c_Met,"Yes",c_Date,"&lt;"&amp;$H409)+COUNTIFS($G$2:$G409,"Yes",$H$2:$H409,$H409))</f>
        <v/>
      </c>
    </row>
    <row r="410" customFormat="false" ht="15" hidden="false" customHeight="false" outlineLevel="0" collapsed="false">
      <c r="A410" s="44" t="str">
        <f aca="false">IF($B410="","",COUNTA($B$2:$B410))</f>
        <v/>
      </c>
      <c r="B410" s="11"/>
      <c r="C410" s="11"/>
      <c r="D410" s="11"/>
      <c r="E410" s="11"/>
      <c r="F410" s="11"/>
      <c r="G410" s="34"/>
      <c r="H410" s="25"/>
      <c r="I410" s="40"/>
      <c r="J410" s="34"/>
      <c r="K410" s="45"/>
      <c r="L410" s="34"/>
      <c r="M410" s="34"/>
      <c r="N410" s="11"/>
      <c r="O410" s="11"/>
      <c r="P410" s="11"/>
      <c r="Q410" s="11"/>
      <c r="R410" s="11"/>
      <c r="S410" s="46"/>
      <c r="T410" s="44" t="str">
        <f aca="false">IF($B410="","",COUNTA($N410:$R410)-COUNTIF($N410:$R410,"Not Invited"))</f>
        <v/>
      </c>
      <c r="U410" s="44" t="str">
        <f aca="false">IF($B410="","",COUNTIF($N410:$R410,"Attended"))</f>
        <v/>
      </c>
      <c r="V410" s="47" t="str">
        <f aca="false">IF($B410="","",_xlfn.TEXTJOIN(", ",TRUE(),IF($N410="Attended",Setup!$D$15,""),IF($O410="Attended",Setup!$D$16,""),IF($P410="Attended",Setup!$D$17,""),IF($Q410="Attended",Setup!$D$18,""),IF($R410="Attended",Setup!$D$19,"")))</f>
        <v/>
      </c>
      <c r="W410" s="48" t="str">
        <f aca="true">IF(OR($B410="",NOT(ISNUMBER($H410))),"",TODAY()-$H410)</f>
        <v/>
      </c>
      <c r="X410" s="47" t="str">
        <f aca="false">IF($B410="","",IF($U410&gt;0,"Event attendee",IF($G410="Yes","Met (no event)",IF($T410&gt;0,"Invited only",IF(OR($L410="Yes",$M410="Yes"),"Contacted only","Not yet contacted")))))</f>
        <v/>
      </c>
      <c r="Y410" s="47" t="str">
        <f aca="false">IF($B410="","",COUNTIF(c_Firm,"&lt;"&amp;$D410)+COUNTIFS(c_Firm,$D410,c_Name,"&lt;"&amp;$B410)+COUNTIFS($D$2:$D410,$D410,$B$2:$B410,$B410))</f>
        <v/>
      </c>
      <c r="Z410" s="47" t="str">
        <f aca="false">IF($B410="","",IF(AND(OR(Contacts!$C$3="(All)",$D410=Contacts!$C$3),OR(Contacts!$E$3="(All)",$G410=Contacts!$E$3),OR(Contacts!$G$3="(All)",ISNUMBER(SEARCH(Contacts!$G$3,$V410))),OR(Contacts!$I$3="(All)",$X410=Contacts!$I$3),OR(Contacts!$K$3="",ISNUMBER(SEARCH(Contacts!$K$3,$B410&amp;" "&amp;$C410&amp;" "&amp;$D410&amp;" "&amp;$S410)))),1,0))</f>
        <v/>
      </c>
      <c r="AA410" s="47" t="str">
        <f aca="false">IF($Z410=1,COUNTIFS(c_Pass,1,c_Sort,"&lt;="&amp;$Y410),"")</f>
        <v/>
      </c>
      <c r="AB410" s="47" t="str">
        <f aca="false">IF(OR($G410&lt;&gt;"Yes",NOT(ISNUMBER($H410))),"",COUNTIFS(c_Met,"Yes",c_Date,"&lt;"&amp;$H410)+COUNTIFS($G$2:$G410,"Yes",$H$2:$H410,$H410))</f>
        <v/>
      </c>
    </row>
    <row r="411" customFormat="false" ht="15" hidden="false" customHeight="false" outlineLevel="0" collapsed="false">
      <c r="A411" s="44" t="str">
        <f aca="false">IF($B411="","",COUNTA($B$2:$B411))</f>
        <v/>
      </c>
      <c r="B411" s="11"/>
      <c r="C411" s="11"/>
      <c r="D411" s="11"/>
      <c r="E411" s="11"/>
      <c r="F411" s="11"/>
      <c r="G411" s="34"/>
      <c r="H411" s="25"/>
      <c r="I411" s="40"/>
      <c r="J411" s="34"/>
      <c r="K411" s="45"/>
      <c r="L411" s="34"/>
      <c r="M411" s="34"/>
      <c r="N411" s="11"/>
      <c r="O411" s="11"/>
      <c r="P411" s="11"/>
      <c r="Q411" s="11"/>
      <c r="R411" s="11"/>
      <c r="S411" s="46"/>
      <c r="T411" s="44" t="str">
        <f aca="false">IF($B411="","",COUNTA($N411:$R411)-COUNTIF($N411:$R411,"Not Invited"))</f>
        <v/>
      </c>
      <c r="U411" s="44" t="str">
        <f aca="false">IF($B411="","",COUNTIF($N411:$R411,"Attended"))</f>
        <v/>
      </c>
      <c r="V411" s="47" t="str">
        <f aca="false">IF($B411="","",_xlfn.TEXTJOIN(", ",TRUE(),IF($N411="Attended",Setup!$D$15,""),IF($O411="Attended",Setup!$D$16,""),IF($P411="Attended",Setup!$D$17,""),IF($Q411="Attended",Setup!$D$18,""),IF($R411="Attended",Setup!$D$19,"")))</f>
        <v/>
      </c>
      <c r="W411" s="48" t="str">
        <f aca="true">IF(OR($B411="",NOT(ISNUMBER($H411))),"",TODAY()-$H411)</f>
        <v/>
      </c>
      <c r="X411" s="47" t="str">
        <f aca="false">IF($B411="","",IF($U411&gt;0,"Event attendee",IF($G411="Yes","Met (no event)",IF($T411&gt;0,"Invited only",IF(OR($L411="Yes",$M411="Yes"),"Contacted only","Not yet contacted")))))</f>
        <v/>
      </c>
      <c r="Y411" s="47" t="str">
        <f aca="false">IF($B411="","",COUNTIF(c_Firm,"&lt;"&amp;$D411)+COUNTIFS(c_Firm,$D411,c_Name,"&lt;"&amp;$B411)+COUNTIFS($D$2:$D411,$D411,$B$2:$B411,$B411))</f>
        <v/>
      </c>
      <c r="Z411" s="47" t="str">
        <f aca="false">IF($B411="","",IF(AND(OR(Contacts!$C$3="(All)",$D411=Contacts!$C$3),OR(Contacts!$E$3="(All)",$G411=Contacts!$E$3),OR(Contacts!$G$3="(All)",ISNUMBER(SEARCH(Contacts!$G$3,$V411))),OR(Contacts!$I$3="(All)",$X411=Contacts!$I$3),OR(Contacts!$K$3="",ISNUMBER(SEARCH(Contacts!$K$3,$B411&amp;" "&amp;$C411&amp;" "&amp;$D411&amp;" "&amp;$S411)))),1,0))</f>
        <v/>
      </c>
      <c r="AA411" s="47" t="str">
        <f aca="false">IF($Z411=1,COUNTIFS(c_Pass,1,c_Sort,"&lt;="&amp;$Y411),"")</f>
        <v/>
      </c>
      <c r="AB411" s="47" t="str">
        <f aca="false">IF(OR($G411&lt;&gt;"Yes",NOT(ISNUMBER($H411))),"",COUNTIFS(c_Met,"Yes",c_Date,"&lt;"&amp;$H411)+COUNTIFS($G$2:$G411,"Yes",$H$2:$H411,$H411))</f>
        <v/>
      </c>
    </row>
    <row r="412" customFormat="false" ht="15" hidden="false" customHeight="false" outlineLevel="0" collapsed="false">
      <c r="A412" s="44" t="str">
        <f aca="false">IF($B412="","",COUNTA($B$2:$B412))</f>
        <v/>
      </c>
      <c r="B412" s="11"/>
      <c r="C412" s="11"/>
      <c r="D412" s="11"/>
      <c r="E412" s="11"/>
      <c r="F412" s="11"/>
      <c r="G412" s="34"/>
      <c r="H412" s="25"/>
      <c r="I412" s="40"/>
      <c r="J412" s="34"/>
      <c r="K412" s="45"/>
      <c r="L412" s="34"/>
      <c r="M412" s="34"/>
      <c r="N412" s="11"/>
      <c r="O412" s="11"/>
      <c r="P412" s="11"/>
      <c r="Q412" s="11"/>
      <c r="R412" s="11"/>
      <c r="S412" s="46"/>
      <c r="T412" s="44" t="str">
        <f aca="false">IF($B412="","",COUNTA($N412:$R412)-COUNTIF($N412:$R412,"Not Invited"))</f>
        <v/>
      </c>
      <c r="U412" s="44" t="str">
        <f aca="false">IF($B412="","",COUNTIF($N412:$R412,"Attended"))</f>
        <v/>
      </c>
      <c r="V412" s="47" t="str">
        <f aca="false">IF($B412="","",_xlfn.TEXTJOIN(", ",TRUE(),IF($N412="Attended",Setup!$D$15,""),IF($O412="Attended",Setup!$D$16,""),IF($P412="Attended",Setup!$D$17,""),IF($Q412="Attended",Setup!$D$18,""),IF($R412="Attended",Setup!$D$19,"")))</f>
        <v/>
      </c>
      <c r="W412" s="48" t="str">
        <f aca="true">IF(OR($B412="",NOT(ISNUMBER($H412))),"",TODAY()-$H412)</f>
        <v/>
      </c>
      <c r="X412" s="47" t="str">
        <f aca="false">IF($B412="","",IF($U412&gt;0,"Event attendee",IF($G412="Yes","Met (no event)",IF($T412&gt;0,"Invited only",IF(OR($L412="Yes",$M412="Yes"),"Contacted only","Not yet contacted")))))</f>
        <v/>
      </c>
      <c r="Y412" s="47" t="str">
        <f aca="false">IF($B412="","",COUNTIF(c_Firm,"&lt;"&amp;$D412)+COUNTIFS(c_Firm,$D412,c_Name,"&lt;"&amp;$B412)+COUNTIFS($D$2:$D412,$D412,$B$2:$B412,$B412))</f>
        <v/>
      </c>
      <c r="Z412" s="47" t="str">
        <f aca="false">IF($B412="","",IF(AND(OR(Contacts!$C$3="(All)",$D412=Contacts!$C$3),OR(Contacts!$E$3="(All)",$G412=Contacts!$E$3),OR(Contacts!$G$3="(All)",ISNUMBER(SEARCH(Contacts!$G$3,$V412))),OR(Contacts!$I$3="(All)",$X412=Contacts!$I$3),OR(Contacts!$K$3="",ISNUMBER(SEARCH(Contacts!$K$3,$B412&amp;" "&amp;$C412&amp;" "&amp;$D412&amp;" "&amp;$S412)))),1,0))</f>
        <v/>
      </c>
      <c r="AA412" s="47" t="str">
        <f aca="false">IF($Z412=1,COUNTIFS(c_Pass,1,c_Sort,"&lt;="&amp;$Y412),"")</f>
        <v/>
      </c>
      <c r="AB412" s="47" t="str">
        <f aca="false">IF(OR($G412&lt;&gt;"Yes",NOT(ISNUMBER($H412))),"",COUNTIFS(c_Met,"Yes",c_Date,"&lt;"&amp;$H412)+COUNTIFS($G$2:$G412,"Yes",$H$2:$H412,$H412))</f>
        <v/>
      </c>
    </row>
    <row r="413" customFormat="false" ht="15" hidden="false" customHeight="false" outlineLevel="0" collapsed="false">
      <c r="A413" s="44" t="str">
        <f aca="false">IF($B413="","",COUNTA($B$2:$B413))</f>
        <v/>
      </c>
      <c r="B413" s="11"/>
      <c r="C413" s="11"/>
      <c r="D413" s="11"/>
      <c r="E413" s="11"/>
      <c r="F413" s="11"/>
      <c r="G413" s="34"/>
      <c r="H413" s="25"/>
      <c r="I413" s="40"/>
      <c r="J413" s="34"/>
      <c r="K413" s="45"/>
      <c r="L413" s="34"/>
      <c r="M413" s="34"/>
      <c r="N413" s="11"/>
      <c r="O413" s="11"/>
      <c r="P413" s="11"/>
      <c r="Q413" s="11"/>
      <c r="R413" s="11"/>
      <c r="S413" s="46"/>
      <c r="T413" s="44" t="str">
        <f aca="false">IF($B413="","",COUNTA($N413:$R413)-COUNTIF($N413:$R413,"Not Invited"))</f>
        <v/>
      </c>
      <c r="U413" s="44" t="str">
        <f aca="false">IF($B413="","",COUNTIF($N413:$R413,"Attended"))</f>
        <v/>
      </c>
      <c r="V413" s="47" t="str">
        <f aca="false">IF($B413="","",_xlfn.TEXTJOIN(", ",TRUE(),IF($N413="Attended",Setup!$D$15,""),IF($O413="Attended",Setup!$D$16,""),IF($P413="Attended",Setup!$D$17,""),IF($Q413="Attended",Setup!$D$18,""),IF($R413="Attended",Setup!$D$19,"")))</f>
        <v/>
      </c>
      <c r="W413" s="48" t="str">
        <f aca="true">IF(OR($B413="",NOT(ISNUMBER($H413))),"",TODAY()-$H413)</f>
        <v/>
      </c>
      <c r="X413" s="47" t="str">
        <f aca="false">IF($B413="","",IF($U413&gt;0,"Event attendee",IF($G413="Yes","Met (no event)",IF($T413&gt;0,"Invited only",IF(OR($L413="Yes",$M413="Yes"),"Contacted only","Not yet contacted")))))</f>
        <v/>
      </c>
      <c r="Y413" s="47" t="str">
        <f aca="false">IF($B413="","",COUNTIF(c_Firm,"&lt;"&amp;$D413)+COUNTIFS(c_Firm,$D413,c_Name,"&lt;"&amp;$B413)+COUNTIFS($D$2:$D413,$D413,$B$2:$B413,$B413))</f>
        <v/>
      </c>
      <c r="Z413" s="47" t="str">
        <f aca="false">IF($B413="","",IF(AND(OR(Contacts!$C$3="(All)",$D413=Contacts!$C$3),OR(Contacts!$E$3="(All)",$G413=Contacts!$E$3),OR(Contacts!$G$3="(All)",ISNUMBER(SEARCH(Contacts!$G$3,$V413))),OR(Contacts!$I$3="(All)",$X413=Contacts!$I$3),OR(Contacts!$K$3="",ISNUMBER(SEARCH(Contacts!$K$3,$B413&amp;" "&amp;$C413&amp;" "&amp;$D413&amp;" "&amp;$S413)))),1,0))</f>
        <v/>
      </c>
      <c r="AA413" s="47" t="str">
        <f aca="false">IF($Z413=1,COUNTIFS(c_Pass,1,c_Sort,"&lt;="&amp;$Y413),"")</f>
        <v/>
      </c>
      <c r="AB413" s="47" t="str">
        <f aca="false">IF(OR($G413&lt;&gt;"Yes",NOT(ISNUMBER($H413))),"",COUNTIFS(c_Met,"Yes",c_Date,"&lt;"&amp;$H413)+COUNTIFS($G$2:$G413,"Yes",$H$2:$H413,$H413))</f>
        <v/>
      </c>
    </row>
    <row r="414" customFormat="false" ht="15" hidden="false" customHeight="false" outlineLevel="0" collapsed="false">
      <c r="A414" s="44" t="str">
        <f aca="false">IF($B414="","",COUNTA($B$2:$B414))</f>
        <v/>
      </c>
      <c r="B414" s="11"/>
      <c r="C414" s="11"/>
      <c r="D414" s="11"/>
      <c r="E414" s="11"/>
      <c r="F414" s="11"/>
      <c r="G414" s="34"/>
      <c r="H414" s="25"/>
      <c r="I414" s="40"/>
      <c r="J414" s="34"/>
      <c r="K414" s="45"/>
      <c r="L414" s="34"/>
      <c r="M414" s="34"/>
      <c r="N414" s="11"/>
      <c r="O414" s="11"/>
      <c r="P414" s="11"/>
      <c r="Q414" s="11"/>
      <c r="R414" s="11"/>
      <c r="S414" s="46"/>
      <c r="T414" s="44" t="str">
        <f aca="false">IF($B414="","",COUNTA($N414:$R414)-COUNTIF($N414:$R414,"Not Invited"))</f>
        <v/>
      </c>
      <c r="U414" s="44" t="str">
        <f aca="false">IF($B414="","",COUNTIF($N414:$R414,"Attended"))</f>
        <v/>
      </c>
      <c r="V414" s="47" t="str">
        <f aca="false">IF($B414="","",_xlfn.TEXTJOIN(", ",TRUE(),IF($N414="Attended",Setup!$D$15,""),IF($O414="Attended",Setup!$D$16,""),IF($P414="Attended",Setup!$D$17,""),IF($Q414="Attended",Setup!$D$18,""),IF($R414="Attended",Setup!$D$19,"")))</f>
        <v/>
      </c>
      <c r="W414" s="48" t="str">
        <f aca="true">IF(OR($B414="",NOT(ISNUMBER($H414))),"",TODAY()-$H414)</f>
        <v/>
      </c>
      <c r="X414" s="47" t="str">
        <f aca="false">IF($B414="","",IF($U414&gt;0,"Event attendee",IF($G414="Yes","Met (no event)",IF($T414&gt;0,"Invited only",IF(OR($L414="Yes",$M414="Yes"),"Contacted only","Not yet contacted")))))</f>
        <v/>
      </c>
      <c r="Y414" s="47" t="str">
        <f aca="false">IF($B414="","",COUNTIF(c_Firm,"&lt;"&amp;$D414)+COUNTIFS(c_Firm,$D414,c_Name,"&lt;"&amp;$B414)+COUNTIFS($D$2:$D414,$D414,$B$2:$B414,$B414))</f>
        <v/>
      </c>
      <c r="Z414" s="47" t="str">
        <f aca="false">IF($B414="","",IF(AND(OR(Contacts!$C$3="(All)",$D414=Contacts!$C$3),OR(Contacts!$E$3="(All)",$G414=Contacts!$E$3),OR(Contacts!$G$3="(All)",ISNUMBER(SEARCH(Contacts!$G$3,$V414))),OR(Contacts!$I$3="(All)",$X414=Contacts!$I$3),OR(Contacts!$K$3="",ISNUMBER(SEARCH(Contacts!$K$3,$B414&amp;" "&amp;$C414&amp;" "&amp;$D414&amp;" "&amp;$S414)))),1,0))</f>
        <v/>
      </c>
      <c r="AA414" s="47" t="str">
        <f aca="false">IF($Z414=1,COUNTIFS(c_Pass,1,c_Sort,"&lt;="&amp;$Y414),"")</f>
        <v/>
      </c>
      <c r="AB414" s="47" t="str">
        <f aca="false">IF(OR($G414&lt;&gt;"Yes",NOT(ISNUMBER($H414))),"",COUNTIFS(c_Met,"Yes",c_Date,"&lt;"&amp;$H414)+COUNTIFS($G$2:$G414,"Yes",$H$2:$H414,$H414))</f>
        <v/>
      </c>
    </row>
    <row r="415" customFormat="false" ht="15" hidden="false" customHeight="false" outlineLevel="0" collapsed="false">
      <c r="A415" s="44" t="str">
        <f aca="false">IF($B415="","",COUNTA($B$2:$B415))</f>
        <v/>
      </c>
      <c r="B415" s="11"/>
      <c r="C415" s="11"/>
      <c r="D415" s="11"/>
      <c r="E415" s="11"/>
      <c r="F415" s="11"/>
      <c r="G415" s="34"/>
      <c r="H415" s="25"/>
      <c r="I415" s="40"/>
      <c r="J415" s="34"/>
      <c r="K415" s="45"/>
      <c r="L415" s="34"/>
      <c r="M415" s="34"/>
      <c r="N415" s="11"/>
      <c r="O415" s="11"/>
      <c r="P415" s="11"/>
      <c r="Q415" s="11"/>
      <c r="R415" s="11"/>
      <c r="S415" s="46"/>
      <c r="T415" s="44" t="str">
        <f aca="false">IF($B415="","",COUNTA($N415:$R415)-COUNTIF($N415:$R415,"Not Invited"))</f>
        <v/>
      </c>
      <c r="U415" s="44" t="str">
        <f aca="false">IF($B415="","",COUNTIF($N415:$R415,"Attended"))</f>
        <v/>
      </c>
      <c r="V415" s="47" t="str">
        <f aca="false">IF($B415="","",_xlfn.TEXTJOIN(", ",TRUE(),IF($N415="Attended",Setup!$D$15,""),IF($O415="Attended",Setup!$D$16,""),IF($P415="Attended",Setup!$D$17,""),IF($Q415="Attended",Setup!$D$18,""),IF($R415="Attended",Setup!$D$19,"")))</f>
        <v/>
      </c>
      <c r="W415" s="48" t="str">
        <f aca="true">IF(OR($B415="",NOT(ISNUMBER($H415))),"",TODAY()-$H415)</f>
        <v/>
      </c>
      <c r="X415" s="47" t="str">
        <f aca="false">IF($B415="","",IF($U415&gt;0,"Event attendee",IF($G415="Yes","Met (no event)",IF($T415&gt;0,"Invited only",IF(OR($L415="Yes",$M415="Yes"),"Contacted only","Not yet contacted")))))</f>
        <v/>
      </c>
      <c r="Y415" s="47" t="str">
        <f aca="false">IF($B415="","",COUNTIF(c_Firm,"&lt;"&amp;$D415)+COUNTIFS(c_Firm,$D415,c_Name,"&lt;"&amp;$B415)+COUNTIFS($D$2:$D415,$D415,$B$2:$B415,$B415))</f>
        <v/>
      </c>
      <c r="Z415" s="47" t="str">
        <f aca="false">IF($B415="","",IF(AND(OR(Contacts!$C$3="(All)",$D415=Contacts!$C$3),OR(Contacts!$E$3="(All)",$G415=Contacts!$E$3),OR(Contacts!$G$3="(All)",ISNUMBER(SEARCH(Contacts!$G$3,$V415))),OR(Contacts!$I$3="(All)",$X415=Contacts!$I$3),OR(Contacts!$K$3="",ISNUMBER(SEARCH(Contacts!$K$3,$B415&amp;" "&amp;$C415&amp;" "&amp;$D415&amp;" "&amp;$S415)))),1,0))</f>
        <v/>
      </c>
      <c r="AA415" s="47" t="str">
        <f aca="false">IF($Z415=1,COUNTIFS(c_Pass,1,c_Sort,"&lt;="&amp;$Y415),"")</f>
        <v/>
      </c>
      <c r="AB415" s="47" t="str">
        <f aca="false">IF(OR($G415&lt;&gt;"Yes",NOT(ISNUMBER($H415))),"",COUNTIFS(c_Met,"Yes",c_Date,"&lt;"&amp;$H415)+COUNTIFS($G$2:$G415,"Yes",$H$2:$H415,$H415))</f>
        <v/>
      </c>
    </row>
    <row r="416" customFormat="false" ht="15" hidden="false" customHeight="false" outlineLevel="0" collapsed="false">
      <c r="A416" s="44" t="str">
        <f aca="false">IF($B416="","",COUNTA($B$2:$B416))</f>
        <v/>
      </c>
      <c r="B416" s="11"/>
      <c r="C416" s="11"/>
      <c r="D416" s="11"/>
      <c r="E416" s="11"/>
      <c r="F416" s="11"/>
      <c r="G416" s="34"/>
      <c r="H416" s="25"/>
      <c r="I416" s="40"/>
      <c r="J416" s="34"/>
      <c r="K416" s="45"/>
      <c r="L416" s="34"/>
      <c r="M416" s="34"/>
      <c r="N416" s="11"/>
      <c r="O416" s="11"/>
      <c r="P416" s="11"/>
      <c r="Q416" s="11"/>
      <c r="R416" s="11"/>
      <c r="S416" s="46"/>
      <c r="T416" s="44" t="str">
        <f aca="false">IF($B416="","",COUNTA($N416:$R416)-COUNTIF($N416:$R416,"Not Invited"))</f>
        <v/>
      </c>
      <c r="U416" s="44" t="str">
        <f aca="false">IF($B416="","",COUNTIF($N416:$R416,"Attended"))</f>
        <v/>
      </c>
      <c r="V416" s="47" t="str">
        <f aca="false">IF($B416="","",_xlfn.TEXTJOIN(", ",TRUE(),IF($N416="Attended",Setup!$D$15,""),IF($O416="Attended",Setup!$D$16,""),IF($P416="Attended",Setup!$D$17,""),IF($Q416="Attended",Setup!$D$18,""),IF($R416="Attended",Setup!$D$19,"")))</f>
        <v/>
      </c>
      <c r="W416" s="48" t="str">
        <f aca="true">IF(OR($B416="",NOT(ISNUMBER($H416))),"",TODAY()-$H416)</f>
        <v/>
      </c>
      <c r="X416" s="47" t="str">
        <f aca="false">IF($B416="","",IF($U416&gt;0,"Event attendee",IF($G416="Yes","Met (no event)",IF($T416&gt;0,"Invited only",IF(OR($L416="Yes",$M416="Yes"),"Contacted only","Not yet contacted")))))</f>
        <v/>
      </c>
      <c r="Y416" s="47" t="str">
        <f aca="false">IF($B416="","",COUNTIF(c_Firm,"&lt;"&amp;$D416)+COUNTIFS(c_Firm,$D416,c_Name,"&lt;"&amp;$B416)+COUNTIFS($D$2:$D416,$D416,$B$2:$B416,$B416))</f>
        <v/>
      </c>
      <c r="Z416" s="47" t="str">
        <f aca="false">IF($B416="","",IF(AND(OR(Contacts!$C$3="(All)",$D416=Contacts!$C$3),OR(Contacts!$E$3="(All)",$G416=Contacts!$E$3),OR(Contacts!$G$3="(All)",ISNUMBER(SEARCH(Contacts!$G$3,$V416))),OR(Contacts!$I$3="(All)",$X416=Contacts!$I$3),OR(Contacts!$K$3="",ISNUMBER(SEARCH(Contacts!$K$3,$B416&amp;" "&amp;$C416&amp;" "&amp;$D416&amp;" "&amp;$S416)))),1,0))</f>
        <v/>
      </c>
      <c r="AA416" s="47" t="str">
        <f aca="false">IF($Z416=1,COUNTIFS(c_Pass,1,c_Sort,"&lt;="&amp;$Y416),"")</f>
        <v/>
      </c>
      <c r="AB416" s="47" t="str">
        <f aca="false">IF(OR($G416&lt;&gt;"Yes",NOT(ISNUMBER($H416))),"",COUNTIFS(c_Met,"Yes",c_Date,"&lt;"&amp;$H416)+COUNTIFS($G$2:$G416,"Yes",$H$2:$H416,$H416))</f>
        <v/>
      </c>
    </row>
    <row r="417" customFormat="false" ht="15" hidden="false" customHeight="false" outlineLevel="0" collapsed="false">
      <c r="A417" s="44" t="str">
        <f aca="false">IF($B417="","",COUNTA($B$2:$B417))</f>
        <v/>
      </c>
      <c r="B417" s="11"/>
      <c r="C417" s="11"/>
      <c r="D417" s="11"/>
      <c r="E417" s="11"/>
      <c r="F417" s="11"/>
      <c r="G417" s="34"/>
      <c r="H417" s="25"/>
      <c r="I417" s="40"/>
      <c r="J417" s="34"/>
      <c r="K417" s="45"/>
      <c r="L417" s="34"/>
      <c r="M417" s="34"/>
      <c r="N417" s="11"/>
      <c r="O417" s="11"/>
      <c r="P417" s="11"/>
      <c r="Q417" s="11"/>
      <c r="R417" s="11"/>
      <c r="S417" s="46"/>
      <c r="T417" s="44" t="str">
        <f aca="false">IF($B417="","",COUNTA($N417:$R417)-COUNTIF($N417:$R417,"Not Invited"))</f>
        <v/>
      </c>
      <c r="U417" s="44" t="str">
        <f aca="false">IF($B417="","",COUNTIF($N417:$R417,"Attended"))</f>
        <v/>
      </c>
      <c r="V417" s="47" t="str">
        <f aca="false">IF($B417="","",_xlfn.TEXTJOIN(", ",TRUE(),IF($N417="Attended",Setup!$D$15,""),IF($O417="Attended",Setup!$D$16,""),IF($P417="Attended",Setup!$D$17,""),IF($Q417="Attended",Setup!$D$18,""),IF($R417="Attended",Setup!$D$19,"")))</f>
        <v/>
      </c>
      <c r="W417" s="48" t="str">
        <f aca="true">IF(OR($B417="",NOT(ISNUMBER($H417))),"",TODAY()-$H417)</f>
        <v/>
      </c>
      <c r="X417" s="47" t="str">
        <f aca="false">IF($B417="","",IF($U417&gt;0,"Event attendee",IF($G417="Yes","Met (no event)",IF($T417&gt;0,"Invited only",IF(OR($L417="Yes",$M417="Yes"),"Contacted only","Not yet contacted")))))</f>
        <v/>
      </c>
      <c r="Y417" s="47" t="str">
        <f aca="false">IF($B417="","",COUNTIF(c_Firm,"&lt;"&amp;$D417)+COUNTIFS(c_Firm,$D417,c_Name,"&lt;"&amp;$B417)+COUNTIFS($D$2:$D417,$D417,$B$2:$B417,$B417))</f>
        <v/>
      </c>
      <c r="Z417" s="47" t="str">
        <f aca="false">IF($B417="","",IF(AND(OR(Contacts!$C$3="(All)",$D417=Contacts!$C$3),OR(Contacts!$E$3="(All)",$G417=Contacts!$E$3),OR(Contacts!$G$3="(All)",ISNUMBER(SEARCH(Contacts!$G$3,$V417))),OR(Contacts!$I$3="(All)",$X417=Contacts!$I$3),OR(Contacts!$K$3="",ISNUMBER(SEARCH(Contacts!$K$3,$B417&amp;" "&amp;$C417&amp;" "&amp;$D417&amp;" "&amp;$S417)))),1,0))</f>
        <v/>
      </c>
      <c r="AA417" s="47" t="str">
        <f aca="false">IF($Z417=1,COUNTIFS(c_Pass,1,c_Sort,"&lt;="&amp;$Y417),"")</f>
        <v/>
      </c>
      <c r="AB417" s="47" t="str">
        <f aca="false">IF(OR($G417&lt;&gt;"Yes",NOT(ISNUMBER($H417))),"",COUNTIFS(c_Met,"Yes",c_Date,"&lt;"&amp;$H417)+COUNTIFS($G$2:$G417,"Yes",$H$2:$H417,$H417))</f>
        <v/>
      </c>
    </row>
    <row r="418" customFormat="false" ht="15" hidden="false" customHeight="false" outlineLevel="0" collapsed="false">
      <c r="A418" s="44" t="str">
        <f aca="false">IF($B418="","",COUNTA($B$2:$B418))</f>
        <v/>
      </c>
      <c r="B418" s="11"/>
      <c r="C418" s="11"/>
      <c r="D418" s="11"/>
      <c r="E418" s="11"/>
      <c r="F418" s="11"/>
      <c r="G418" s="34"/>
      <c r="H418" s="25"/>
      <c r="I418" s="40"/>
      <c r="J418" s="34"/>
      <c r="K418" s="45"/>
      <c r="L418" s="34"/>
      <c r="M418" s="34"/>
      <c r="N418" s="11"/>
      <c r="O418" s="11"/>
      <c r="P418" s="11"/>
      <c r="Q418" s="11"/>
      <c r="R418" s="11"/>
      <c r="S418" s="46"/>
      <c r="T418" s="44" t="str">
        <f aca="false">IF($B418="","",COUNTA($N418:$R418)-COUNTIF($N418:$R418,"Not Invited"))</f>
        <v/>
      </c>
      <c r="U418" s="44" t="str">
        <f aca="false">IF($B418="","",COUNTIF($N418:$R418,"Attended"))</f>
        <v/>
      </c>
      <c r="V418" s="47" t="str">
        <f aca="false">IF($B418="","",_xlfn.TEXTJOIN(", ",TRUE(),IF($N418="Attended",Setup!$D$15,""),IF($O418="Attended",Setup!$D$16,""),IF($P418="Attended",Setup!$D$17,""),IF($Q418="Attended",Setup!$D$18,""),IF($R418="Attended",Setup!$D$19,"")))</f>
        <v/>
      </c>
      <c r="W418" s="48" t="str">
        <f aca="true">IF(OR($B418="",NOT(ISNUMBER($H418))),"",TODAY()-$H418)</f>
        <v/>
      </c>
      <c r="X418" s="47" t="str">
        <f aca="false">IF($B418="","",IF($U418&gt;0,"Event attendee",IF($G418="Yes","Met (no event)",IF($T418&gt;0,"Invited only",IF(OR($L418="Yes",$M418="Yes"),"Contacted only","Not yet contacted")))))</f>
        <v/>
      </c>
      <c r="Y418" s="47" t="str">
        <f aca="false">IF($B418="","",COUNTIF(c_Firm,"&lt;"&amp;$D418)+COUNTIFS(c_Firm,$D418,c_Name,"&lt;"&amp;$B418)+COUNTIFS($D$2:$D418,$D418,$B$2:$B418,$B418))</f>
        <v/>
      </c>
      <c r="Z418" s="47" t="str">
        <f aca="false">IF($B418="","",IF(AND(OR(Contacts!$C$3="(All)",$D418=Contacts!$C$3),OR(Contacts!$E$3="(All)",$G418=Contacts!$E$3),OR(Contacts!$G$3="(All)",ISNUMBER(SEARCH(Contacts!$G$3,$V418))),OR(Contacts!$I$3="(All)",$X418=Contacts!$I$3),OR(Contacts!$K$3="",ISNUMBER(SEARCH(Contacts!$K$3,$B418&amp;" "&amp;$C418&amp;" "&amp;$D418&amp;" "&amp;$S418)))),1,0))</f>
        <v/>
      </c>
      <c r="AA418" s="47" t="str">
        <f aca="false">IF($Z418=1,COUNTIFS(c_Pass,1,c_Sort,"&lt;="&amp;$Y418),"")</f>
        <v/>
      </c>
      <c r="AB418" s="47" t="str">
        <f aca="false">IF(OR($G418&lt;&gt;"Yes",NOT(ISNUMBER($H418))),"",COUNTIFS(c_Met,"Yes",c_Date,"&lt;"&amp;$H418)+COUNTIFS($G$2:$G418,"Yes",$H$2:$H418,$H418))</f>
        <v/>
      </c>
    </row>
    <row r="419" customFormat="false" ht="15" hidden="false" customHeight="false" outlineLevel="0" collapsed="false">
      <c r="A419" s="44" t="str">
        <f aca="false">IF($B419="","",COUNTA($B$2:$B419))</f>
        <v/>
      </c>
      <c r="B419" s="11"/>
      <c r="C419" s="11"/>
      <c r="D419" s="11"/>
      <c r="E419" s="11"/>
      <c r="F419" s="11"/>
      <c r="G419" s="34"/>
      <c r="H419" s="25"/>
      <c r="I419" s="40"/>
      <c r="J419" s="34"/>
      <c r="K419" s="45"/>
      <c r="L419" s="34"/>
      <c r="M419" s="34"/>
      <c r="N419" s="11"/>
      <c r="O419" s="11"/>
      <c r="P419" s="11"/>
      <c r="Q419" s="11"/>
      <c r="R419" s="11"/>
      <c r="S419" s="46"/>
      <c r="T419" s="44" t="str">
        <f aca="false">IF($B419="","",COUNTA($N419:$R419)-COUNTIF($N419:$R419,"Not Invited"))</f>
        <v/>
      </c>
      <c r="U419" s="44" t="str">
        <f aca="false">IF($B419="","",COUNTIF($N419:$R419,"Attended"))</f>
        <v/>
      </c>
      <c r="V419" s="47" t="str">
        <f aca="false">IF($B419="","",_xlfn.TEXTJOIN(", ",TRUE(),IF($N419="Attended",Setup!$D$15,""),IF($O419="Attended",Setup!$D$16,""),IF($P419="Attended",Setup!$D$17,""),IF($Q419="Attended",Setup!$D$18,""),IF($R419="Attended",Setup!$D$19,"")))</f>
        <v/>
      </c>
      <c r="W419" s="48" t="str">
        <f aca="true">IF(OR($B419="",NOT(ISNUMBER($H419))),"",TODAY()-$H419)</f>
        <v/>
      </c>
      <c r="X419" s="47" t="str">
        <f aca="false">IF($B419="","",IF($U419&gt;0,"Event attendee",IF($G419="Yes","Met (no event)",IF($T419&gt;0,"Invited only",IF(OR($L419="Yes",$M419="Yes"),"Contacted only","Not yet contacted")))))</f>
        <v/>
      </c>
      <c r="Y419" s="47" t="str">
        <f aca="false">IF($B419="","",COUNTIF(c_Firm,"&lt;"&amp;$D419)+COUNTIFS(c_Firm,$D419,c_Name,"&lt;"&amp;$B419)+COUNTIFS($D$2:$D419,$D419,$B$2:$B419,$B419))</f>
        <v/>
      </c>
      <c r="Z419" s="47" t="str">
        <f aca="false">IF($B419="","",IF(AND(OR(Contacts!$C$3="(All)",$D419=Contacts!$C$3),OR(Contacts!$E$3="(All)",$G419=Contacts!$E$3),OR(Contacts!$G$3="(All)",ISNUMBER(SEARCH(Contacts!$G$3,$V419))),OR(Contacts!$I$3="(All)",$X419=Contacts!$I$3),OR(Contacts!$K$3="",ISNUMBER(SEARCH(Contacts!$K$3,$B419&amp;" "&amp;$C419&amp;" "&amp;$D419&amp;" "&amp;$S419)))),1,0))</f>
        <v/>
      </c>
      <c r="AA419" s="47" t="str">
        <f aca="false">IF($Z419=1,COUNTIFS(c_Pass,1,c_Sort,"&lt;="&amp;$Y419),"")</f>
        <v/>
      </c>
      <c r="AB419" s="47" t="str">
        <f aca="false">IF(OR($G419&lt;&gt;"Yes",NOT(ISNUMBER($H419))),"",COUNTIFS(c_Met,"Yes",c_Date,"&lt;"&amp;$H419)+COUNTIFS($G$2:$G419,"Yes",$H$2:$H419,$H419))</f>
        <v/>
      </c>
    </row>
    <row r="420" customFormat="false" ht="15" hidden="false" customHeight="false" outlineLevel="0" collapsed="false">
      <c r="A420" s="44" t="str">
        <f aca="false">IF($B420="","",COUNTA($B$2:$B420))</f>
        <v/>
      </c>
      <c r="B420" s="11"/>
      <c r="C420" s="11"/>
      <c r="D420" s="11"/>
      <c r="E420" s="11"/>
      <c r="F420" s="11"/>
      <c r="G420" s="34"/>
      <c r="H420" s="25"/>
      <c r="I420" s="40"/>
      <c r="J420" s="34"/>
      <c r="K420" s="45"/>
      <c r="L420" s="34"/>
      <c r="M420" s="34"/>
      <c r="N420" s="11"/>
      <c r="O420" s="11"/>
      <c r="P420" s="11"/>
      <c r="Q420" s="11"/>
      <c r="R420" s="11"/>
      <c r="S420" s="46"/>
      <c r="T420" s="44" t="str">
        <f aca="false">IF($B420="","",COUNTA($N420:$R420)-COUNTIF($N420:$R420,"Not Invited"))</f>
        <v/>
      </c>
      <c r="U420" s="44" t="str">
        <f aca="false">IF($B420="","",COUNTIF($N420:$R420,"Attended"))</f>
        <v/>
      </c>
      <c r="V420" s="47" t="str">
        <f aca="false">IF($B420="","",_xlfn.TEXTJOIN(", ",TRUE(),IF($N420="Attended",Setup!$D$15,""),IF($O420="Attended",Setup!$D$16,""),IF($P420="Attended",Setup!$D$17,""),IF($Q420="Attended",Setup!$D$18,""),IF($R420="Attended",Setup!$D$19,"")))</f>
        <v/>
      </c>
      <c r="W420" s="48" t="str">
        <f aca="true">IF(OR($B420="",NOT(ISNUMBER($H420))),"",TODAY()-$H420)</f>
        <v/>
      </c>
      <c r="X420" s="47" t="str">
        <f aca="false">IF($B420="","",IF($U420&gt;0,"Event attendee",IF($G420="Yes","Met (no event)",IF($T420&gt;0,"Invited only",IF(OR($L420="Yes",$M420="Yes"),"Contacted only","Not yet contacted")))))</f>
        <v/>
      </c>
      <c r="Y420" s="47" t="str">
        <f aca="false">IF($B420="","",COUNTIF(c_Firm,"&lt;"&amp;$D420)+COUNTIFS(c_Firm,$D420,c_Name,"&lt;"&amp;$B420)+COUNTIFS($D$2:$D420,$D420,$B$2:$B420,$B420))</f>
        <v/>
      </c>
      <c r="Z420" s="47" t="str">
        <f aca="false">IF($B420="","",IF(AND(OR(Contacts!$C$3="(All)",$D420=Contacts!$C$3),OR(Contacts!$E$3="(All)",$G420=Contacts!$E$3),OR(Contacts!$G$3="(All)",ISNUMBER(SEARCH(Contacts!$G$3,$V420))),OR(Contacts!$I$3="(All)",$X420=Contacts!$I$3),OR(Contacts!$K$3="",ISNUMBER(SEARCH(Contacts!$K$3,$B420&amp;" "&amp;$C420&amp;" "&amp;$D420&amp;" "&amp;$S420)))),1,0))</f>
        <v/>
      </c>
      <c r="AA420" s="47" t="str">
        <f aca="false">IF($Z420=1,COUNTIFS(c_Pass,1,c_Sort,"&lt;="&amp;$Y420),"")</f>
        <v/>
      </c>
      <c r="AB420" s="47" t="str">
        <f aca="false">IF(OR($G420&lt;&gt;"Yes",NOT(ISNUMBER($H420))),"",COUNTIFS(c_Met,"Yes",c_Date,"&lt;"&amp;$H420)+COUNTIFS($G$2:$G420,"Yes",$H$2:$H420,$H420))</f>
        <v/>
      </c>
    </row>
    <row r="421" customFormat="false" ht="15" hidden="false" customHeight="false" outlineLevel="0" collapsed="false">
      <c r="A421" s="44" t="str">
        <f aca="false">IF($B421="","",COUNTA($B$2:$B421))</f>
        <v/>
      </c>
      <c r="B421" s="11"/>
      <c r="C421" s="11"/>
      <c r="D421" s="11"/>
      <c r="E421" s="11"/>
      <c r="F421" s="11"/>
      <c r="G421" s="34"/>
      <c r="H421" s="25"/>
      <c r="I421" s="40"/>
      <c r="J421" s="34"/>
      <c r="K421" s="45"/>
      <c r="L421" s="34"/>
      <c r="M421" s="34"/>
      <c r="N421" s="11"/>
      <c r="O421" s="11"/>
      <c r="P421" s="11"/>
      <c r="Q421" s="11"/>
      <c r="R421" s="11"/>
      <c r="S421" s="46"/>
      <c r="T421" s="44" t="str">
        <f aca="false">IF($B421="","",COUNTA($N421:$R421)-COUNTIF($N421:$R421,"Not Invited"))</f>
        <v/>
      </c>
      <c r="U421" s="44" t="str">
        <f aca="false">IF($B421="","",COUNTIF($N421:$R421,"Attended"))</f>
        <v/>
      </c>
      <c r="V421" s="47" t="str">
        <f aca="false">IF($B421="","",_xlfn.TEXTJOIN(", ",TRUE(),IF($N421="Attended",Setup!$D$15,""),IF($O421="Attended",Setup!$D$16,""),IF($P421="Attended",Setup!$D$17,""),IF($Q421="Attended",Setup!$D$18,""),IF($R421="Attended",Setup!$D$19,"")))</f>
        <v/>
      </c>
      <c r="W421" s="48" t="str">
        <f aca="true">IF(OR($B421="",NOT(ISNUMBER($H421))),"",TODAY()-$H421)</f>
        <v/>
      </c>
      <c r="X421" s="47" t="str">
        <f aca="false">IF($B421="","",IF($U421&gt;0,"Event attendee",IF($G421="Yes","Met (no event)",IF($T421&gt;0,"Invited only",IF(OR($L421="Yes",$M421="Yes"),"Contacted only","Not yet contacted")))))</f>
        <v/>
      </c>
      <c r="Y421" s="47" t="str">
        <f aca="false">IF($B421="","",COUNTIF(c_Firm,"&lt;"&amp;$D421)+COUNTIFS(c_Firm,$D421,c_Name,"&lt;"&amp;$B421)+COUNTIFS($D$2:$D421,$D421,$B$2:$B421,$B421))</f>
        <v/>
      </c>
      <c r="Z421" s="47" t="str">
        <f aca="false">IF($B421="","",IF(AND(OR(Contacts!$C$3="(All)",$D421=Contacts!$C$3),OR(Contacts!$E$3="(All)",$G421=Contacts!$E$3),OR(Contacts!$G$3="(All)",ISNUMBER(SEARCH(Contacts!$G$3,$V421))),OR(Contacts!$I$3="(All)",$X421=Contacts!$I$3),OR(Contacts!$K$3="",ISNUMBER(SEARCH(Contacts!$K$3,$B421&amp;" "&amp;$C421&amp;" "&amp;$D421&amp;" "&amp;$S421)))),1,0))</f>
        <v/>
      </c>
      <c r="AA421" s="47" t="str">
        <f aca="false">IF($Z421=1,COUNTIFS(c_Pass,1,c_Sort,"&lt;="&amp;$Y421),"")</f>
        <v/>
      </c>
      <c r="AB421" s="47" t="str">
        <f aca="false">IF(OR($G421&lt;&gt;"Yes",NOT(ISNUMBER($H421))),"",COUNTIFS(c_Met,"Yes",c_Date,"&lt;"&amp;$H421)+COUNTIFS($G$2:$G421,"Yes",$H$2:$H421,$H421))</f>
        <v/>
      </c>
    </row>
    <row r="422" customFormat="false" ht="15" hidden="false" customHeight="false" outlineLevel="0" collapsed="false">
      <c r="A422" s="44" t="str">
        <f aca="false">IF($B422="","",COUNTA($B$2:$B422))</f>
        <v/>
      </c>
      <c r="B422" s="11"/>
      <c r="C422" s="11"/>
      <c r="D422" s="11"/>
      <c r="E422" s="11"/>
      <c r="F422" s="11"/>
      <c r="G422" s="34"/>
      <c r="H422" s="25"/>
      <c r="I422" s="40"/>
      <c r="J422" s="34"/>
      <c r="K422" s="45"/>
      <c r="L422" s="34"/>
      <c r="M422" s="34"/>
      <c r="N422" s="11"/>
      <c r="O422" s="11"/>
      <c r="P422" s="11"/>
      <c r="Q422" s="11"/>
      <c r="R422" s="11"/>
      <c r="S422" s="46"/>
      <c r="T422" s="44" t="str">
        <f aca="false">IF($B422="","",COUNTA($N422:$R422)-COUNTIF($N422:$R422,"Not Invited"))</f>
        <v/>
      </c>
      <c r="U422" s="44" t="str">
        <f aca="false">IF($B422="","",COUNTIF($N422:$R422,"Attended"))</f>
        <v/>
      </c>
      <c r="V422" s="47" t="str">
        <f aca="false">IF($B422="","",_xlfn.TEXTJOIN(", ",TRUE(),IF($N422="Attended",Setup!$D$15,""),IF($O422="Attended",Setup!$D$16,""),IF($P422="Attended",Setup!$D$17,""),IF($Q422="Attended",Setup!$D$18,""),IF($R422="Attended",Setup!$D$19,"")))</f>
        <v/>
      </c>
      <c r="W422" s="48" t="str">
        <f aca="true">IF(OR($B422="",NOT(ISNUMBER($H422))),"",TODAY()-$H422)</f>
        <v/>
      </c>
      <c r="X422" s="47" t="str">
        <f aca="false">IF($B422="","",IF($U422&gt;0,"Event attendee",IF($G422="Yes","Met (no event)",IF($T422&gt;0,"Invited only",IF(OR($L422="Yes",$M422="Yes"),"Contacted only","Not yet contacted")))))</f>
        <v/>
      </c>
      <c r="Y422" s="47" t="str">
        <f aca="false">IF($B422="","",COUNTIF(c_Firm,"&lt;"&amp;$D422)+COUNTIFS(c_Firm,$D422,c_Name,"&lt;"&amp;$B422)+COUNTIFS($D$2:$D422,$D422,$B$2:$B422,$B422))</f>
        <v/>
      </c>
      <c r="Z422" s="47" t="str">
        <f aca="false">IF($B422="","",IF(AND(OR(Contacts!$C$3="(All)",$D422=Contacts!$C$3),OR(Contacts!$E$3="(All)",$G422=Contacts!$E$3),OR(Contacts!$G$3="(All)",ISNUMBER(SEARCH(Contacts!$G$3,$V422))),OR(Contacts!$I$3="(All)",$X422=Contacts!$I$3),OR(Contacts!$K$3="",ISNUMBER(SEARCH(Contacts!$K$3,$B422&amp;" "&amp;$C422&amp;" "&amp;$D422&amp;" "&amp;$S422)))),1,0))</f>
        <v/>
      </c>
      <c r="AA422" s="47" t="str">
        <f aca="false">IF($Z422=1,COUNTIFS(c_Pass,1,c_Sort,"&lt;="&amp;$Y422),"")</f>
        <v/>
      </c>
      <c r="AB422" s="47" t="str">
        <f aca="false">IF(OR($G422&lt;&gt;"Yes",NOT(ISNUMBER($H422))),"",COUNTIFS(c_Met,"Yes",c_Date,"&lt;"&amp;$H422)+COUNTIFS($G$2:$G422,"Yes",$H$2:$H422,$H422))</f>
        <v/>
      </c>
    </row>
    <row r="423" customFormat="false" ht="15" hidden="false" customHeight="false" outlineLevel="0" collapsed="false">
      <c r="A423" s="44" t="str">
        <f aca="false">IF($B423="","",COUNTA($B$2:$B423))</f>
        <v/>
      </c>
      <c r="B423" s="11"/>
      <c r="C423" s="11"/>
      <c r="D423" s="11"/>
      <c r="E423" s="11"/>
      <c r="F423" s="11"/>
      <c r="G423" s="34"/>
      <c r="H423" s="25"/>
      <c r="I423" s="40"/>
      <c r="J423" s="34"/>
      <c r="K423" s="45"/>
      <c r="L423" s="34"/>
      <c r="M423" s="34"/>
      <c r="N423" s="11"/>
      <c r="O423" s="11"/>
      <c r="P423" s="11"/>
      <c r="Q423" s="11"/>
      <c r="R423" s="11"/>
      <c r="S423" s="46"/>
      <c r="T423" s="44" t="str">
        <f aca="false">IF($B423="","",COUNTA($N423:$R423)-COUNTIF($N423:$R423,"Not Invited"))</f>
        <v/>
      </c>
      <c r="U423" s="44" t="str">
        <f aca="false">IF($B423="","",COUNTIF($N423:$R423,"Attended"))</f>
        <v/>
      </c>
      <c r="V423" s="47" t="str">
        <f aca="false">IF($B423="","",_xlfn.TEXTJOIN(", ",TRUE(),IF($N423="Attended",Setup!$D$15,""),IF($O423="Attended",Setup!$D$16,""),IF($P423="Attended",Setup!$D$17,""),IF($Q423="Attended",Setup!$D$18,""),IF($R423="Attended",Setup!$D$19,"")))</f>
        <v/>
      </c>
      <c r="W423" s="48" t="str">
        <f aca="true">IF(OR($B423="",NOT(ISNUMBER($H423))),"",TODAY()-$H423)</f>
        <v/>
      </c>
      <c r="X423" s="47" t="str">
        <f aca="false">IF($B423="","",IF($U423&gt;0,"Event attendee",IF($G423="Yes","Met (no event)",IF($T423&gt;0,"Invited only",IF(OR($L423="Yes",$M423="Yes"),"Contacted only","Not yet contacted")))))</f>
        <v/>
      </c>
      <c r="Y423" s="47" t="str">
        <f aca="false">IF($B423="","",COUNTIF(c_Firm,"&lt;"&amp;$D423)+COUNTIFS(c_Firm,$D423,c_Name,"&lt;"&amp;$B423)+COUNTIFS($D$2:$D423,$D423,$B$2:$B423,$B423))</f>
        <v/>
      </c>
      <c r="Z423" s="47" t="str">
        <f aca="false">IF($B423="","",IF(AND(OR(Contacts!$C$3="(All)",$D423=Contacts!$C$3),OR(Contacts!$E$3="(All)",$G423=Contacts!$E$3),OR(Contacts!$G$3="(All)",ISNUMBER(SEARCH(Contacts!$G$3,$V423))),OR(Contacts!$I$3="(All)",$X423=Contacts!$I$3),OR(Contacts!$K$3="",ISNUMBER(SEARCH(Contacts!$K$3,$B423&amp;" "&amp;$C423&amp;" "&amp;$D423&amp;" "&amp;$S423)))),1,0))</f>
        <v/>
      </c>
      <c r="AA423" s="47" t="str">
        <f aca="false">IF($Z423=1,COUNTIFS(c_Pass,1,c_Sort,"&lt;="&amp;$Y423),"")</f>
        <v/>
      </c>
      <c r="AB423" s="47" t="str">
        <f aca="false">IF(OR($G423&lt;&gt;"Yes",NOT(ISNUMBER($H423))),"",COUNTIFS(c_Met,"Yes",c_Date,"&lt;"&amp;$H423)+COUNTIFS($G$2:$G423,"Yes",$H$2:$H423,$H423))</f>
        <v/>
      </c>
    </row>
    <row r="424" customFormat="false" ht="15" hidden="false" customHeight="false" outlineLevel="0" collapsed="false">
      <c r="A424" s="44" t="str">
        <f aca="false">IF($B424="","",COUNTA($B$2:$B424))</f>
        <v/>
      </c>
      <c r="B424" s="11"/>
      <c r="C424" s="11"/>
      <c r="D424" s="11"/>
      <c r="E424" s="11"/>
      <c r="F424" s="11"/>
      <c r="G424" s="34"/>
      <c r="H424" s="25"/>
      <c r="I424" s="40"/>
      <c r="J424" s="34"/>
      <c r="K424" s="45"/>
      <c r="L424" s="34"/>
      <c r="M424" s="34"/>
      <c r="N424" s="11"/>
      <c r="O424" s="11"/>
      <c r="P424" s="11"/>
      <c r="Q424" s="11"/>
      <c r="R424" s="11"/>
      <c r="S424" s="46"/>
      <c r="T424" s="44" t="str">
        <f aca="false">IF($B424="","",COUNTA($N424:$R424)-COUNTIF($N424:$R424,"Not Invited"))</f>
        <v/>
      </c>
      <c r="U424" s="44" t="str">
        <f aca="false">IF($B424="","",COUNTIF($N424:$R424,"Attended"))</f>
        <v/>
      </c>
      <c r="V424" s="47" t="str">
        <f aca="false">IF($B424="","",_xlfn.TEXTJOIN(", ",TRUE(),IF($N424="Attended",Setup!$D$15,""),IF($O424="Attended",Setup!$D$16,""),IF($P424="Attended",Setup!$D$17,""),IF($Q424="Attended",Setup!$D$18,""),IF($R424="Attended",Setup!$D$19,"")))</f>
        <v/>
      </c>
      <c r="W424" s="48" t="str">
        <f aca="true">IF(OR($B424="",NOT(ISNUMBER($H424))),"",TODAY()-$H424)</f>
        <v/>
      </c>
      <c r="X424" s="47" t="str">
        <f aca="false">IF($B424="","",IF($U424&gt;0,"Event attendee",IF($G424="Yes","Met (no event)",IF($T424&gt;0,"Invited only",IF(OR($L424="Yes",$M424="Yes"),"Contacted only","Not yet contacted")))))</f>
        <v/>
      </c>
      <c r="Y424" s="47" t="str">
        <f aca="false">IF($B424="","",COUNTIF(c_Firm,"&lt;"&amp;$D424)+COUNTIFS(c_Firm,$D424,c_Name,"&lt;"&amp;$B424)+COUNTIFS($D$2:$D424,$D424,$B$2:$B424,$B424))</f>
        <v/>
      </c>
      <c r="Z424" s="47" t="str">
        <f aca="false">IF($B424="","",IF(AND(OR(Contacts!$C$3="(All)",$D424=Contacts!$C$3),OR(Contacts!$E$3="(All)",$G424=Contacts!$E$3),OR(Contacts!$G$3="(All)",ISNUMBER(SEARCH(Contacts!$G$3,$V424))),OR(Contacts!$I$3="(All)",$X424=Contacts!$I$3),OR(Contacts!$K$3="",ISNUMBER(SEARCH(Contacts!$K$3,$B424&amp;" "&amp;$C424&amp;" "&amp;$D424&amp;" "&amp;$S424)))),1,0))</f>
        <v/>
      </c>
      <c r="AA424" s="47" t="str">
        <f aca="false">IF($Z424=1,COUNTIFS(c_Pass,1,c_Sort,"&lt;="&amp;$Y424),"")</f>
        <v/>
      </c>
      <c r="AB424" s="47" t="str">
        <f aca="false">IF(OR($G424&lt;&gt;"Yes",NOT(ISNUMBER($H424))),"",COUNTIFS(c_Met,"Yes",c_Date,"&lt;"&amp;$H424)+COUNTIFS($G$2:$G424,"Yes",$H$2:$H424,$H424))</f>
        <v/>
      </c>
    </row>
    <row r="425" customFormat="false" ht="15" hidden="false" customHeight="false" outlineLevel="0" collapsed="false">
      <c r="A425" s="44" t="str">
        <f aca="false">IF($B425="","",COUNTA($B$2:$B425))</f>
        <v/>
      </c>
      <c r="B425" s="11"/>
      <c r="C425" s="11"/>
      <c r="D425" s="11"/>
      <c r="E425" s="11"/>
      <c r="F425" s="11"/>
      <c r="G425" s="34"/>
      <c r="H425" s="25"/>
      <c r="I425" s="40"/>
      <c r="J425" s="34"/>
      <c r="K425" s="45"/>
      <c r="L425" s="34"/>
      <c r="M425" s="34"/>
      <c r="N425" s="11"/>
      <c r="O425" s="11"/>
      <c r="P425" s="11"/>
      <c r="Q425" s="11"/>
      <c r="R425" s="11"/>
      <c r="S425" s="46"/>
      <c r="T425" s="44" t="str">
        <f aca="false">IF($B425="","",COUNTA($N425:$R425)-COUNTIF($N425:$R425,"Not Invited"))</f>
        <v/>
      </c>
      <c r="U425" s="44" t="str">
        <f aca="false">IF($B425="","",COUNTIF($N425:$R425,"Attended"))</f>
        <v/>
      </c>
      <c r="V425" s="47" t="str">
        <f aca="false">IF($B425="","",_xlfn.TEXTJOIN(", ",TRUE(),IF($N425="Attended",Setup!$D$15,""),IF($O425="Attended",Setup!$D$16,""),IF($P425="Attended",Setup!$D$17,""),IF($Q425="Attended",Setup!$D$18,""),IF($R425="Attended",Setup!$D$19,"")))</f>
        <v/>
      </c>
      <c r="W425" s="48" t="str">
        <f aca="true">IF(OR($B425="",NOT(ISNUMBER($H425))),"",TODAY()-$H425)</f>
        <v/>
      </c>
      <c r="X425" s="47" t="str">
        <f aca="false">IF($B425="","",IF($U425&gt;0,"Event attendee",IF($G425="Yes","Met (no event)",IF($T425&gt;0,"Invited only",IF(OR($L425="Yes",$M425="Yes"),"Contacted only","Not yet contacted")))))</f>
        <v/>
      </c>
      <c r="Y425" s="47" t="str">
        <f aca="false">IF($B425="","",COUNTIF(c_Firm,"&lt;"&amp;$D425)+COUNTIFS(c_Firm,$D425,c_Name,"&lt;"&amp;$B425)+COUNTIFS($D$2:$D425,$D425,$B$2:$B425,$B425))</f>
        <v/>
      </c>
      <c r="Z425" s="47" t="str">
        <f aca="false">IF($B425="","",IF(AND(OR(Contacts!$C$3="(All)",$D425=Contacts!$C$3),OR(Contacts!$E$3="(All)",$G425=Contacts!$E$3),OR(Contacts!$G$3="(All)",ISNUMBER(SEARCH(Contacts!$G$3,$V425))),OR(Contacts!$I$3="(All)",$X425=Contacts!$I$3),OR(Contacts!$K$3="",ISNUMBER(SEARCH(Contacts!$K$3,$B425&amp;" "&amp;$C425&amp;" "&amp;$D425&amp;" "&amp;$S425)))),1,0))</f>
        <v/>
      </c>
      <c r="AA425" s="47" t="str">
        <f aca="false">IF($Z425=1,COUNTIFS(c_Pass,1,c_Sort,"&lt;="&amp;$Y425),"")</f>
        <v/>
      </c>
      <c r="AB425" s="47" t="str">
        <f aca="false">IF(OR($G425&lt;&gt;"Yes",NOT(ISNUMBER($H425))),"",COUNTIFS(c_Met,"Yes",c_Date,"&lt;"&amp;$H425)+COUNTIFS($G$2:$G425,"Yes",$H$2:$H425,$H425))</f>
        <v/>
      </c>
    </row>
    <row r="426" customFormat="false" ht="15" hidden="false" customHeight="false" outlineLevel="0" collapsed="false">
      <c r="A426" s="44" t="str">
        <f aca="false">IF($B426="","",COUNTA($B$2:$B426))</f>
        <v/>
      </c>
      <c r="B426" s="11"/>
      <c r="C426" s="11"/>
      <c r="D426" s="11"/>
      <c r="E426" s="11"/>
      <c r="F426" s="11"/>
      <c r="G426" s="34"/>
      <c r="H426" s="25"/>
      <c r="I426" s="40"/>
      <c r="J426" s="34"/>
      <c r="K426" s="45"/>
      <c r="L426" s="34"/>
      <c r="M426" s="34"/>
      <c r="N426" s="11"/>
      <c r="O426" s="11"/>
      <c r="P426" s="11"/>
      <c r="Q426" s="11"/>
      <c r="R426" s="11"/>
      <c r="S426" s="46"/>
      <c r="T426" s="44" t="str">
        <f aca="false">IF($B426="","",COUNTA($N426:$R426)-COUNTIF($N426:$R426,"Not Invited"))</f>
        <v/>
      </c>
      <c r="U426" s="44" t="str">
        <f aca="false">IF($B426="","",COUNTIF($N426:$R426,"Attended"))</f>
        <v/>
      </c>
      <c r="V426" s="47" t="str">
        <f aca="false">IF($B426="","",_xlfn.TEXTJOIN(", ",TRUE(),IF($N426="Attended",Setup!$D$15,""),IF($O426="Attended",Setup!$D$16,""),IF($P426="Attended",Setup!$D$17,""),IF($Q426="Attended",Setup!$D$18,""),IF($R426="Attended",Setup!$D$19,"")))</f>
        <v/>
      </c>
      <c r="W426" s="48" t="str">
        <f aca="true">IF(OR($B426="",NOT(ISNUMBER($H426))),"",TODAY()-$H426)</f>
        <v/>
      </c>
      <c r="X426" s="47" t="str">
        <f aca="false">IF($B426="","",IF($U426&gt;0,"Event attendee",IF($G426="Yes","Met (no event)",IF($T426&gt;0,"Invited only",IF(OR($L426="Yes",$M426="Yes"),"Contacted only","Not yet contacted")))))</f>
        <v/>
      </c>
      <c r="Y426" s="47" t="str">
        <f aca="false">IF($B426="","",COUNTIF(c_Firm,"&lt;"&amp;$D426)+COUNTIFS(c_Firm,$D426,c_Name,"&lt;"&amp;$B426)+COUNTIFS($D$2:$D426,$D426,$B$2:$B426,$B426))</f>
        <v/>
      </c>
      <c r="Z426" s="47" t="str">
        <f aca="false">IF($B426="","",IF(AND(OR(Contacts!$C$3="(All)",$D426=Contacts!$C$3),OR(Contacts!$E$3="(All)",$G426=Contacts!$E$3),OR(Contacts!$G$3="(All)",ISNUMBER(SEARCH(Contacts!$G$3,$V426))),OR(Contacts!$I$3="(All)",$X426=Contacts!$I$3),OR(Contacts!$K$3="",ISNUMBER(SEARCH(Contacts!$K$3,$B426&amp;" "&amp;$C426&amp;" "&amp;$D426&amp;" "&amp;$S426)))),1,0))</f>
        <v/>
      </c>
      <c r="AA426" s="47" t="str">
        <f aca="false">IF($Z426=1,COUNTIFS(c_Pass,1,c_Sort,"&lt;="&amp;$Y426),"")</f>
        <v/>
      </c>
      <c r="AB426" s="47" t="str">
        <f aca="false">IF(OR($G426&lt;&gt;"Yes",NOT(ISNUMBER($H426))),"",COUNTIFS(c_Met,"Yes",c_Date,"&lt;"&amp;$H426)+COUNTIFS($G$2:$G426,"Yes",$H$2:$H426,$H426))</f>
        <v/>
      </c>
    </row>
    <row r="427" customFormat="false" ht="15" hidden="false" customHeight="false" outlineLevel="0" collapsed="false">
      <c r="A427" s="44" t="str">
        <f aca="false">IF($B427="","",COUNTA($B$2:$B427))</f>
        <v/>
      </c>
      <c r="B427" s="11"/>
      <c r="C427" s="11"/>
      <c r="D427" s="11"/>
      <c r="E427" s="11"/>
      <c r="F427" s="11"/>
      <c r="G427" s="34"/>
      <c r="H427" s="25"/>
      <c r="I427" s="40"/>
      <c r="J427" s="34"/>
      <c r="K427" s="45"/>
      <c r="L427" s="34"/>
      <c r="M427" s="34"/>
      <c r="N427" s="11"/>
      <c r="O427" s="11"/>
      <c r="P427" s="11"/>
      <c r="Q427" s="11"/>
      <c r="R427" s="11"/>
      <c r="S427" s="46"/>
      <c r="T427" s="44" t="str">
        <f aca="false">IF($B427="","",COUNTA($N427:$R427)-COUNTIF($N427:$R427,"Not Invited"))</f>
        <v/>
      </c>
      <c r="U427" s="44" t="str">
        <f aca="false">IF($B427="","",COUNTIF($N427:$R427,"Attended"))</f>
        <v/>
      </c>
      <c r="V427" s="47" t="str">
        <f aca="false">IF($B427="","",_xlfn.TEXTJOIN(", ",TRUE(),IF($N427="Attended",Setup!$D$15,""),IF($O427="Attended",Setup!$D$16,""),IF($P427="Attended",Setup!$D$17,""),IF($Q427="Attended",Setup!$D$18,""),IF($R427="Attended",Setup!$D$19,"")))</f>
        <v/>
      </c>
      <c r="W427" s="48" t="str">
        <f aca="true">IF(OR($B427="",NOT(ISNUMBER($H427))),"",TODAY()-$H427)</f>
        <v/>
      </c>
      <c r="X427" s="47" t="str">
        <f aca="false">IF($B427="","",IF($U427&gt;0,"Event attendee",IF($G427="Yes","Met (no event)",IF($T427&gt;0,"Invited only",IF(OR($L427="Yes",$M427="Yes"),"Contacted only","Not yet contacted")))))</f>
        <v/>
      </c>
      <c r="Y427" s="47" t="str">
        <f aca="false">IF($B427="","",COUNTIF(c_Firm,"&lt;"&amp;$D427)+COUNTIFS(c_Firm,$D427,c_Name,"&lt;"&amp;$B427)+COUNTIFS($D$2:$D427,$D427,$B$2:$B427,$B427))</f>
        <v/>
      </c>
      <c r="Z427" s="47" t="str">
        <f aca="false">IF($B427="","",IF(AND(OR(Contacts!$C$3="(All)",$D427=Contacts!$C$3),OR(Contacts!$E$3="(All)",$G427=Contacts!$E$3),OR(Contacts!$G$3="(All)",ISNUMBER(SEARCH(Contacts!$G$3,$V427))),OR(Contacts!$I$3="(All)",$X427=Contacts!$I$3),OR(Contacts!$K$3="",ISNUMBER(SEARCH(Contacts!$K$3,$B427&amp;" "&amp;$C427&amp;" "&amp;$D427&amp;" "&amp;$S427)))),1,0))</f>
        <v/>
      </c>
      <c r="AA427" s="47" t="str">
        <f aca="false">IF($Z427=1,COUNTIFS(c_Pass,1,c_Sort,"&lt;="&amp;$Y427),"")</f>
        <v/>
      </c>
      <c r="AB427" s="47" t="str">
        <f aca="false">IF(OR($G427&lt;&gt;"Yes",NOT(ISNUMBER($H427))),"",COUNTIFS(c_Met,"Yes",c_Date,"&lt;"&amp;$H427)+COUNTIFS($G$2:$G427,"Yes",$H$2:$H427,$H427))</f>
        <v/>
      </c>
    </row>
    <row r="428" customFormat="false" ht="15" hidden="false" customHeight="false" outlineLevel="0" collapsed="false">
      <c r="A428" s="44" t="str">
        <f aca="false">IF($B428="","",COUNTA($B$2:$B428))</f>
        <v/>
      </c>
      <c r="B428" s="11"/>
      <c r="C428" s="11"/>
      <c r="D428" s="11"/>
      <c r="E428" s="11"/>
      <c r="F428" s="11"/>
      <c r="G428" s="34"/>
      <c r="H428" s="25"/>
      <c r="I428" s="40"/>
      <c r="J428" s="34"/>
      <c r="K428" s="45"/>
      <c r="L428" s="34"/>
      <c r="M428" s="34"/>
      <c r="N428" s="11"/>
      <c r="O428" s="11"/>
      <c r="P428" s="11"/>
      <c r="Q428" s="11"/>
      <c r="R428" s="11"/>
      <c r="S428" s="46"/>
      <c r="T428" s="44" t="str">
        <f aca="false">IF($B428="","",COUNTA($N428:$R428)-COUNTIF($N428:$R428,"Not Invited"))</f>
        <v/>
      </c>
      <c r="U428" s="44" t="str">
        <f aca="false">IF($B428="","",COUNTIF($N428:$R428,"Attended"))</f>
        <v/>
      </c>
      <c r="V428" s="47" t="str">
        <f aca="false">IF($B428="","",_xlfn.TEXTJOIN(", ",TRUE(),IF($N428="Attended",Setup!$D$15,""),IF($O428="Attended",Setup!$D$16,""),IF($P428="Attended",Setup!$D$17,""),IF($Q428="Attended",Setup!$D$18,""),IF($R428="Attended",Setup!$D$19,"")))</f>
        <v/>
      </c>
      <c r="W428" s="48" t="str">
        <f aca="true">IF(OR($B428="",NOT(ISNUMBER($H428))),"",TODAY()-$H428)</f>
        <v/>
      </c>
      <c r="X428" s="47" t="str">
        <f aca="false">IF($B428="","",IF($U428&gt;0,"Event attendee",IF($G428="Yes","Met (no event)",IF($T428&gt;0,"Invited only",IF(OR($L428="Yes",$M428="Yes"),"Contacted only","Not yet contacted")))))</f>
        <v/>
      </c>
      <c r="Y428" s="47" t="str">
        <f aca="false">IF($B428="","",COUNTIF(c_Firm,"&lt;"&amp;$D428)+COUNTIFS(c_Firm,$D428,c_Name,"&lt;"&amp;$B428)+COUNTIFS($D$2:$D428,$D428,$B$2:$B428,$B428))</f>
        <v/>
      </c>
      <c r="Z428" s="47" t="str">
        <f aca="false">IF($B428="","",IF(AND(OR(Contacts!$C$3="(All)",$D428=Contacts!$C$3),OR(Contacts!$E$3="(All)",$G428=Contacts!$E$3),OR(Contacts!$G$3="(All)",ISNUMBER(SEARCH(Contacts!$G$3,$V428))),OR(Contacts!$I$3="(All)",$X428=Contacts!$I$3),OR(Contacts!$K$3="",ISNUMBER(SEARCH(Contacts!$K$3,$B428&amp;" "&amp;$C428&amp;" "&amp;$D428&amp;" "&amp;$S428)))),1,0))</f>
        <v/>
      </c>
      <c r="AA428" s="47" t="str">
        <f aca="false">IF($Z428=1,COUNTIFS(c_Pass,1,c_Sort,"&lt;="&amp;$Y428),"")</f>
        <v/>
      </c>
      <c r="AB428" s="47" t="str">
        <f aca="false">IF(OR($G428&lt;&gt;"Yes",NOT(ISNUMBER($H428))),"",COUNTIFS(c_Met,"Yes",c_Date,"&lt;"&amp;$H428)+COUNTIFS($G$2:$G428,"Yes",$H$2:$H428,$H428))</f>
        <v/>
      </c>
    </row>
    <row r="429" customFormat="false" ht="15" hidden="false" customHeight="false" outlineLevel="0" collapsed="false">
      <c r="A429" s="44" t="str">
        <f aca="false">IF($B429="","",COUNTA($B$2:$B429))</f>
        <v/>
      </c>
      <c r="B429" s="11"/>
      <c r="C429" s="11"/>
      <c r="D429" s="11"/>
      <c r="E429" s="11"/>
      <c r="F429" s="11"/>
      <c r="G429" s="34"/>
      <c r="H429" s="25"/>
      <c r="I429" s="40"/>
      <c r="J429" s="34"/>
      <c r="K429" s="45"/>
      <c r="L429" s="34"/>
      <c r="M429" s="34"/>
      <c r="N429" s="11"/>
      <c r="O429" s="11"/>
      <c r="P429" s="11"/>
      <c r="Q429" s="11"/>
      <c r="R429" s="11"/>
      <c r="S429" s="46"/>
      <c r="T429" s="44" t="str">
        <f aca="false">IF($B429="","",COUNTA($N429:$R429)-COUNTIF($N429:$R429,"Not Invited"))</f>
        <v/>
      </c>
      <c r="U429" s="44" t="str">
        <f aca="false">IF($B429="","",COUNTIF($N429:$R429,"Attended"))</f>
        <v/>
      </c>
      <c r="V429" s="47" t="str">
        <f aca="false">IF($B429="","",_xlfn.TEXTJOIN(", ",TRUE(),IF($N429="Attended",Setup!$D$15,""),IF($O429="Attended",Setup!$D$16,""),IF($P429="Attended",Setup!$D$17,""),IF($Q429="Attended",Setup!$D$18,""),IF($R429="Attended",Setup!$D$19,"")))</f>
        <v/>
      </c>
      <c r="W429" s="48" t="str">
        <f aca="true">IF(OR($B429="",NOT(ISNUMBER($H429))),"",TODAY()-$H429)</f>
        <v/>
      </c>
      <c r="X429" s="47" t="str">
        <f aca="false">IF($B429="","",IF($U429&gt;0,"Event attendee",IF($G429="Yes","Met (no event)",IF($T429&gt;0,"Invited only",IF(OR($L429="Yes",$M429="Yes"),"Contacted only","Not yet contacted")))))</f>
        <v/>
      </c>
      <c r="Y429" s="47" t="str">
        <f aca="false">IF($B429="","",COUNTIF(c_Firm,"&lt;"&amp;$D429)+COUNTIFS(c_Firm,$D429,c_Name,"&lt;"&amp;$B429)+COUNTIFS($D$2:$D429,$D429,$B$2:$B429,$B429))</f>
        <v/>
      </c>
      <c r="Z429" s="47" t="str">
        <f aca="false">IF($B429="","",IF(AND(OR(Contacts!$C$3="(All)",$D429=Contacts!$C$3),OR(Contacts!$E$3="(All)",$G429=Contacts!$E$3),OR(Contacts!$G$3="(All)",ISNUMBER(SEARCH(Contacts!$G$3,$V429))),OR(Contacts!$I$3="(All)",$X429=Contacts!$I$3),OR(Contacts!$K$3="",ISNUMBER(SEARCH(Contacts!$K$3,$B429&amp;" "&amp;$C429&amp;" "&amp;$D429&amp;" "&amp;$S429)))),1,0))</f>
        <v/>
      </c>
      <c r="AA429" s="47" t="str">
        <f aca="false">IF($Z429=1,COUNTIFS(c_Pass,1,c_Sort,"&lt;="&amp;$Y429),"")</f>
        <v/>
      </c>
      <c r="AB429" s="47" t="str">
        <f aca="false">IF(OR($G429&lt;&gt;"Yes",NOT(ISNUMBER($H429))),"",COUNTIFS(c_Met,"Yes",c_Date,"&lt;"&amp;$H429)+COUNTIFS($G$2:$G429,"Yes",$H$2:$H429,$H429))</f>
        <v/>
      </c>
    </row>
    <row r="430" customFormat="false" ht="15" hidden="false" customHeight="false" outlineLevel="0" collapsed="false">
      <c r="A430" s="44" t="str">
        <f aca="false">IF($B430="","",COUNTA($B$2:$B430))</f>
        <v/>
      </c>
      <c r="B430" s="11"/>
      <c r="C430" s="11"/>
      <c r="D430" s="11"/>
      <c r="E430" s="11"/>
      <c r="F430" s="11"/>
      <c r="G430" s="34"/>
      <c r="H430" s="25"/>
      <c r="I430" s="40"/>
      <c r="J430" s="34"/>
      <c r="K430" s="45"/>
      <c r="L430" s="34"/>
      <c r="M430" s="34"/>
      <c r="N430" s="11"/>
      <c r="O430" s="11"/>
      <c r="P430" s="11"/>
      <c r="Q430" s="11"/>
      <c r="R430" s="11"/>
      <c r="S430" s="46"/>
      <c r="T430" s="44" t="str">
        <f aca="false">IF($B430="","",COUNTA($N430:$R430)-COUNTIF($N430:$R430,"Not Invited"))</f>
        <v/>
      </c>
      <c r="U430" s="44" t="str">
        <f aca="false">IF($B430="","",COUNTIF($N430:$R430,"Attended"))</f>
        <v/>
      </c>
      <c r="V430" s="47" t="str">
        <f aca="false">IF($B430="","",_xlfn.TEXTJOIN(", ",TRUE(),IF($N430="Attended",Setup!$D$15,""),IF($O430="Attended",Setup!$D$16,""),IF($P430="Attended",Setup!$D$17,""),IF($Q430="Attended",Setup!$D$18,""),IF($R430="Attended",Setup!$D$19,"")))</f>
        <v/>
      </c>
      <c r="W430" s="48" t="str">
        <f aca="true">IF(OR($B430="",NOT(ISNUMBER($H430))),"",TODAY()-$H430)</f>
        <v/>
      </c>
      <c r="X430" s="47" t="str">
        <f aca="false">IF($B430="","",IF($U430&gt;0,"Event attendee",IF($G430="Yes","Met (no event)",IF($T430&gt;0,"Invited only",IF(OR($L430="Yes",$M430="Yes"),"Contacted only","Not yet contacted")))))</f>
        <v/>
      </c>
      <c r="Y430" s="47" t="str">
        <f aca="false">IF($B430="","",COUNTIF(c_Firm,"&lt;"&amp;$D430)+COUNTIFS(c_Firm,$D430,c_Name,"&lt;"&amp;$B430)+COUNTIFS($D$2:$D430,$D430,$B$2:$B430,$B430))</f>
        <v/>
      </c>
      <c r="Z430" s="47" t="str">
        <f aca="false">IF($B430="","",IF(AND(OR(Contacts!$C$3="(All)",$D430=Contacts!$C$3),OR(Contacts!$E$3="(All)",$G430=Contacts!$E$3),OR(Contacts!$G$3="(All)",ISNUMBER(SEARCH(Contacts!$G$3,$V430))),OR(Contacts!$I$3="(All)",$X430=Contacts!$I$3),OR(Contacts!$K$3="",ISNUMBER(SEARCH(Contacts!$K$3,$B430&amp;" "&amp;$C430&amp;" "&amp;$D430&amp;" "&amp;$S430)))),1,0))</f>
        <v/>
      </c>
      <c r="AA430" s="47" t="str">
        <f aca="false">IF($Z430=1,COUNTIFS(c_Pass,1,c_Sort,"&lt;="&amp;$Y430),"")</f>
        <v/>
      </c>
      <c r="AB430" s="47" t="str">
        <f aca="false">IF(OR($G430&lt;&gt;"Yes",NOT(ISNUMBER($H430))),"",COUNTIFS(c_Met,"Yes",c_Date,"&lt;"&amp;$H430)+COUNTIFS($G$2:$G430,"Yes",$H$2:$H430,$H430))</f>
        <v/>
      </c>
    </row>
    <row r="431" customFormat="false" ht="15" hidden="false" customHeight="false" outlineLevel="0" collapsed="false">
      <c r="A431" s="44" t="str">
        <f aca="false">IF($B431="","",COUNTA($B$2:$B431))</f>
        <v/>
      </c>
      <c r="B431" s="11"/>
      <c r="C431" s="11"/>
      <c r="D431" s="11"/>
      <c r="E431" s="11"/>
      <c r="F431" s="11"/>
      <c r="G431" s="34"/>
      <c r="H431" s="25"/>
      <c r="I431" s="40"/>
      <c r="J431" s="34"/>
      <c r="K431" s="45"/>
      <c r="L431" s="34"/>
      <c r="M431" s="34"/>
      <c r="N431" s="11"/>
      <c r="O431" s="11"/>
      <c r="P431" s="11"/>
      <c r="Q431" s="11"/>
      <c r="R431" s="11"/>
      <c r="S431" s="46"/>
      <c r="T431" s="44" t="str">
        <f aca="false">IF($B431="","",COUNTA($N431:$R431)-COUNTIF($N431:$R431,"Not Invited"))</f>
        <v/>
      </c>
      <c r="U431" s="44" t="str">
        <f aca="false">IF($B431="","",COUNTIF($N431:$R431,"Attended"))</f>
        <v/>
      </c>
      <c r="V431" s="47" t="str">
        <f aca="false">IF($B431="","",_xlfn.TEXTJOIN(", ",TRUE(),IF($N431="Attended",Setup!$D$15,""),IF($O431="Attended",Setup!$D$16,""),IF($P431="Attended",Setup!$D$17,""),IF($Q431="Attended",Setup!$D$18,""),IF($R431="Attended",Setup!$D$19,"")))</f>
        <v/>
      </c>
      <c r="W431" s="48" t="str">
        <f aca="true">IF(OR($B431="",NOT(ISNUMBER($H431))),"",TODAY()-$H431)</f>
        <v/>
      </c>
      <c r="X431" s="47" t="str">
        <f aca="false">IF($B431="","",IF($U431&gt;0,"Event attendee",IF($G431="Yes","Met (no event)",IF($T431&gt;0,"Invited only",IF(OR($L431="Yes",$M431="Yes"),"Contacted only","Not yet contacted")))))</f>
        <v/>
      </c>
      <c r="Y431" s="47" t="str">
        <f aca="false">IF($B431="","",COUNTIF(c_Firm,"&lt;"&amp;$D431)+COUNTIFS(c_Firm,$D431,c_Name,"&lt;"&amp;$B431)+COUNTIFS($D$2:$D431,$D431,$B$2:$B431,$B431))</f>
        <v/>
      </c>
      <c r="Z431" s="47" t="str">
        <f aca="false">IF($B431="","",IF(AND(OR(Contacts!$C$3="(All)",$D431=Contacts!$C$3),OR(Contacts!$E$3="(All)",$G431=Contacts!$E$3),OR(Contacts!$G$3="(All)",ISNUMBER(SEARCH(Contacts!$G$3,$V431))),OR(Contacts!$I$3="(All)",$X431=Contacts!$I$3),OR(Contacts!$K$3="",ISNUMBER(SEARCH(Contacts!$K$3,$B431&amp;" "&amp;$C431&amp;" "&amp;$D431&amp;" "&amp;$S431)))),1,0))</f>
        <v/>
      </c>
      <c r="AA431" s="47" t="str">
        <f aca="false">IF($Z431=1,COUNTIFS(c_Pass,1,c_Sort,"&lt;="&amp;$Y431),"")</f>
        <v/>
      </c>
      <c r="AB431" s="47" t="str">
        <f aca="false">IF(OR($G431&lt;&gt;"Yes",NOT(ISNUMBER($H431))),"",COUNTIFS(c_Met,"Yes",c_Date,"&lt;"&amp;$H431)+COUNTIFS($G$2:$G431,"Yes",$H$2:$H431,$H431))</f>
        <v/>
      </c>
    </row>
    <row r="432" customFormat="false" ht="15" hidden="false" customHeight="false" outlineLevel="0" collapsed="false">
      <c r="A432" s="44" t="str">
        <f aca="false">IF($B432="","",COUNTA($B$2:$B432))</f>
        <v/>
      </c>
      <c r="B432" s="11"/>
      <c r="C432" s="11"/>
      <c r="D432" s="11"/>
      <c r="E432" s="11"/>
      <c r="F432" s="11"/>
      <c r="G432" s="34"/>
      <c r="H432" s="25"/>
      <c r="I432" s="40"/>
      <c r="J432" s="34"/>
      <c r="K432" s="45"/>
      <c r="L432" s="34"/>
      <c r="M432" s="34"/>
      <c r="N432" s="11"/>
      <c r="O432" s="11"/>
      <c r="P432" s="11"/>
      <c r="Q432" s="11"/>
      <c r="R432" s="11"/>
      <c r="S432" s="46"/>
      <c r="T432" s="44" t="str">
        <f aca="false">IF($B432="","",COUNTA($N432:$R432)-COUNTIF($N432:$R432,"Not Invited"))</f>
        <v/>
      </c>
      <c r="U432" s="44" t="str">
        <f aca="false">IF($B432="","",COUNTIF($N432:$R432,"Attended"))</f>
        <v/>
      </c>
      <c r="V432" s="47" t="str">
        <f aca="false">IF($B432="","",_xlfn.TEXTJOIN(", ",TRUE(),IF($N432="Attended",Setup!$D$15,""),IF($O432="Attended",Setup!$D$16,""),IF($P432="Attended",Setup!$D$17,""),IF($Q432="Attended",Setup!$D$18,""),IF($R432="Attended",Setup!$D$19,"")))</f>
        <v/>
      </c>
      <c r="W432" s="48" t="str">
        <f aca="true">IF(OR($B432="",NOT(ISNUMBER($H432))),"",TODAY()-$H432)</f>
        <v/>
      </c>
      <c r="X432" s="47" t="str">
        <f aca="false">IF($B432="","",IF($U432&gt;0,"Event attendee",IF($G432="Yes","Met (no event)",IF($T432&gt;0,"Invited only",IF(OR($L432="Yes",$M432="Yes"),"Contacted only","Not yet contacted")))))</f>
        <v/>
      </c>
      <c r="Y432" s="47" t="str">
        <f aca="false">IF($B432="","",COUNTIF(c_Firm,"&lt;"&amp;$D432)+COUNTIFS(c_Firm,$D432,c_Name,"&lt;"&amp;$B432)+COUNTIFS($D$2:$D432,$D432,$B$2:$B432,$B432))</f>
        <v/>
      </c>
      <c r="Z432" s="47" t="str">
        <f aca="false">IF($B432="","",IF(AND(OR(Contacts!$C$3="(All)",$D432=Contacts!$C$3),OR(Contacts!$E$3="(All)",$G432=Contacts!$E$3),OR(Contacts!$G$3="(All)",ISNUMBER(SEARCH(Contacts!$G$3,$V432))),OR(Contacts!$I$3="(All)",$X432=Contacts!$I$3),OR(Contacts!$K$3="",ISNUMBER(SEARCH(Contacts!$K$3,$B432&amp;" "&amp;$C432&amp;" "&amp;$D432&amp;" "&amp;$S432)))),1,0))</f>
        <v/>
      </c>
      <c r="AA432" s="47" t="str">
        <f aca="false">IF($Z432=1,COUNTIFS(c_Pass,1,c_Sort,"&lt;="&amp;$Y432),"")</f>
        <v/>
      </c>
      <c r="AB432" s="47" t="str">
        <f aca="false">IF(OR($G432&lt;&gt;"Yes",NOT(ISNUMBER($H432))),"",COUNTIFS(c_Met,"Yes",c_Date,"&lt;"&amp;$H432)+COUNTIFS($G$2:$G432,"Yes",$H$2:$H432,$H432))</f>
        <v/>
      </c>
    </row>
    <row r="433" customFormat="false" ht="15" hidden="false" customHeight="false" outlineLevel="0" collapsed="false">
      <c r="A433" s="44" t="str">
        <f aca="false">IF($B433="","",COUNTA($B$2:$B433))</f>
        <v/>
      </c>
      <c r="B433" s="11"/>
      <c r="C433" s="11"/>
      <c r="D433" s="11"/>
      <c r="E433" s="11"/>
      <c r="F433" s="11"/>
      <c r="G433" s="34"/>
      <c r="H433" s="25"/>
      <c r="I433" s="40"/>
      <c r="J433" s="34"/>
      <c r="K433" s="45"/>
      <c r="L433" s="34"/>
      <c r="M433" s="34"/>
      <c r="N433" s="11"/>
      <c r="O433" s="11"/>
      <c r="P433" s="11"/>
      <c r="Q433" s="11"/>
      <c r="R433" s="11"/>
      <c r="S433" s="46"/>
      <c r="T433" s="44" t="str">
        <f aca="false">IF($B433="","",COUNTA($N433:$R433)-COUNTIF($N433:$R433,"Not Invited"))</f>
        <v/>
      </c>
      <c r="U433" s="44" t="str">
        <f aca="false">IF($B433="","",COUNTIF($N433:$R433,"Attended"))</f>
        <v/>
      </c>
      <c r="V433" s="47" t="str">
        <f aca="false">IF($B433="","",_xlfn.TEXTJOIN(", ",TRUE(),IF($N433="Attended",Setup!$D$15,""),IF($O433="Attended",Setup!$D$16,""),IF($P433="Attended",Setup!$D$17,""),IF($Q433="Attended",Setup!$D$18,""),IF($R433="Attended",Setup!$D$19,"")))</f>
        <v/>
      </c>
      <c r="W433" s="48" t="str">
        <f aca="true">IF(OR($B433="",NOT(ISNUMBER($H433))),"",TODAY()-$H433)</f>
        <v/>
      </c>
      <c r="X433" s="47" t="str">
        <f aca="false">IF($B433="","",IF($U433&gt;0,"Event attendee",IF($G433="Yes","Met (no event)",IF($T433&gt;0,"Invited only",IF(OR($L433="Yes",$M433="Yes"),"Contacted only","Not yet contacted")))))</f>
        <v/>
      </c>
      <c r="Y433" s="47" t="str">
        <f aca="false">IF($B433="","",COUNTIF(c_Firm,"&lt;"&amp;$D433)+COUNTIFS(c_Firm,$D433,c_Name,"&lt;"&amp;$B433)+COUNTIFS($D$2:$D433,$D433,$B$2:$B433,$B433))</f>
        <v/>
      </c>
      <c r="Z433" s="47" t="str">
        <f aca="false">IF($B433="","",IF(AND(OR(Contacts!$C$3="(All)",$D433=Contacts!$C$3),OR(Contacts!$E$3="(All)",$G433=Contacts!$E$3),OR(Contacts!$G$3="(All)",ISNUMBER(SEARCH(Contacts!$G$3,$V433))),OR(Contacts!$I$3="(All)",$X433=Contacts!$I$3),OR(Contacts!$K$3="",ISNUMBER(SEARCH(Contacts!$K$3,$B433&amp;" "&amp;$C433&amp;" "&amp;$D433&amp;" "&amp;$S433)))),1,0))</f>
        <v/>
      </c>
      <c r="AA433" s="47" t="str">
        <f aca="false">IF($Z433=1,COUNTIFS(c_Pass,1,c_Sort,"&lt;="&amp;$Y433),"")</f>
        <v/>
      </c>
      <c r="AB433" s="47" t="str">
        <f aca="false">IF(OR($G433&lt;&gt;"Yes",NOT(ISNUMBER($H433))),"",COUNTIFS(c_Met,"Yes",c_Date,"&lt;"&amp;$H433)+COUNTIFS($G$2:$G433,"Yes",$H$2:$H433,$H433))</f>
        <v/>
      </c>
    </row>
    <row r="434" customFormat="false" ht="15" hidden="false" customHeight="false" outlineLevel="0" collapsed="false">
      <c r="A434" s="44" t="str">
        <f aca="false">IF($B434="","",COUNTA($B$2:$B434))</f>
        <v/>
      </c>
      <c r="B434" s="11"/>
      <c r="C434" s="11"/>
      <c r="D434" s="11"/>
      <c r="E434" s="11"/>
      <c r="F434" s="11"/>
      <c r="G434" s="34"/>
      <c r="H434" s="25"/>
      <c r="I434" s="40"/>
      <c r="J434" s="34"/>
      <c r="K434" s="45"/>
      <c r="L434" s="34"/>
      <c r="M434" s="34"/>
      <c r="N434" s="11"/>
      <c r="O434" s="11"/>
      <c r="P434" s="11"/>
      <c r="Q434" s="11"/>
      <c r="R434" s="11"/>
      <c r="S434" s="46"/>
      <c r="T434" s="44" t="str">
        <f aca="false">IF($B434="","",COUNTA($N434:$R434)-COUNTIF($N434:$R434,"Not Invited"))</f>
        <v/>
      </c>
      <c r="U434" s="44" t="str">
        <f aca="false">IF($B434="","",COUNTIF($N434:$R434,"Attended"))</f>
        <v/>
      </c>
      <c r="V434" s="47" t="str">
        <f aca="false">IF($B434="","",_xlfn.TEXTJOIN(", ",TRUE(),IF($N434="Attended",Setup!$D$15,""),IF($O434="Attended",Setup!$D$16,""),IF($P434="Attended",Setup!$D$17,""),IF($Q434="Attended",Setup!$D$18,""),IF($R434="Attended",Setup!$D$19,"")))</f>
        <v/>
      </c>
      <c r="W434" s="48" t="str">
        <f aca="true">IF(OR($B434="",NOT(ISNUMBER($H434))),"",TODAY()-$H434)</f>
        <v/>
      </c>
      <c r="X434" s="47" t="str">
        <f aca="false">IF($B434="","",IF($U434&gt;0,"Event attendee",IF($G434="Yes","Met (no event)",IF($T434&gt;0,"Invited only",IF(OR($L434="Yes",$M434="Yes"),"Contacted only","Not yet contacted")))))</f>
        <v/>
      </c>
      <c r="Y434" s="47" t="str">
        <f aca="false">IF($B434="","",COUNTIF(c_Firm,"&lt;"&amp;$D434)+COUNTIFS(c_Firm,$D434,c_Name,"&lt;"&amp;$B434)+COUNTIFS($D$2:$D434,$D434,$B$2:$B434,$B434))</f>
        <v/>
      </c>
      <c r="Z434" s="47" t="str">
        <f aca="false">IF($B434="","",IF(AND(OR(Contacts!$C$3="(All)",$D434=Contacts!$C$3),OR(Contacts!$E$3="(All)",$G434=Contacts!$E$3),OR(Contacts!$G$3="(All)",ISNUMBER(SEARCH(Contacts!$G$3,$V434))),OR(Contacts!$I$3="(All)",$X434=Contacts!$I$3),OR(Contacts!$K$3="",ISNUMBER(SEARCH(Contacts!$K$3,$B434&amp;" "&amp;$C434&amp;" "&amp;$D434&amp;" "&amp;$S434)))),1,0))</f>
        <v/>
      </c>
      <c r="AA434" s="47" t="str">
        <f aca="false">IF($Z434=1,COUNTIFS(c_Pass,1,c_Sort,"&lt;="&amp;$Y434),"")</f>
        <v/>
      </c>
      <c r="AB434" s="47" t="str">
        <f aca="false">IF(OR($G434&lt;&gt;"Yes",NOT(ISNUMBER($H434))),"",COUNTIFS(c_Met,"Yes",c_Date,"&lt;"&amp;$H434)+COUNTIFS($G$2:$G434,"Yes",$H$2:$H434,$H434))</f>
        <v/>
      </c>
    </row>
    <row r="435" customFormat="false" ht="15" hidden="false" customHeight="false" outlineLevel="0" collapsed="false">
      <c r="A435" s="44" t="str">
        <f aca="false">IF($B435="","",COUNTA($B$2:$B435))</f>
        <v/>
      </c>
      <c r="B435" s="11"/>
      <c r="C435" s="11"/>
      <c r="D435" s="11"/>
      <c r="E435" s="11"/>
      <c r="F435" s="11"/>
      <c r="G435" s="34"/>
      <c r="H435" s="25"/>
      <c r="I435" s="40"/>
      <c r="J435" s="34"/>
      <c r="K435" s="45"/>
      <c r="L435" s="34"/>
      <c r="M435" s="34"/>
      <c r="N435" s="11"/>
      <c r="O435" s="11"/>
      <c r="P435" s="11"/>
      <c r="Q435" s="11"/>
      <c r="R435" s="11"/>
      <c r="S435" s="46"/>
      <c r="T435" s="44" t="str">
        <f aca="false">IF($B435="","",COUNTA($N435:$R435)-COUNTIF($N435:$R435,"Not Invited"))</f>
        <v/>
      </c>
      <c r="U435" s="44" t="str">
        <f aca="false">IF($B435="","",COUNTIF($N435:$R435,"Attended"))</f>
        <v/>
      </c>
      <c r="V435" s="47" t="str">
        <f aca="false">IF($B435="","",_xlfn.TEXTJOIN(", ",TRUE(),IF($N435="Attended",Setup!$D$15,""),IF($O435="Attended",Setup!$D$16,""),IF($P435="Attended",Setup!$D$17,""),IF($Q435="Attended",Setup!$D$18,""),IF($R435="Attended",Setup!$D$19,"")))</f>
        <v/>
      </c>
      <c r="W435" s="48" t="str">
        <f aca="true">IF(OR($B435="",NOT(ISNUMBER($H435))),"",TODAY()-$H435)</f>
        <v/>
      </c>
      <c r="X435" s="47" t="str">
        <f aca="false">IF($B435="","",IF($U435&gt;0,"Event attendee",IF($G435="Yes","Met (no event)",IF($T435&gt;0,"Invited only",IF(OR($L435="Yes",$M435="Yes"),"Contacted only","Not yet contacted")))))</f>
        <v/>
      </c>
      <c r="Y435" s="47" t="str">
        <f aca="false">IF($B435="","",COUNTIF(c_Firm,"&lt;"&amp;$D435)+COUNTIFS(c_Firm,$D435,c_Name,"&lt;"&amp;$B435)+COUNTIFS($D$2:$D435,$D435,$B$2:$B435,$B435))</f>
        <v/>
      </c>
      <c r="Z435" s="47" t="str">
        <f aca="false">IF($B435="","",IF(AND(OR(Contacts!$C$3="(All)",$D435=Contacts!$C$3),OR(Contacts!$E$3="(All)",$G435=Contacts!$E$3),OR(Contacts!$G$3="(All)",ISNUMBER(SEARCH(Contacts!$G$3,$V435))),OR(Contacts!$I$3="(All)",$X435=Contacts!$I$3),OR(Contacts!$K$3="",ISNUMBER(SEARCH(Contacts!$K$3,$B435&amp;" "&amp;$C435&amp;" "&amp;$D435&amp;" "&amp;$S435)))),1,0))</f>
        <v/>
      </c>
      <c r="AA435" s="47" t="str">
        <f aca="false">IF($Z435=1,COUNTIFS(c_Pass,1,c_Sort,"&lt;="&amp;$Y435),"")</f>
        <v/>
      </c>
      <c r="AB435" s="47" t="str">
        <f aca="false">IF(OR($G435&lt;&gt;"Yes",NOT(ISNUMBER($H435))),"",COUNTIFS(c_Met,"Yes",c_Date,"&lt;"&amp;$H435)+COUNTIFS($G$2:$G435,"Yes",$H$2:$H435,$H435))</f>
        <v/>
      </c>
    </row>
    <row r="436" customFormat="false" ht="15" hidden="false" customHeight="false" outlineLevel="0" collapsed="false">
      <c r="A436" s="44" t="str">
        <f aca="false">IF($B436="","",COUNTA($B$2:$B436))</f>
        <v/>
      </c>
      <c r="B436" s="11"/>
      <c r="C436" s="11"/>
      <c r="D436" s="11"/>
      <c r="E436" s="11"/>
      <c r="F436" s="11"/>
      <c r="G436" s="34"/>
      <c r="H436" s="25"/>
      <c r="I436" s="40"/>
      <c r="J436" s="34"/>
      <c r="K436" s="45"/>
      <c r="L436" s="34"/>
      <c r="M436" s="34"/>
      <c r="N436" s="11"/>
      <c r="O436" s="11"/>
      <c r="P436" s="11"/>
      <c r="Q436" s="11"/>
      <c r="R436" s="11"/>
      <c r="S436" s="46"/>
      <c r="T436" s="44" t="str">
        <f aca="false">IF($B436="","",COUNTA($N436:$R436)-COUNTIF($N436:$R436,"Not Invited"))</f>
        <v/>
      </c>
      <c r="U436" s="44" t="str">
        <f aca="false">IF($B436="","",COUNTIF($N436:$R436,"Attended"))</f>
        <v/>
      </c>
      <c r="V436" s="47" t="str">
        <f aca="false">IF($B436="","",_xlfn.TEXTJOIN(", ",TRUE(),IF($N436="Attended",Setup!$D$15,""),IF($O436="Attended",Setup!$D$16,""),IF($P436="Attended",Setup!$D$17,""),IF($Q436="Attended",Setup!$D$18,""),IF($R436="Attended",Setup!$D$19,"")))</f>
        <v/>
      </c>
      <c r="W436" s="48" t="str">
        <f aca="true">IF(OR($B436="",NOT(ISNUMBER($H436))),"",TODAY()-$H436)</f>
        <v/>
      </c>
      <c r="X436" s="47" t="str">
        <f aca="false">IF($B436="","",IF($U436&gt;0,"Event attendee",IF($G436="Yes","Met (no event)",IF($T436&gt;0,"Invited only",IF(OR($L436="Yes",$M436="Yes"),"Contacted only","Not yet contacted")))))</f>
        <v/>
      </c>
      <c r="Y436" s="47" t="str">
        <f aca="false">IF($B436="","",COUNTIF(c_Firm,"&lt;"&amp;$D436)+COUNTIFS(c_Firm,$D436,c_Name,"&lt;"&amp;$B436)+COUNTIFS($D$2:$D436,$D436,$B$2:$B436,$B436))</f>
        <v/>
      </c>
      <c r="Z436" s="47" t="str">
        <f aca="false">IF($B436="","",IF(AND(OR(Contacts!$C$3="(All)",$D436=Contacts!$C$3),OR(Contacts!$E$3="(All)",$G436=Contacts!$E$3),OR(Contacts!$G$3="(All)",ISNUMBER(SEARCH(Contacts!$G$3,$V436))),OR(Contacts!$I$3="(All)",$X436=Contacts!$I$3),OR(Contacts!$K$3="",ISNUMBER(SEARCH(Contacts!$K$3,$B436&amp;" "&amp;$C436&amp;" "&amp;$D436&amp;" "&amp;$S436)))),1,0))</f>
        <v/>
      </c>
      <c r="AA436" s="47" t="str">
        <f aca="false">IF($Z436=1,COUNTIFS(c_Pass,1,c_Sort,"&lt;="&amp;$Y436),"")</f>
        <v/>
      </c>
      <c r="AB436" s="47" t="str">
        <f aca="false">IF(OR($G436&lt;&gt;"Yes",NOT(ISNUMBER($H436))),"",COUNTIFS(c_Met,"Yes",c_Date,"&lt;"&amp;$H436)+COUNTIFS($G$2:$G436,"Yes",$H$2:$H436,$H436))</f>
        <v/>
      </c>
    </row>
    <row r="437" customFormat="false" ht="15" hidden="false" customHeight="false" outlineLevel="0" collapsed="false">
      <c r="A437" s="44" t="str">
        <f aca="false">IF($B437="","",COUNTA($B$2:$B437))</f>
        <v/>
      </c>
      <c r="B437" s="11"/>
      <c r="C437" s="11"/>
      <c r="D437" s="11"/>
      <c r="E437" s="11"/>
      <c r="F437" s="11"/>
      <c r="G437" s="34"/>
      <c r="H437" s="25"/>
      <c r="I437" s="40"/>
      <c r="J437" s="34"/>
      <c r="K437" s="45"/>
      <c r="L437" s="34"/>
      <c r="M437" s="34"/>
      <c r="N437" s="11"/>
      <c r="O437" s="11"/>
      <c r="P437" s="11"/>
      <c r="Q437" s="11"/>
      <c r="R437" s="11"/>
      <c r="S437" s="46"/>
      <c r="T437" s="44" t="str">
        <f aca="false">IF($B437="","",COUNTA($N437:$R437)-COUNTIF($N437:$R437,"Not Invited"))</f>
        <v/>
      </c>
      <c r="U437" s="44" t="str">
        <f aca="false">IF($B437="","",COUNTIF($N437:$R437,"Attended"))</f>
        <v/>
      </c>
      <c r="V437" s="47" t="str">
        <f aca="false">IF($B437="","",_xlfn.TEXTJOIN(", ",TRUE(),IF($N437="Attended",Setup!$D$15,""),IF($O437="Attended",Setup!$D$16,""),IF($P437="Attended",Setup!$D$17,""),IF($Q437="Attended",Setup!$D$18,""),IF($R437="Attended",Setup!$D$19,"")))</f>
        <v/>
      </c>
      <c r="W437" s="48" t="str">
        <f aca="true">IF(OR($B437="",NOT(ISNUMBER($H437))),"",TODAY()-$H437)</f>
        <v/>
      </c>
      <c r="X437" s="47" t="str">
        <f aca="false">IF($B437="","",IF($U437&gt;0,"Event attendee",IF($G437="Yes","Met (no event)",IF($T437&gt;0,"Invited only",IF(OR($L437="Yes",$M437="Yes"),"Contacted only","Not yet contacted")))))</f>
        <v/>
      </c>
      <c r="Y437" s="47" t="str">
        <f aca="false">IF($B437="","",COUNTIF(c_Firm,"&lt;"&amp;$D437)+COUNTIFS(c_Firm,$D437,c_Name,"&lt;"&amp;$B437)+COUNTIFS($D$2:$D437,$D437,$B$2:$B437,$B437))</f>
        <v/>
      </c>
      <c r="Z437" s="47" t="str">
        <f aca="false">IF($B437="","",IF(AND(OR(Contacts!$C$3="(All)",$D437=Contacts!$C$3),OR(Contacts!$E$3="(All)",$G437=Contacts!$E$3),OR(Contacts!$G$3="(All)",ISNUMBER(SEARCH(Contacts!$G$3,$V437))),OR(Contacts!$I$3="(All)",$X437=Contacts!$I$3),OR(Contacts!$K$3="",ISNUMBER(SEARCH(Contacts!$K$3,$B437&amp;" "&amp;$C437&amp;" "&amp;$D437&amp;" "&amp;$S437)))),1,0))</f>
        <v/>
      </c>
      <c r="AA437" s="47" t="str">
        <f aca="false">IF($Z437=1,COUNTIFS(c_Pass,1,c_Sort,"&lt;="&amp;$Y437),"")</f>
        <v/>
      </c>
      <c r="AB437" s="47" t="str">
        <f aca="false">IF(OR($G437&lt;&gt;"Yes",NOT(ISNUMBER($H437))),"",COUNTIFS(c_Met,"Yes",c_Date,"&lt;"&amp;$H437)+COUNTIFS($G$2:$G437,"Yes",$H$2:$H437,$H437))</f>
        <v/>
      </c>
    </row>
    <row r="438" customFormat="false" ht="15" hidden="false" customHeight="false" outlineLevel="0" collapsed="false">
      <c r="A438" s="44" t="str">
        <f aca="false">IF($B438="","",COUNTA($B$2:$B438))</f>
        <v/>
      </c>
      <c r="B438" s="11"/>
      <c r="C438" s="11"/>
      <c r="D438" s="11"/>
      <c r="E438" s="11"/>
      <c r="F438" s="11"/>
      <c r="G438" s="34"/>
      <c r="H438" s="25"/>
      <c r="I438" s="40"/>
      <c r="J438" s="34"/>
      <c r="K438" s="45"/>
      <c r="L438" s="34"/>
      <c r="M438" s="34"/>
      <c r="N438" s="11"/>
      <c r="O438" s="11"/>
      <c r="P438" s="11"/>
      <c r="Q438" s="11"/>
      <c r="R438" s="11"/>
      <c r="S438" s="46"/>
      <c r="T438" s="44" t="str">
        <f aca="false">IF($B438="","",COUNTA($N438:$R438)-COUNTIF($N438:$R438,"Not Invited"))</f>
        <v/>
      </c>
      <c r="U438" s="44" t="str">
        <f aca="false">IF($B438="","",COUNTIF($N438:$R438,"Attended"))</f>
        <v/>
      </c>
      <c r="V438" s="47" t="str">
        <f aca="false">IF($B438="","",_xlfn.TEXTJOIN(", ",TRUE(),IF($N438="Attended",Setup!$D$15,""),IF($O438="Attended",Setup!$D$16,""),IF($P438="Attended",Setup!$D$17,""),IF($Q438="Attended",Setup!$D$18,""),IF($R438="Attended",Setup!$D$19,"")))</f>
        <v/>
      </c>
      <c r="W438" s="48" t="str">
        <f aca="true">IF(OR($B438="",NOT(ISNUMBER($H438))),"",TODAY()-$H438)</f>
        <v/>
      </c>
      <c r="X438" s="47" t="str">
        <f aca="false">IF($B438="","",IF($U438&gt;0,"Event attendee",IF($G438="Yes","Met (no event)",IF($T438&gt;0,"Invited only",IF(OR($L438="Yes",$M438="Yes"),"Contacted only","Not yet contacted")))))</f>
        <v/>
      </c>
      <c r="Y438" s="47" t="str">
        <f aca="false">IF($B438="","",COUNTIF(c_Firm,"&lt;"&amp;$D438)+COUNTIFS(c_Firm,$D438,c_Name,"&lt;"&amp;$B438)+COUNTIFS($D$2:$D438,$D438,$B$2:$B438,$B438))</f>
        <v/>
      </c>
      <c r="Z438" s="47" t="str">
        <f aca="false">IF($B438="","",IF(AND(OR(Contacts!$C$3="(All)",$D438=Contacts!$C$3),OR(Contacts!$E$3="(All)",$G438=Contacts!$E$3),OR(Contacts!$G$3="(All)",ISNUMBER(SEARCH(Contacts!$G$3,$V438))),OR(Contacts!$I$3="(All)",$X438=Contacts!$I$3),OR(Contacts!$K$3="",ISNUMBER(SEARCH(Contacts!$K$3,$B438&amp;" "&amp;$C438&amp;" "&amp;$D438&amp;" "&amp;$S438)))),1,0))</f>
        <v/>
      </c>
      <c r="AA438" s="47" t="str">
        <f aca="false">IF($Z438=1,COUNTIFS(c_Pass,1,c_Sort,"&lt;="&amp;$Y438),"")</f>
        <v/>
      </c>
      <c r="AB438" s="47" t="str">
        <f aca="false">IF(OR($G438&lt;&gt;"Yes",NOT(ISNUMBER($H438))),"",COUNTIFS(c_Met,"Yes",c_Date,"&lt;"&amp;$H438)+COUNTIFS($G$2:$G438,"Yes",$H$2:$H438,$H438))</f>
        <v/>
      </c>
    </row>
    <row r="439" customFormat="false" ht="15" hidden="false" customHeight="false" outlineLevel="0" collapsed="false">
      <c r="A439" s="44" t="str">
        <f aca="false">IF($B439="","",COUNTA($B$2:$B439))</f>
        <v/>
      </c>
      <c r="B439" s="11"/>
      <c r="C439" s="11"/>
      <c r="D439" s="11"/>
      <c r="E439" s="11"/>
      <c r="F439" s="11"/>
      <c r="G439" s="34"/>
      <c r="H439" s="25"/>
      <c r="I439" s="40"/>
      <c r="J439" s="34"/>
      <c r="K439" s="45"/>
      <c r="L439" s="34"/>
      <c r="M439" s="34"/>
      <c r="N439" s="11"/>
      <c r="O439" s="11"/>
      <c r="P439" s="11"/>
      <c r="Q439" s="11"/>
      <c r="R439" s="11"/>
      <c r="S439" s="46"/>
      <c r="T439" s="44" t="str">
        <f aca="false">IF($B439="","",COUNTA($N439:$R439)-COUNTIF($N439:$R439,"Not Invited"))</f>
        <v/>
      </c>
      <c r="U439" s="44" t="str">
        <f aca="false">IF($B439="","",COUNTIF($N439:$R439,"Attended"))</f>
        <v/>
      </c>
      <c r="V439" s="47" t="str">
        <f aca="false">IF($B439="","",_xlfn.TEXTJOIN(", ",TRUE(),IF($N439="Attended",Setup!$D$15,""),IF($O439="Attended",Setup!$D$16,""),IF($P439="Attended",Setup!$D$17,""),IF($Q439="Attended",Setup!$D$18,""),IF($R439="Attended",Setup!$D$19,"")))</f>
        <v/>
      </c>
      <c r="W439" s="48" t="str">
        <f aca="true">IF(OR($B439="",NOT(ISNUMBER($H439))),"",TODAY()-$H439)</f>
        <v/>
      </c>
      <c r="X439" s="47" t="str">
        <f aca="false">IF($B439="","",IF($U439&gt;0,"Event attendee",IF($G439="Yes","Met (no event)",IF($T439&gt;0,"Invited only",IF(OR($L439="Yes",$M439="Yes"),"Contacted only","Not yet contacted")))))</f>
        <v/>
      </c>
      <c r="Y439" s="47" t="str">
        <f aca="false">IF($B439="","",COUNTIF(c_Firm,"&lt;"&amp;$D439)+COUNTIFS(c_Firm,$D439,c_Name,"&lt;"&amp;$B439)+COUNTIFS($D$2:$D439,$D439,$B$2:$B439,$B439))</f>
        <v/>
      </c>
      <c r="Z439" s="47" t="str">
        <f aca="false">IF($B439="","",IF(AND(OR(Contacts!$C$3="(All)",$D439=Contacts!$C$3),OR(Contacts!$E$3="(All)",$G439=Contacts!$E$3),OR(Contacts!$G$3="(All)",ISNUMBER(SEARCH(Contacts!$G$3,$V439))),OR(Contacts!$I$3="(All)",$X439=Contacts!$I$3),OR(Contacts!$K$3="",ISNUMBER(SEARCH(Contacts!$K$3,$B439&amp;" "&amp;$C439&amp;" "&amp;$D439&amp;" "&amp;$S439)))),1,0))</f>
        <v/>
      </c>
      <c r="AA439" s="47" t="str">
        <f aca="false">IF($Z439=1,COUNTIFS(c_Pass,1,c_Sort,"&lt;="&amp;$Y439),"")</f>
        <v/>
      </c>
      <c r="AB439" s="47" t="str">
        <f aca="false">IF(OR($G439&lt;&gt;"Yes",NOT(ISNUMBER($H439))),"",COUNTIFS(c_Met,"Yes",c_Date,"&lt;"&amp;$H439)+COUNTIFS($G$2:$G439,"Yes",$H$2:$H439,$H439))</f>
        <v/>
      </c>
    </row>
    <row r="440" customFormat="false" ht="15" hidden="false" customHeight="false" outlineLevel="0" collapsed="false">
      <c r="A440" s="44" t="str">
        <f aca="false">IF($B440="","",COUNTA($B$2:$B440))</f>
        <v/>
      </c>
      <c r="B440" s="11"/>
      <c r="C440" s="11"/>
      <c r="D440" s="11"/>
      <c r="E440" s="11"/>
      <c r="F440" s="11"/>
      <c r="G440" s="34"/>
      <c r="H440" s="25"/>
      <c r="I440" s="40"/>
      <c r="J440" s="34"/>
      <c r="K440" s="45"/>
      <c r="L440" s="34"/>
      <c r="M440" s="34"/>
      <c r="N440" s="11"/>
      <c r="O440" s="11"/>
      <c r="P440" s="11"/>
      <c r="Q440" s="11"/>
      <c r="R440" s="11"/>
      <c r="S440" s="46"/>
      <c r="T440" s="44" t="str">
        <f aca="false">IF($B440="","",COUNTA($N440:$R440)-COUNTIF($N440:$R440,"Not Invited"))</f>
        <v/>
      </c>
      <c r="U440" s="44" t="str">
        <f aca="false">IF($B440="","",COUNTIF($N440:$R440,"Attended"))</f>
        <v/>
      </c>
      <c r="V440" s="47" t="str">
        <f aca="false">IF($B440="","",_xlfn.TEXTJOIN(", ",TRUE(),IF($N440="Attended",Setup!$D$15,""),IF($O440="Attended",Setup!$D$16,""),IF($P440="Attended",Setup!$D$17,""),IF($Q440="Attended",Setup!$D$18,""),IF($R440="Attended",Setup!$D$19,"")))</f>
        <v/>
      </c>
      <c r="W440" s="48" t="str">
        <f aca="true">IF(OR($B440="",NOT(ISNUMBER($H440))),"",TODAY()-$H440)</f>
        <v/>
      </c>
      <c r="X440" s="47" t="str">
        <f aca="false">IF($B440="","",IF($U440&gt;0,"Event attendee",IF($G440="Yes","Met (no event)",IF($T440&gt;0,"Invited only",IF(OR($L440="Yes",$M440="Yes"),"Contacted only","Not yet contacted")))))</f>
        <v/>
      </c>
      <c r="Y440" s="47" t="str">
        <f aca="false">IF($B440="","",COUNTIF(c_Firm,"&lt;"&amp;$D440)+COUNTIFS(c_Firm,$D440,c_Name,"&lt;"&amp;$B440)+COUNTIFS($D$2:$D440,$D440,$B$2:$B440,$B440))</f>
        <v/>
      </c>
      <c r="Z440" s="47" t="str">
        <f aca="false">IF($B440="","",IF(AND(OR(Contacts!$C$3="(All)",$D440=Contacts!$C$3),OR(Contacts!$E$3="(All)",$G440=Contacts!$E$3),OR(Contacts!$G$3="(All)",ISNUMBER(SEARCH(Contacts!$G$3,$V440))),OR(Contacts!$I$3="(All)",$X440=Contacts!$I$3),OR(Contacts!$K$3="",ISNUMBER(SEARCH(Contacts!$K$3,$B440&amp;" "&amp;$C440&amp;" "&amp;$D440&amp;" "&amp;$S440)))),1,0))</f>
        <v/>
      </c>
      <c r="AA440" s="47" t="str">
        <f aca="false">IF($Z440=1,COUNTIFS(c_Pass,1,c_Sort,"&lt;="&amp;$Y440),"")</f>
        <v/>
      </c>
      <c r="AB440" s="47" t="str">
        <f aca="false">IF(OR($G440&lt;&gt;"Yes",NOT(ISNUMBER($H440))),"",COUNTIFS(c_Met,"Yes",c_Date,"&lt;"&amp;$H440)+COUNTIFS($G$2:$G440,"Yes",$H$2:$H440,$H440))</f>
        <v/>
      </c>
    </row>
    <row r="441" customFormat="false" ht="15" hidden="false" customHeight="false" outlineLevel="0" collapsed="false">
      <c r="A441" s="44" t="str">
        <f aca="false">IF($B441="","",COUNTA($B$2:$B441))</f>
        <v/>
      </c>
      <c r="B441" s="11"/>
      <c r="C441" s="11"/>
      <c r="D441" s="11"/>
      <c r="E441" s="11"/>
      <c r="F441" s="11"/>
      <c r="G441" s="34"/>
      <c r="H441" s="25"/>
      <c r="I441" s="40"/>
      <c r="J441" s="34"/>
      <c r="K441" s="45"/>
      <c r="L441" s="34"/>
      <c r="M441" s="34"/>
      <c r="N441" s="11"/>
      <c r="O441" s="11"/>
      <c r="P441" s="11"/>
      <c r="Q441" s="11"/>
      <c r="R441" s="11"/>
      <c r="S441" s="46"/>
      <c r="T441" s="44" t="str">
        <f aca="false">IF($B441="","",COUNTA($N441:$R441)-COUNTIF($N441:$R441,"Not Invited"))</f>
        <v/>
      </c>
      <c r="U441" s="44" t="str">
        <f aca="false">IF($B441="","",COUNTIF($N441:$R441,"Attended"))</f>
        <v/>
      </c>
      <c r="V441" s="47" t="str">
        <f aca="false">IF($B441="","",_xlfn.TEXTJOIN(", ",TRUE(),IF($N441="Attended",Setup!$D$15,""),IF($O441="Attended",Setup!$D$16,""),IF($P441="Attended",Setup!$D$17,""),IF($Q441="Attended",Setup!$D$18,""),IF($R441="Attended",Setup!$D$19,"")))</f>
        <v/>
      </c>
      <c r="W441" s="48" t="str">
        <f aca="true">IF(OR($B441="",NOT(ISNUMBER($H441))),"",TODAY()-$H441)</f>
        <v/>
      </c>
      <c r="X441" s="47" t="str">
        <f aca="false">IF($B441="","",IF($U441&gt;0,"Event attendee",IF($G441="Yes","Met (no event)",IF($T441&gt;0,"Invited only",IF(OR($L441="Yes",$M441="Yes"),"Contacted only","Not yet contacted")))))</f>
        <v/>
      </c>
      <c r="Y441" s="47" t="str">
        <f aca="false">IF($B441="","",COUNTIF(c_Firm,"&lt;"&amp;$D441)+COUNTIFS(c_Firm,$D441,c_Name,"&lt;"&amp;$B441)+COUNTIFS($D$2:$D441,$D441,$B$2:$B441,$B441))</f>
        <v/>
      </c>
      <c r="Z441" s="47" t="str">
        <f aca="false">IF($B441="","",IF(AND(OR(Contacts!$C$3="(All)",$D441=Contacts!$C$3),OR(Contacts!$E$3="(All)",$G441=Contacts!$E$3),OR(Contacts!$G$3="(All)",ISNUMBER(SEARCH(Contacts!$G$3,$V441))),OR(Contacts!$I$3="(All)",$X441=Contacts!$I$3),OR(Contacts!$K$3="",ISNUMBER(SEARCH(Contacts!$K$3,$B441&amp;" "&amp;$C441&amp;" "&amp;$D441&amp;" "&amp;$S441)))),1,0))</f>
        <v/>
      </c>
      <c r="AA441" s="47" t="str">
        <f aca="false">IF($Z441=1,COUNTIFS(c_Pass,1,c_Sort,"&lt;="&amp;$Y441),"")</f>
        <v/>
      </c>
      <c r="AB441" s="47" t="str">
        <f aca="false">IF(OR($G441&lt;&gt;"Yes",NOT(ISNUMBER($H441))),"",COUNTIFS(c_Met,"Yes",c_Date,"&lt;"&amp;$H441)+COUNTIFS($G$2:$G441,"Yes",$H$2:$H441,$H441))</f>
        <v/>
      </c>
    </row>
    <row r="442" customFormat="false" ht="15" hidden="false" customHeight="false" outlineLevel="0" collapsed="false">
      <c r="A442" s="44" t="str">
        <f aca="false">IF($B442="","",COUNTA($B$2:$B442))</f>
        <v/>
      </c>
      <c r="B442" s="11"/>
      <c r="C442" s="11"/>
      <c r="D442" s="11"/>
      <c r="E442" s="11"/>
      <c r="F442" s="11"/>
      <c r="G442" s="34"/>
      <c r="H442" s="25"/>
      <c r="I442" s="40"/>
      <c r="J442" s="34"/>
      <c r="K442" s="45"/>
      <c r="L442" s="34"/>
      <c r="M442" s="34"/>
      <c r="N442" s="11"/>
      <c r="O442" s="11"/>
      <c r="P442" s="11"/>
      <c r="Q442" s="11"/>
      <c r="R442" s="11"/>
      <c r="S442" s="46"/>
      <c r="T442" s="44" t="str">
        <f aca="false">IF($B442="","",COUNTA($N442:$R442)-COUNTIF($N442:$R442,"Not Invited"))</f>
        <v/>
      </c>
      <c r="U442" s="44" t="str">
        <f aca="false">IF($B442="","",COUNTIF($N442:$R442,"Attended"))</f>
        <v/>
      </c>
      <c r="V442" s="47" t="str">
        <f aca="false">IF($B442="","",_xlfn.TEXTJOIN(", ",TRUE(),IF($N442="Attended",Setup!$D$15,""),IF($O442="Attended",Setup!$D$16,""),IF($P442="Attended",Setup!$D$17,""),IF($Q442="Attended",Setup!$D$18,""),IF($R442="Attended",Setup!$D$19,"")))</f>
        <v/>
      </c>
      <c r="W442" s="48" t="str">
        <f aca="true">IF(OR($B442="",NOT(ISNUMBER($H442))),"",TODAY()-$H442)</f>
        <v/>
      </c>
      <c r="X442" s="47" t="str">
        <f aca="false">IF($B442="","",IF($U442&gt;0,"Event attendee",IF($G442="Yes","Met (no event)",IF($T442&gt;0,"Invited only",IF(OR($L442="Yes",$M442="Yes"),"Contacted only","Not yet contacted")))))</f>
        <v/>
      </c>
      <c r="Y442" s="47" t="str">
        <f aca="false">IF($B442="","",COUNTIF(c_Firm,"&lt;"&amp;$D442)+COUNTIFS(c_Firm,$D442,c_Name,"&lt;"&amp;$B442)+COUNTIFS($D$2:$D442,$D442,$B$2:$B442,$B442))</f>
        <v/>
      </c>
      <c r="Z442" s="47" t="str">
        <f aca="false">IF($B442="","",IF(AND(OR(Contacts!$C$3="(All)",$D442=Contacts!$C$3),OR(Contacts!$E$3="(All)",$G442=Contacts!$E$3),OR(Contacts!$G$3="(All)",ISNUMBER(SEARCH(Contacts!$G$3,$V442))),OR(Contacts!$I$3="(All)",$X442=Contacts!$I$3),OR(Contacts!$K$3="",ISNUMBER(SEARCH(Contacts!$K$3,$B442&amp;" "&amp;$C442&amp;" "&amp;$D442&amp;" "&amp;$S442)))),1,0))</f>
        <v/>
      </c>
      <c r="AA442" s="47" t="str">
        <f aca="false">IF($Z442=1,COUNTIFS(c_Pass,1,c_Sort,"&lt;="&amp;$Y442),"")</f>
        <v/>
      </c>
      <c r="AB442" s="47" t="str">
        <f aca="false">IF(OR($G442&lt;&gt;"Yes",NOT(ISNUMBER($H442))),"",COUNTIFS(c_Met,"Yes",c_Date,"&lt;"&amp;$H442)+COUNTIFS($G$2:$G442,"Yes",$H$2:$H442,$H442))</f>
        <v/>
      </c>
    </row>
    <row r="443" customFormat="false" ht="15" hidden="false" customHeight="false" outlineLevel="0" collapsed="false">
      <c r="A443" s="44" t="str">
        <f aca="false">IF($B443="","",COUNTA($B$2:$B443))</f>
        <v/>
      </c>
      <c r="B443" s="11"/>
      <c r="C443" s="11"/>
      <c r="D443" s="11"/>
      <c r="E443" s="11"/>
      <c r="F443" s="11"/>
      <c r="G443" s="34"/>
      <c r="H443" s="25"/>
      <c r="I443" s="40"/>
      <c r="J443" s="34"/>
      <c r="K443" s="45"/>
      <c r="L443" s="34"/>
      <c r="M443" s="34"/>
      <c r="N443" s="11"/>
      <c r="O443" s="11"/>
      <c r="P443" s="11"/>
      <c r="Q443" s="11"/>
      <c r="R443" s="11"/>
      <c r="S443" s="46"/>
      <c r="T443" s="44" t="str">
        <f aca="false">IF($B443="","",COUNTA($N443:$R443)-COUNTIF($N443:$R443,"Not Invited"))</f>
        <v/>
      </c>
      <c r="U443" s="44" t="str">
        <f aca="false">IF($B443="","",COUNTIF($N443:$R443,"Attended"))</f>
        <v/>
      </c>
      <c r="V443" s="47" t="str">
        <f aca="false">IF($B443="","",_xlfn.TEXTJOIN(", ",TRUE(),IF($N443="Attended",Setup!$D$15,""),IF($O443="Attended",Setup!$D$16,""),IF($P443="Attended",Setup!$D$17,""),IF($Q443="Attended",Setup!$D$18,""),IF($R443="Attended",Setup!$D$19,"")))</f>
        <v/>
      </c>
      <c r="W443" s="48" t="str">
        <f aca="true">IF(OR($B443="",NOT(ISNUMBER($H443))),"",TODAY()-$H443)</f>
        <v/>
      </c>
      <c r="X443" s="47" t="str">
        <f aca="false">IF($B443="","",IF($U443&gt;0,"Event attendee",IF($G443="Yes","Met (no event)",IF($T443&gt;0,"Invited only",IF(OR($L443="Yes",$M443="Yes"),"Contacted only","Not yet contacted")))))</f>
        <v/>
      </c>
      <c r="Y443" s="47" t="str">
        <f aca="false">IF($B443="","",COUNTIF(c_Firm,"&lt;"&amp;$D443)+COUNTIFS(c_Firm,$D443,c_Name,"&lt;"&amp;$B443)+COUNTIFS($D$2:$D443,$D443,$B$2:$B443,$B443))</f>
        <v/>
      </c>
      <c r="Z443" s="47" t="str">
        <f aca="false">IF($B443="","",IF(AND(OR(Contacts!$C$3="(All)",$D443=Contacts!$C$3),OR(Contacts!$E$3="(All)",$G443=Contacts!$E$3),OR(Contacts!$G$3="(All)",ISNUMBER(SEARCH(Contacts!$G$3,$V443))),OR(Contacts!$I$3="(All)",$X443=Contacts!$I$3),OR(Contacts!$K$3="",ISNUMBER(SEARCH(Contacts!$K$3,$B443&amp;" "&amp;$C443&amp;" "&amp;$D443&amp;" "&amp;$S443)))),1,0))</f>
        <v/>
      </c>
      <c r="AA443" s="47" t="str">
        <f aca="false">IF($Z443=1,COUNTIFS(c_Pass,1,c_Sort,"&lt;="&amp;$Y443),"")</f>
        <v/>
      </c>
      <c r="AB443" s="47" t="str">
        <f aca="false">IF(OR($G443&lt;&gt;"Yes",NOT(ISNUMBER($H443))),"",COUNTIFS(c_Met,"Yes",c_Date,"&lt;"&amp;$H443)+COUNTIFS($G$2:$G443,"Yes",$H$2:$H443,$H443))</f>
        <v/>
      </c>
    </row>
    <row r="444" customFormat="false" ht="15" hidden="false" customHeight="false" outlineLevel="0" collapsed="false">
      <c r="A444" s="44" t="str">
        <f aca="false">IF($B444="","",COUNTA($B$2:$B444))</f>
        <v/>
      </c>
      <c r="B444" s="11"/>
      <c r="C444" s="11"/>
      <c r="D444" s="11"/>
      <c r="E444" s="11"/>
      <c r="F444" s="11"/>
      <c r="G444" s="34"/>
      <c r="H444" s="25"/>
      <c r="I444" s="40"/>
      <c r="J444" s="34"/>
      <c r="K444" s="45"/>
      <c r="L444" s="34"/>
      <c r="M444" s="34"/>
      <c r="N444" s="11"/>
      <c r="O444" s="11"/>
      <c r="P444" s="11"/>
      <c r="Q444" s="11"/>
      <c r="R444" s="11"/>
      <c r="S444" s="46"/>
      <c r="T444" s="44" t="str">
        <f aca="false">IF($B444="","",COUNTA($N444:$R444)-COUNTIF($N444:$R444,"Not Invited"))</f>
        <v/>
      </c>
      <c r="U444" s="44" t="str">
        <f aca="false">IF($B444="","",COUNTIF($N444:$R444,"Attended"))</f>
        <v/>
      </c>
      <c r="V444" s="47" t="str">
        <f aca="false">IF($B444="","",_xlfn.TEXTJOIN(", ",TRUE(),IF($N444="Attended",Setup!$D$15,""),IF($O444="Attended",Setup!$D$16,""),IF($P444="Attended",Setup!$D$17,""),IF($Q444="Attended",Setup!$D$18,""),IF($R444="Attended",Setup!$D$19,"")))</f>
        <v/>
      </c>
      <c r="W444" s="48" t="str">
        <f aca="true">IF(OR($B444="",NOT(ISNUMBER($H444))),"",TODAY()-$H444)</f>
        <v/>
      </c>
      <c r="X444" s="47" t="str">
        <f aca="false">IF($B444="","",IF($U444&gt;0,"Event attendee",IF($G444="Yes","Met (no event)",IF($T444&gt;0,"Invited only",IF(OR($L444="Yes",$M444="Yes"),"Contacted only","Not yet contacted")))))</f>
        <v/>
      </c>
      <c r="Y444" s="47" t="str">
        <f aca="false">IF($B444="","",COUNTIF(c_Firm,"&lt;"&amp;$D444)+COUNTIFS(c_Firm,$D444,c_Name,"&lt;"&amp;$B444)+COUNTIFS($D$2:$D444,$D444,$B$2:$B444,$B444))</f>
        <v/>
      </c>
      <c r="Z444" s="47" t="str">
        <f aca="false">IF($B444="","",IF(AND(OR(Contacts!$C$3="(All)",$D444=Contacts!$C$3),OR(Contacts!$E$3="(All)",$G444=Contacts!$E$3),OR(Contacts!$G$3="(All)",ISNUMBER(SEARCH(Contacts!$G$3,$V444))),OR(Contacts!$I$3="(All)",$X444=Contacts!$I$3),OR(Contacts!$K$3="",ISNUMBER(SEARCH(Contacts!$K$3,$B444&amp;" "&amp;$C444&amp;" "&amp;$D444&amp;" "&amp;$S444)))),1,0))</f>
        <v/>
      </c>
      <c r="AA444" s="47" t="str">
        <f aca="false">IF($Z444=1,COUNTIFS(c_Pass,1,c_Sort,"&lt;="&amp;$Y444),"")</f>
        <v/>
      </c>
      <c r="AB444" s="47" t="str">
        <f aca="false">IF(OR($G444&lt;&gt;"Yes",NOT(ISNUMBER($H444))),"",COUNTIFS(c_Met,"Yes",c_Date,"&lt;"&amp;$H444)+COUNTIFS($G$2:$G444,"Yes",$H$2:$H444,$H444))</f>
        <v/>
      </c>
    </row>
    <row r="445" customFormat="false" ht="15" hidden="false" customHeight="false" outlineLevel="0" collapsed="false">
      <c r="A445" s="44" t="str">
        <f aca="false">IF($B445="","",COUNTA($B$2:$B445))</f>
        <v/>
      </c>
      <c r="B445" s="11"/>
      <c r="C445" s="11"/>
      <c r="D445" s="11"/>
      <c r="E445" s="11"/>
      <c r="F445" s="11"/>
      <c r="G445" s="34"/>
      <c r="H445" s="25"/>
      <c r="I445" s="40"/>
      <c r="J445" s="34"/>
      <c r="K445" s="45"/>
      <c r="L445" s="34"/>
      <c r="M445" s="34"/>
      <c r="N445" s="11"/>
      <c r="O445" s="11"/>
      <c r="P445" s="11"/>
      <c r="Q445" s="11"/>
      <c r="R445" s="11"/>
      <c r="S445" s="46"/>
      <c r="T445" s="44" t="str">
        <f aca="false">IF($B445="","",COUNTA($N445:$R445)-COUNTIF($N445:$R445,"Not Invited"))</f>
        <v/>
      </c>
      <c r="U445" s="44" t="str">
        <f aca="false">IF($B445="","",COUNTIF($N445:$R445,"Attended"))</f>
        <v/>
      </c>
      <c r="V445" s="47" t="str">
        <f aca="false">IF($B445="","",_xlfn.TEXTJOIN(", ",TRUE(),IF($N445="Attended",Setup!$D$15,""),IF($O445="Attended",Setup!$D$16,""),IF($P445="Attended",Setup!$D$17,""),IF($Q445="Attended",Setup!$D$18,""),IF($R445="Attended",Setup!$D$19,"")))</f>
        <v/>
      </c>
      <c r="W445" s="48" t="str">
        <f aca="true">IF(OR($B445="",NOT(ISNUMBER($H445))),"",TODAY()-$H445)</f>
        <v/>
      </c>
      <c r="X445" s="47" t="str">
        <f aca="false">IF($B445="","",IF($U445&gt;0,"Event attendee",IF($G445="Yes","Met (no event)",IF($T445&gt;0,"Invited only",IF(OR($L445="Yes",$M445="Yes"),"Contacted only","Not yet contacted")))))</f>
        <v/>
      </c>
      <c r="Y445" s="47" t="str">
        <f aca="false">IF($B445="","",COUNTIF(c_Firm,"&lt;"&amp;$D445)+COUNTIFS(c_Firm,$D445,c_Name,"&lt;"&amp;$B445)+COUNTIFS($D$2:$D445,$D445,$B$2:$B445,$B445))</f>
        <v/>
      </c>
      <c r="Z445" s="47" t="str">
        <f aca="false">IF($B445="","",IF(AND(OR(Contacts!$C$3="(All)",$D445=Contacts!$C$3),OR(Contacts!$E$3="(All)",$G445=Contacts!$E$3),OR(Contacts!$G$3="(All)",ISNUMBER(SEARCH(Contacts!$G$3,$V445))),OR(Contacts!$I$3="(All)",$X445=Contacts!$I$3),OR(Contacts!$K$3="",ISNUMBER(SEARCH(Contacts!$K$3,$B445&amp;" "&amp;$C445&amp;" "&amp;$D445&amp;" "&amp;$S445)))),1,0))</f>
        <v/>
      </c>
      <c r="AA445" s="47" t="str">
        <f aca="false">IF($Z445=1,COUNTIFS(c_Pass,1,c_Sort,"&lt;="&amp;$Y445),"")</f>
        <v/>
      </c>
      <c r="AB445" s="47" t="str">
        <f aca="false">IF(OR($G445&lt;&gt;"Yes",NOT(ISNUMBER($H445))),"",COUNTIFS(c_Met,"Yes",c_Date,"&lt;"&amp;$H445)+COUNTIFS($G$2:$G445,"Yes",$H$2:$H445,$H445))</f>
        <v/>
      </c>
    </row>
    <row r="446" customFormat="false" ht="15" hidden="false" customHeight="false" outlineLevel="0" collapsed="false">
      <c r="A446" s="44" t="str">
        <f aca="false">IF($B446="","",COUNTA($B$2:$B446))</f>
        <v/>
      </c>
      <c r="B446" s="11"/>
      <c r="C446" s="11"/>
      <c r="D446" s="11"/>
      <c r="E446" s="11"/>
      <c r="F446" s="11"/>
      <c r="G446" s="34"/>
      <c r="H446" s="25"/>
      <c r="I446" s="40"/>
      <c r="J446" s="34"/>
      <c r="K446" s="45"/>
      <c r="L446" s="34"/>
      <c r="M446" s="34"/>
      <c r="N446" s="11"/>
      <c r="O446" s="11"/>
      <c r="P446" s="11"/>
      <c r="Q446" s="11"/>
      <c r="R446" s="11"/>
      <c r="S446" s="46"/>
      <c r="T446" s="44" t="str">
        <f aca="false">IF($B446="","",COUNTA($N446:$R446)-COUNTIF($N446:$R446,"Not Invited"))</f>
        <v/>
      </c>
      <c r="U446" s="44" t="str">
        <f aca="false">IF($B446="","",COUNTIF($N446:$R446,"Attended"))</f>
        <v/>
      </c>
      <c r="V446" s="47" t="str">
        <f aca="false">IF($B446="","",_xlfn.TEXTJOIN(", ",TRUE(),IF($N446="Attended",Setup!$D$15,""),IF($O446="Attended",Setup!$D$16,""),IF($P446="Attended",Setup!$D$17,""),IF($Q446="Attended",Setup!$D$18,""),IF($R446="Attended",Setup!$D$19,"")))</f>
        <v/>
      </c>
      <c r="W446" s="48" t="str">
        <f aca="true">IF(OR($B446="",NOT(ISNUMBER($H446))),"",TODAY()-$H446)</f>
        <v/>
      </c>
      <c r="X446" s="47" t="str">
        <f aca="false">IF($B446="","",IF($U446&gt;0,"Event attendee",IF($G446="Yes","Met (no event)",IF($T446&gt;0,"Invited only",IF(OR($L446="Yes",$M446="Yes"),"Contacted only","Not yet contacted")))))</f>
        <v/>
      </c>
      <c r="Y446" s="47" t="str">
        <f aca="false">IF($B446="","",COUNTIF(c_Firm,"&lt;"&amp;$D446)+COUNTIFS(c_Firm,$D446,c_Name,"&lt;"&amp;$B446)+COUNTIFS($D$2:$D446,$D446,$B$2:$B446,$B446))</f>
        <v/>
      </c>
      <c r="Z446" s="47" t="str">
        <f aca="false">IF($B446="","",IF(AND(OR(Contacts!$C$3="(All)",$D446=Contacts!$C$3),OR(Contacts!$E$3="(All)",$G446=Contacts!$E$3),OR(Contacts!$G$3="(All)",ISNUMBER(SEARCH(Contacts!$G$3,$V446))),OR(Contacts!$I$3="(All)",$X446=Contacts!$I$3),OR(Contacts!$K$3="",ISNUMBER(SEARCH(Contacts!$K$3,$B446&amp;" "&amp;$C446&amp;" "&amp;$D446&amp;" "&amp;$S446)))),1,0))</f>
        <v/>
      </c>
      <c r="AA446" s="47" t="str">
        <f aca="false">IF($Z446=1,COUNTIFS(c_Pass,1,c_Sort,"&lt;="&amp;$Y446),"")</f>
        <v/>
      </c>
      <c r="AB446" s="47" t="str">
        <f aca="false">IF(OR($G446&lt;&gt;"Yes",NOT(ISNUMBER($H446))),"",COUNTIFS(c_Met,"Yes",c_Date,"&lt;"&amp;$H446)+COUNTIFS($G$2:$G446,"Yes",$H$2:$H446,$H446))</f>
        <v/>
      </c>
    </row>
    <row r="447" customFormat="false" ht="15" hidden="false" customHeight="false" outlineLevel="0" collapsed="false">
      <c r="A447" s="44" t="str">
        <f aca="false">IF($B447="","",COUNTA($B$2:$B447))</f>
        <v/>
      </c>
      <c r="B447" s="11"/>
      <c r="C447" s="11"/>
      <c r="D447" s="11"/>
      <c r="E447" s="11"/>
      <c r="F447" s="11"/>
      <c r="G447" s="34"/>
      <c r="H447" s="25"/>
      <c r="I447" s="40"/>
      <c r="J447" s="34"/>
      <c r="K447" s="45"/>
      <c r="L447" s="34"/>
      <c r="M447" s="34"/>
      <c r="N447" s="11"/>
      <c r="O447" s="11"/>
      <c r="P447" s="11"/>
      <c r="Q447" s="11"/>
      <c r="R447" s="11"/>
      <c r="S447" s="46"/>
      <c r="T447" s="44" t="str">
        <f aca="false">IF($B447="","",COUNTA($N447:$R447)-COUNTIF($N447:$R447,"Not Invited"))</f>
        <v/>
      </c>
      <c r="U447" s="44" t="str">
        <f aca="false">IF($B447="","",COUNTIF($N447:$R447,"Attended"))</f>
        <v/>
      </c>
      <c r="V447" s="47" t="str">
        <f aca="false">IF($B447="","",_xlfn.TEXTJOIN(", ",TRUE(),IF($N447="Attended",Setup!$D$15,""),IF($O447="Attended",Setup!$D$16,""),IF($P447="Attended",Setup!$D$17,""),IF($Q447="Attended",Setup!$D$18,""),IF($R447="Attended",Setup!$D$19,"")))</f>
        <v/>
      </c>
      <c r="W447" s="48" t="str">
        <f aca="true">IF(OR($B447="",NOT(ISNUMBER($H447))),"",TODAY()-$H447)</f>
        <v/>
      </c>
      <c r="X447" s="47" t="str">
        <f aca="false">IF($B447="","",IF($U447&gt;0,"Event attendee",IF($G447="Yes","Met (no event)",IF($T447&gt;0,"Invited only",IF(OR($L447="Yes",$M447="Yes"),"Contacted only","Not yet contacted")))))</f>
        <v/>
      </c>
      <c r="Y447" s="47" t="str">
        <f aca="false">IF($B447="","",COUNTIF(c_Firm,"&lt;"&amp;$D447)+COUNTIFS(c_Firm,$D447,c_Name,"&lt;"&amp;$B447)+COUNTIFS($D$2:$D447,$D447,$B$2:$B447,$B447))</f>
        <v/>
      </c>
      <c r="Z447" s="47" t="str">
        <f aca="false">IF($B447="","",IF(AND(OR(Contacts!$C$3="(All)",$D447=Contacts!$C$3),OR(Contacts!$E$3="(All)",$G447=Contacts!$E$3),OR(Contacts!$G$3="(All)",ISNUMBER(SEARCH(Contacts!$G$3,$V447))),OR(Contacts!$I$3="(All)",$X447=Contacts!$I$3),OR(Contacts!$K$3="",ISNUMBER(SEARCH(Contacts!$K$3,$B447&amp;" "&amp;$C447&amp;" "&amp;$D447&amp;" "&amp;$S447)))),1,0))</f>
        <v/>
      </c>
      <c r="AA447" s="47" t="str">
        <f aca="false">IF($Z447=1,COUNTIFS(c_Pass,1,c_Sort,"&lt;="&amp;$Y447),"")</f>
        <v/>
      </c>
      <c r="AB447" s="47" t="str">
        <f aca="false">IF(OR($G447&lt;&gt;"Yes",NOT(ISNUMBER($H447))),"",COUNTIFS(c_Met,"Yes",c_Date,"&lt;"&amp;$H447)+COUNTIFS($G$2:$G447,"Yes",$H$2:$H447,$H447))</f>
        <v/>
      </c>
    </row>
    <row r="448" customFormat="false" ht="15" hidden="false" customHeight="false" outlineLevel="0" collapsed="false">
      <c r="A448" s="44" t="str">
        <f aca="false">IF($B448="","",COUNTA($B$2:$B448))</f>
        <v/>
      </c>
      <c r="B448" s="11"/>
      <c r="C448" s="11"/>
      <c r="D448" s="11"/>
      <c r="E448" s="11"/>
      <c r="F448" s="11"/>
      <c r="G448" s="34"/>
      <c r="H448" s="25"/>
      <c r="I448" s="40"/>
      <c r="J448" s="34"/>
      <c r="K448" s="45"/>
      <c r="L448" s="34"/>
      <c r="M448" s="34"/>
      <c r="N448" s="11"/>
      <c r="O448" s="11"/>
      <c r="P448" s="11"/>
      <c r="Q448" s="11"/>
      <c r="R448" s="11"/>
      <c r="S448" s="46"/>
      <c r="T448" s="44" t="str">
        <f aca="false">IF($B448="","",COUNTA($N448:$R448)-COUNTIF($N448:$R448,"Not Invited"))</f>
        <v/>
      </c>
      <c r="U448" s="44" t="str">
        <f aca="false">IF($B448="","",COUNTIF($N448:$R448,"Attended"))</f>
        <v/>
      </c>
      <c r="V448" s="47" t="str">
        <f aca="false">IF($B448="","",_xlfn.TEXTJOIN(", ",TRUE(),IF($N448="Attended",Setup!$D$15,""),IF($O448="Attended",Setup!$D$16,""),IF($P448="Attended",Setup!$D$17,""),IF($Q448="Attended",Setup!$D$18,""),IF($R448="Attended",Setup!$D$19,"")))</f>
        <v/>
      </c>
      <c r="W448" s="48" t="str">
        <f aca="true">IF(OR($B448="",NOT(ISNUMBER($H448))),"",TODAY()-$H448)</f>
        <v/>
      </c>
      <c r="X448" s="47" t="str">
        <f aca="false">IF($B448="","",IF($U448&gt;0,"Event attendee",IF($G448="Yes","Met (no event)",IF($T448&gt;0,"Invited only",IF(OR($L448="Yes",$M448="Yes"),"Contacted only","Not yet contacted")))))</f>
        <v/>
      </c>
      <c r="Y448" s="47" t="str">
        <f aca="false">IF($B448="","",COUNTIF(c_Firm,"&lt;"&amp;$D448)+COUNTIFS(c_Firm,$D448,c_Name,"&lt;"&amp;$B448)+COUNTIFS($D$2:$D448,$D448,$B$2:$B448,$B448))</f>
        <v/>
      </c>
      <c r="Z448" s="47" t="str">
        <f aca="false">IF($B448="","",IF(AND(OR(Contacts!$C$3="(All)",$D448=Contacts!$C$3),OR(Contacts!$E$3="(All)",$G448=Contacts!$E$3),OR(Contacts!$G$3="(All)",ISNUMBER(SEARCH(Contacts!$G$3,$V448))),OR(Contacts!$I$3="(All)",$X448=Contacts!$I$3),OR(Contacts!$K$3="",ISNUMBER(SEARCH(Contacts!$K$3,$B448&amp;" "&amp;$C448&amp;" "&amp;$D448&amp;" "&amp;$S448)))),1,0))</f>
        <v/>
      </c>
      <c r="AA448" s="47" t="str">
        <f aca="false">IF($Z448=1,COUNTIFS(c_Pass,1,c_Sort,"&lt;="&amp;$Y448),"")</f>
        <v/>
      </c>
      <c r="AB448" s="47" t="str">
        <f aca="false">IF(OR($G448&lt;&gt;"Yes",NOT(ISNUMBER($H448))),"",COUNTIFS(c_Met,"Yes",c_Date,"&lt;"&amp;$H448)+COUNTIFS($G$2:$G448,"Yes",$H$2:$H448,$H448))</f>
        <v/>
      </c>
    </row>
    <row r="449" customFormat="false" ht="15" hidden="false" customHeight="false" outlineLevel="0" collapsed="false">
      <c r="A449" s="44" t="str">
        <f aca="false">IF($B449="","",COUNTA($B$2:$B449))</f>
        <v/>
      </c>
      <c r="B449" s="11"/>
      <c r="C449" s="11"/>
      <c r="D449" s="11"/>
      <c r="E449" s="11"/>
      <c r="F449" s="11"/>
      <c r="G449" s="34"/>
      <c r="H449" s="25"/>
      <c r="I449" s="40"/>
      <c r="J449" s="34"/>
      <c r="K449" s="45"/>
      <c r="L449" s="34"/>
      <c r="M449" s="34"/>
      <c r="N449" s="11"/>
      <c r="O449" s="11"/>
      <c r="P449" s="11"/>
      <c r="Q449" s="11"/>
      <c r="R449" s="11"/>
      <c r="S449" s="46"/>
      <c r="T449" s="44" t="str">
        <f aca="false">IF($B449="","",COUNTA($N449:$R449)-COUNTIF($N449:$R449,"Not Invited"))</f>
        <v/>
      </c>
      <c r="U449" s="44" t="str">
        <f aca="false">IF($B449="","",COUNTIF($N449:$R449,"Attended"))</f>
        <v/>
      </c>
      <c r="V449" s="47" t="str">
        <f aca="false">IF($B449="","",_xlfn.TEXTJOIN(", ",TRUE(),IF($N449="Attended",Setup!$D$15,""),IF($O449="Attended",Setup!$D$16,""),IF($P449="Attended",Setup!$D$17,""),IF($Q449="Attended",Setup!$D$18,""),IF($R449="Attended",Setup!$D$19,"")))</f>
        <v/>
      </c>
      <c r="W449" s="48" t="str">
        <f aca="true">IF(OR($B449="",NOT(ISNUMBER($H449))),"",TODAY()-$H449)</f>
        <v/>
      </c>
      <c r="X449" s="47" t="str">
        <f aca="false">IF($B449="","",IF($U449&gt;0,"Event attendee",IF($G449="Yes","Met (no event)",IF($T449&gt;0,"Invited only",IF(OR($L449="Yes",$M449="Yes"),"Contacted only","Not yet contacted")))))</f>
        <v/>
      </c>
      <c r="Y449" s="47" t="str">
        <f aca="false">IF($B449="","",COUNTIF(c_Firm,"&lt;"&amp;$D449)+COUNTIFS(c_Firm,$D449,c_Name,"&lt;"&amp;$B449)+COUNTIFS($D$2:$D449,$D449,$B$2:$B449,$B449))</f>
        <v/>
      </c>
      <c r="Z449" s="47" t="str">
        <f aca="false">IF($B449="","",IF(AND(OR(Contacts!$C$3="(All)",$D449=Contacts!$C$3),OR(Contacts!$E$3="(All)",$G449=Contacts!$E$3),OR(Contacts!$G$3="(All)",ISNUMBER(SEARCH(Contacts!$G$3,$V449))),OR(Contacts!$I$3="(All)",$X449=Contacts!$I$3),OR(Contacts!$K$3="",ISNUMBER(SEARCH(Contacts!$K$3,$B449&amp;" "&amp;$C449&amp;" "&amp;$D449&amp;" "&amp;$S449)))),1,0))</f>
        <v/>
      </c>
      <c r="AA449" s="47" t="str">
        <f aca="false">IF($Z449=1,COUNTIFS(c_Pass,1,c_Sort,"&lt;="&amp;$Y449),"")</f>
        <v/>
      </c>
      <c r="AB449" s="47" t="str">
        <f aca="false">IF(OR($G449&lt;&gt;"Yes",NOT(ISNUMBER($H449))),"",COUNTIFS(c_Met,"Yes",c_Date,"&lt;"&amp;$H449)+COUNTIFS($G$2:$G449,"Yes",$H$2:$H449,$H449))</f>
        <v/>
      </c>
    </row>
    <row r="450" customFormat="false" ht="15" hidden="false" customHeight="false" outlineLevel="0" collapsed="false">
      <c r="A450" s="44" t="str">
        <f aca="false">IF($B450="","",COUNTA($B$2:$B450))</f>
        <v/>
      </c>
      <c r="B450" s="11"/>
      <c r="C450" s="11"/>
      <c r="D450" s="11"/>
      <c r="E450" s="11"/>
      <c r="F450" s="11"/>
      <c r="G450" s="34"/>
      <c r="H450" s="25"/>
      <c r="I450" s="40"/>
      <c r="J450" s="34"/>
      <c r="K450" s="45"/>
      <c r="L450" s="34"/>
      <c r="M450" s="34"/>
      <c r="N450" s="11"/>
      <c r="O450" s="11"/>
      <c r="P450" s="11"/>
      <c r="Q450" s="11"/>
      <c r="R450" s="11"/>
      <c r="S450" s="46"/>
      <c r="T450" s="44" t="str">
        <f aca="false">IF($B450="","",COUNTA($N450:$R450)-COUNTIF($N450:$R450,"Not Invited"))</f>
        <v/>
      </c>
      <c r="U450" s="44" t="str">
        <f aca="false">IF($B450="","",COUNTIF($N450:$R450,"Attended"))</f>
        <v/>
      </c>
      <c r="V450" s="47" t="str">
        <f aca="false">IF($B450="","",_xlfn.TEXTJOIN(", ",TRUE(),IF($N450="Attended",Setup!$D$15,""),IF($O450="Attended",Setup!$D$16,""),IF($P450="Attended",Setup!$D$17,""),IF($Q450="Attended",Setup!$D$18,""),IF($R450="Attended",Setup!$D$19,"")))</f>
        <v/>
      </c>
      <c r="W450" s="48" t="str">
        <f aca="true">IF(OR($B450="",NOT(ISNUMBER($H450))),"",TODAY()-$H450)</f>
        <v/>
      </c>
      <c r="X450" s="47" t="str">
        <f aca="false">IF($B450="","",IF($U450&gt;0,"Event attendee",IF($G450="Yes","Met (no event)",IF($T450&gt;0,"Invited only",IF(OR($L450="Yes",$M450="Yes"),"Contacted only","Not yet contacted")))))</f>
        <v/>
      </c>
      <c r="Y450" s="47" t="str">
        <f aca="false">IF($B450="","",COUNTIF(c_Firm,"&lt;"&amp;$D450)+COUNTIFS(c_Firm,$D450,c_Name,"&lt;"&amp;$B450)+COUNTIFS($D$2:$D450,$D450,$B$2:$B450,$B450))</f>
        <v/>
      </c>
      <c r="Z450" s="47" t="str">
        <f aca="false">IF($B450="","",IF(AND(OR(Contacts!$C$3="(All)",$D450=Contacts!$C$3),OR(Contacts!$E$3="(All)",$G450=Contacts!$E$3),OR(Contacts!$G$3="(All)",ISNUMBER(SEARCH(Contacts!$G$3,$V450))),OR(Contacts!$I$3="(All)",$X450=Contacts!$I$3),OR(Contacts!$K$3="",ISNUMBER(SEARCH(Contacts!$K$3,$B450&amp;" "&amp;$C450&amp;" "&amp;$D450&amp;" "&amp;$S450)))),1,0))</f>
        <v/>
      </c>
      <c r="AA450" s="47" t="str">
        <f aca="false">IF($Z450=1,COUNTIFS(c_Pass,1,c_Sort,"&lt;="&amp;$Y450),"")</f>
        <v/>
      </c>
      <c r="AB450" s="47" t="str">
        <f aca="false">IF(OR($G450&lt;&gt;"Yes",NOT(ISNUMBER($H450))),"",COUNTIFS(c_Met,"Yes",c_Date,"&lt;"&amp;$H450)+COUNTIFS($G$2:$G450,"Yes",$H$2:$H450,$H450))</f>
        <v/>
      </c>
    </row>
    <row r="451" customFormat="false" ht="15" hidden="false" customHeight="false" outlineLevel="0" collapsed="false">
      <c r="A451" s="44" t="str">
        <f aca="false">IF($B451="","",COUNTA($B$2:$B451))</f>
        <v/>
      </c>
      <c r="B451" s="11"/>
      <c r="C451" s="11"/>
      <c r="D451" s="11"/>
      <c r="E451" s="11"/>
      <c r="F451" s="11"/>
      <c r="G451" s="34"/>
      <c r="H451" s="25"/>
      <c r="I451" s="40"/>
      <c r="J451" s="34"/>
      <c r="K451" s="45"/>
      <c r="L451" s="34"/>
      <c r="M451" s="34"/>
      <c r="N451" s="11"/>
      <c r="O451" s="11"/>
      <c r="P451" s="11"/>
      <c r="Q451" s="11"/>
      <c r="R451" s="11"/>
      <c r="S451" s="46"/>
      <c r="T451" s="44" t="str">
        <f aca="false">IF($B451="","",COUNTA($N451:$R451)-COUNTIF($N451:$R451,"Not Invited"))</f>
        <v/>
      </c>
      <c r="U451" s="44" t="str">
        <f aca="false">IF($B451="","",COUNTIF($N451:$R451,"Attended"))</f>
        <v/>
      </c>
      <c r="V451" s="47" t="str">
        <f aca="false">IF($B451="","",_xlfn.TEXTJOIN(", ",TRUE(),IF($N451="Attended",Setup!$D$15,""),IF($O451="Attended",Setup!$D$16,""),IF($P451="Attended",Setup!$D$17,""),IF($Q451="Attended",Setup!$D$18,""),IF($R451="Attended",Setup!$D$19,"")))</f>
        <v/>
      </c>
      <c r="W451" s="48" t="str">
        <f aca="true">IF(OR($B451="",NOT(ISNUMBER($H451))),"",TODAY()-$H451)</f>
        <v/>
      </c>
      <c r="X451" s="47" t="str">
        <f aca="false">IF($B451="","",IF($U451&gt;0,"Event attendee",IF($G451="Yes","Met (no event)",IF($T451&gt;0,"Invited only",IF(OR($L451="Yes",$M451="Yes"),"Contacted only","Not yet contacted")))))</f>
        <v/>
      </c>
      <c r="Y451" s="47" t="str">
        <f aca="false">IF($B451="","",COUNTIF(c_Firm,"&lt;"&amp;$D451)+COUNTIFS(c_Firm,$D451,c_Name,"&lt;"&amp;$B451)+COUNTIFS($D$2:$D451,$D451,$B$2:$B451,$B451))</f>
        <v/>
      </c>
      <c r="Z451" s="47" t="str">
        <f aca="false">IF($B451="","",IF(AND(OR(Contacts!$C$3="(All)",$D451=Contacts!$C$3),OR(Contacts!$E$3="(All)",$G451=Contacts!$E$3),OR(Contacts!$G$3="(All)",ISNUMBER(SEARCH(Contacts!$G$3,$V451))),OR(Contacts!$I$3="(All)",$X451=Contacts!$I$3),OR(Contacts!$K$3="",ISNUMBER(SEARCH(Contacts!$K$3,$B451&amp;" "&amp;$C451&amp;" "&amp;$D451&amp;" "&amp;$S451)))),1,0))</f>
        <v/>
      </c>
      <c r="AA451" s="47" t="str">
        <f aca="false">IF($Z451=1,COUNTIFS(c_Pass,1,c_Sort,"&lt;="&amp;$Y451),"")</f>
        <v/>
      </c>
      <c r="AB451" s="47" t="str">
        <f aca="false">IF(OR($G451&lt;&gt;"Yes",NOT(ISNUMBER($H451))),"",COUNTIFS(c_Met,"Yes",c_Date,"&lt;"&amp;$H451)+COUNTIFS($G$2:$G451,"Yes",$H$2:$H451,$H451))</f>
        <v/>
      </c>
    </row>
    <row r="452" customFormat="false" ht="15" hidden="false" customHeight="false" outlineLevel="0" collapsed="false">
      <c r="A452" s="44" t="str">
        <f aca="false">IF($B452="","",COUNTA($B$2:$B452))</f>
        <v/>
      </c>
      <c r="B452" s="11"/>
      <c r="C452" s="11"/>
      <c r="D452" s="11"/>
      <c r="E452" s="11"/>
      <c r="F452" s="11"/>
      <c r="G452" s="34"/>
      <c r="H452" s="25"/>
      <c r="I452" s="40"/>
      <c r="J452" s="34"/>
      <c r="K452" s="45"/>
      <c r="L452" s="34"/>
      <c r="M452" s="34"/>
      <c r="N452" s="11"/>
      <c r="O452" s="11"/>
      <c r="P452" s="11"/>
      <c r="Q452" s="11"/>
      <c r="R452" s="11"/>
      <c r="S452" s="46"/>
      <c r="T452" s="44" t="str">
        <f aca="false">IF($B452="","",COUNTA($N452:$R452)-COUNTIF($N452:$R452,"Not Invited"))</f>
        <v/>
      </c>
      <c r="U452" s="44" t="str">
        <f aca="false">IF($B452="","",COUNTIF($N452:$R452,"Attended"))</f>
        <v/>
      </c>
      <c r="V452" s="47" t="str">
        <f aca="false">IF($B452="","",_xlfn.TEXTJOIN(", ",TRUE(),IF($N452="Attended",Setup!$D$15,""),IF($O452="Attended",Setup!$D$16,""),IF($P452="Attended",Setup!$D$17,""),IF($Q452="Attended",Setup!$D$18,""),IF($R452="Attended",Setup!$D$19,"")))</f>
        <v/>
      </c>
      <c r="W452" s="48" t="str">
        <f aca="true">IF(OR($B452="",NOT(ISNUMBER($H452))),"",TODAY()-$H452)</f>
        <v/>
      </c>
      <c r="X452" s="47" t="str">
        <f aca="false">IF($B452="","",IF($U452&gt;0,"Event attendee",IF($G452="Yes","Met (no event)",IF($T452&gt;0,"Invited only",IF(OR($L452="Yes",$M452="Yes"),"Contacted only","Not yet contacted")))))</f>
        <v/>
      </c>
      <c r="Y452" s="47" t="str">
        <f aca="false">IF($B452="","",COUNTIF(c_Firm,"&lt;"&amp;$D452)+COUNTIFS(c_Firm,$D452,c_Name,"&lt;"&amp;$B452)+COUNTIFS($D$2:$D452,$D452,$B$2:$B452,$B452))</f>
        <v/>
      </c>
      <c r="Z452" s="47" t="str">
        <f aca="false">IF($B452="","",IF(AND(OR(Contacts!$C$3="(All)",$D452=Contacts!$C$3),OR(Contacts!$E$3="(All)",$G452=Contacts!$E$3),OR(Contacts!$G$3="(All)",ISNUMBER(SEARCH(Contacts!$G$3,$V452))),OR(Contacts!$I$3="(All)",$X452=Contacts!$I$3),OR(Contacts!$K$3="",ISNUMBER(SEARCH(Contacts!$K$3,$B452&amp;" "&amp;$C452&amp;" "&amp;$D452&amp;" "&amp;$S452)))),1,0))</f>
        <v/>
      </c>
      <c r="AA452" s="47" t="str">
        <f aca="false">IF($Z452=1,COUNTIFS(c_Pass,1,c_Sort,"&lt;="&amp;$Y452),"")</f>
        <v/>
      </c>
      <c r="AB452" s="47" t="str">
        <f aca="false">IF(OR($G452&lt;&gt;"Yes",NOT(ISNUMBER($H452))),"",COUNTIFS(c_Met,"Yes",c_Date,"&lt;"&amp;$H452)+COUNTIFS($G$2:$G452,"Yes",$H$2:$H452,$H452))</f>
        <v/>
      </c>
    </row>
    <row r="453" customFormat="false" ht="15" hidden="false" customHeight="false" outlineLevel="0" collapsed="false">
      <c r="A453" s="44" t="str">
        <f aca="false">IF($B453="","",COUNTA($B$2:$B453))</f>
        <v/>
      </c>
      <c r="B453" s="11"/>
      <c r="C453" s="11"/>
      <c r="D453" s="11"/>
      <c r="E453" s="11"/>
      <c r="F453" s="11"/>
      <c r="G453" s="34"/>
      <c r="H453" s="25"/>
      <c r="I453" s="40"/>
      <c r="J453" s="34"/>
      <c r="K453" s="45"/>
      <c r="L453" s="34"/>
      <c r="M453" s="34"/>
      <c r="N453" s="11"/>
      <c r="O453" s="11"/>
      <c r="P453" s="11"/>
      <c r="Q453" s="11"/>
      <c r="R453" s="11"/>
      <c r="S453" s="46"/>
      <c r="T453" s="44" t="str">
        <f aca="false">IF($B453="","",COUNTA($N453:$R453)-COUNTIF($N453:$R453,"Not Invited"))</f>
        <v/>
      </c>
      <c r="U453" s="44" t="str">
        <f aca="false">IF($B453="","",COUNTIF($N453:$R453,"Attended"))</f>
        <v/>
      </c>
      <c r="V453" s="47" t="str">
        <f aca="false">IF($B453="","",_xlfn.TEXTJOIN(", ",TRUE(),IF($N453="Attended",Setup!$D$15,""),IF($O453="Attended",Setup!$D$16,""),IF($P453="Attended",Setup!$D$17,""),IF($Q453="Attended",Setup!$D$18,""),IF($R453="Attended",Setup!$D$19,"")))</f>
        <v/>
      </c>
      <c r="W453" s="48" t="str">
        <f aca="true">IF(OR($B453="",NOT(ISNUMBER($H453))),"",TODAY()-$H453)</f>
        <v/>
      </c>
      <c r="X453" s="47" t="str">
        <f aca="false">IF($B453="","",IF($U453&gt;0,"Event attendee",IF($G453="Yes","Met (no event)",IF($T453&gt;0,"Invited only",IF(OR($L453="Yes",$M453="Yes"),"Contacted only","Not yet contacted")))))</f>
        <v/>
      </c>
      <c r="Y453" s="47" t="str">
        <f aca="false">IF($B453="","",COUNTIF(c_Firm,"&lt;"&amp;$D453)+COUNTIFS(c_Firm,$D453,c_Name,"&lt;"&amp;$B453)+COUNTIFS($D$2:$D453,$D453,$B$2:$B453,$B453))</f>
        <v/>
      </c>
      <c r="Z453" s="47" t="str">
        <f aca="false">IF($B453="","",IF(AND(OR(Contacts!$C$3="(All)",$D453=Contacts!$C$3),OR(Contacts!$E$3="(All)",$G453=Contacts!$E$3),OR(Contacts!$G$3="(All)",ISNUMBER(SEARCH(Contacts!$G$3,$V453))),OR(Contacts!$I$3="(All)",$X453=Contacts!$I$3),OR(Contacts!$K$3="",ISNUMBER(SEARCH(Contacts!$K$3,$B453&amp;" "&amp;$C453&amp;" "&amp;$D453&amp;" "&amp;$S453)))),1,0))</f>
        <v/>
      </c>
      <c r="AA453" s="47" t="str">
        <f aca="false">IF($Z453=1,COUNTIFS(c_Pass,1,c_Sort,"&lt;="&amp;$Y453),"")</f>
        <v/>
      </c>
      <c r="AB453" s="47" t="str">
        <f aca="false">IF(OR($G453&lt;&gt;"Yes",NOT(ISNUMBER($H453))),"",COUNTIFS(c_Met,"Yes",c_Date,"&lt;"&amp;$H453)+COUNTIFS($G$2:$G453,"Yes",$H$2:$H453,$H453))</f>
        <v/>
      </c>
    </row>
    <row r="454" customFormat="false" ht="15" hidden="false" customHeight="false" outlineLevel="0" collapsed="false">
      <c r="A454" s="44" t="str">
        <f aca="false">IF($B454="","",COUNTA($B$2:$B454))</f>
        <v/>
      </c>
      <c r="B454" s="11"/>
      <c r="C454" s="11"/>
      <c r="D454" s="11"/>
      <c r="E454" s="11"/>
      <c r="F454" s="11"/>
      <c r="G454" s="34"/>
      <c r="H454" s="25"/>
      <c r="I454" s="40"/>
      <c r="J454" s="34"/>
      <c r="K454" s="45"/>
      <c r="L454" s="34"/>
      <c r="M454" s="34"/>
      <c r="N454" s="11"/>
      <c r="O454" s="11"/>
      <c r="P454" s="11"/>
      <c r="Q454" s="11"/>
      <c r="R454" s="11"/>
      <c r="S454" s="46"/>
      <c r="T454" s="44" t="str">
        <f aca="false">IF($B454="","",COUNTA($N454:$R454)-COUNTIF($N454:$R454,"Not Invited"))</f>
        <v/>
      </c>
      <c r="U454" s="44" t="str">
        <f aca="false">IF($B454="","",COUNTIF($N454:$R454,"Attended"))</f>
        <v/>
      </c>
      <c r="V454" s="47" t="str">
        <f aca="false">IF($B454="","",_xlfn.TEXTJOIN(", ",TRUE(),IF($N454="Attended",Setup!$D$15,""),IF($O454="Attended",Setup!$D$16,""),IF($P454="Attended",Setup!$D$17,""),IF($Q454="Attended",Setup!$D$18,""),IF($R454="Attended",Setup!$D$19,"")))</f>
        <v/>
      </c>
      <c r="W454" s="48" t="str">
        <f aca="true">IF(OR($B454="",NOT(ISNUMBER($H454))),"",TODAY()-$H454)</f>
        <v/>
      </c>
      <c r="X454" s="47" t="str">
        <f aca="false">IF($B454="","",IF($U454&gt;0,"Event attendee",IF($G454="Yes","Met (no event)",IF($T454&gt;0,"Invited only",IF(OR($L454="Yes",$M454="Yes"),"Contacted only","Not yet contacted")))))</f>
        <v/>
      </c>
      <c r="Y454" s="47" t="str">
        <f aca="false">IF($B454="","",COUNTIF(c_Firm,"&lt;"&amp;$D454)+COUNTIFS(c_Firm,$D454,c_Name,"&lt;"&amp;$B454)+COUNTIFS($D$2:$D454,$D454,$B$2:$B454,$B454))</f>
        <v/>
      </c>
      <c r="Z454" s="47" t="str">
        <f aca="false">IF($B454="","",IF(AND(OR(Contacts!$C$3="(All)",$D454=Contacts!$C$3),OR(Contacts!$E$3="(All)",$G454=Contacts!$E$3),OR(Contacts!$G$3="(All)",ISNUMBER(SEARCH(Contacts!$G$3,$V454))),OR(Contacts!$I$3="(All)",$X454=Contacts!$I$3),OR(Contacts!$K$3="",ISNUMBER(SEARCH(Contacts!$K$3,$B454&amp;" "&amp;$C454&amp;" "&amp;$D454&amp;" "&amp;$S454)))),1,0))</f>
        <v/>
      </c>
      <c r="AA454" s="47" t="str">
        <f aca="false">IF($Z454=1,COUNTIFS(c_Pass,1,c_Sort,"&lt;="&amp;$Y454),"")</f>
        <v/>
      </c>
      <c r="AB454" s="47" t="str">
        <f aca="false">IF(OR($G454&lt;&gt;"Yes",NOT(ISNUMBER($H454))),"",COUNTIFS(c_Met,"Yes",c_Date,"&lt;"&amp;$H454)+COUNTIFS($G$2:$G454,"Yes",$H$2:$H454,$H454))</f>
        <v/>
      </c>
    </row>
    <row r="455" customFormat="false" ht="15" hidden="false" customHeight="false" outlineLevel="0" collapsed="false">
      <c r="A455" s="44" t="str">
        <f aca="false">IF($B455="","",COUNTA($B$2:$B455))</f>
        <v/>
      </c>
      <c r="B455" s="11"/>
      <c r="C455" s="11"/>
      <c r="D455" s="11"/>
      <c r="E455" s="11"/>
      <c r="F455" s="11"/>
      <c r="G455" s="34"/>
      <c r="H455" s="25"/>
      <c r="I455" s="40"/>
      <c r="J455" s="34"/>
      <c r="K455" s="45"/>
      <c r="L455" s="34"/>
      <c r="M455" s="34"/>
      <c r="N455" s="11"/>
      <c r="O455" s="11"/>
      <c r="P455" s="11"/>
      <c r="Q455" s="11"/>
      <c r="R455" s="11"/>
      <c r="S455" s="46"/>
      <c r="T455" s="44" t="str">
        <f aca="false">IF($B455="","",COUNTA($N455:$R455)-COUNTIF($N455:$R455,"Not Invited"))</f>
        <v/>
      </c>
      <c r="U455" s="44" t="str">
        <f aca="false">IF($B455="","",COUNTIF($N455:$R455,"Attended"))</f>
        <v/>
      </c>
      <c r="V455" s="47" t="str">
        <f aca="false">IF($B455="","",_xlfn.TEXTJOIN(", ",TRUE(),IF($N455="Attended",Setup!$D$15,""),IF($O455="Attended",Setup!$D$16,""),IF($P455="Attended",Setup!$D$17,""),IF($Q455="Attended",Setup!$D$18,""),IF($R455="Attended",Setup!$D$19,"")))</f>
        <v/>
      </c>
      <c r="W455" s="48" t="str">
        <f aca="true">IF(OR($B455="",NOT(ISNUMBER($H455))),"",TODAY()-$H455)</f>
        <v/>
      </c>
      <c r="X455" s="47" t="str">
        <f aca="false">IF($B455="","",IF($U455&gt;0,"Event attendee",IF($G455="Yes","Met (no event)",IF($T455&gt;0,"Invited only",IF(OR($L455="Yes",$M455="Yes"),"Contacted only","Not yet contacted")))))</f>
        <v/>
      </c>
      <c r="Y455" s="47" t="str">
        <f aca="false">IF($B455="","",COUNTIF(c_Firm,"&lt;"&amp;$D455)+COUNTIFS(c_Firm,$D455,c_Name,"&lt;"&amp;$B455)+COUNTIFS($D$2:$D455,$D455,$B$2:$B455,$B455))</f>
        <v/>
      </c>
      <c r="Z455" s="47" t="str">
        <f aca="false">IF($B455="","",IF(AND(OR(Contacts!$C$3="(All)",$D455=Contacts!$C$3),OR(Contacts!$E$3="(All)",$G455=Contacts!$E$3),OR(Contacts!$G$3="(All)",ISNUMBER(SEARCH(Contacts!$G$3,$V455))),OR(Contacts!$I$3="(All)",$X455=Contacts!$I$3),OR(Contacts!$K$3="",ISNUMBER(SEARCH(Contacts!$K$3,$B455&amp;" "&amp;$C455&amp;" "&amp;$D455&amp;" "&amp;$S455)))),1,0))</f>
        <v/>
      </c>
      <c r="AA455" s="47" t="str">
        <f aca="false">IF($Z455=1,COUNTIFS(c_Pass,1,c_Sort,"&lt;="&amp;$Y455),"")</f>
        <v/>
      </c>
      <c r="AB455" s="47" t="str">
        <f aca="false">IF(OR($G455&lt;&gt;"Yes",NOT(ISNUMBER($H455))),"",COUNTIFS(c_Met,"Yes",c_Date,"&lt;"&amp;$H455)+COUNTIFS($G$2:$G455,"Yes",$H$2:$H455,$H455))</f>
        <v/>
      </c>
    </row>
    <row r="456" customFormat="false" ht="15" hidden="false" customHeight="false" outlineLevel="0" collapsed="false">
      <c r="A456" s="44" t="str">
        <f aca="false">IF($B456="","",COUNTA($B$2:$B456))</f>
        <v/>
      </c>
      <c r="B456" s="11"/>
      <c r="C456" s="11"/>
      <c r="D456" s="11"/>
      <c r="E456" s="11"/>
      <c r="F456" s="11"/>
      <c r="G456" s="34"/>
      <c r="H456" s="25"/>
      <c r="I456" s="40"/>
      <c r="J456" s="34"/>
      <c r="K456" s="45"/>
      <c r="L456" s="34"/>
      <c r="M456" s="34"/>
      <c r="N456" s="11"/>
      <c r="O456" s="11"/>
      <c r="P456" s="11"/>
      <c r="Q456" s="11"/>
      <c r="R456" s="11"/>
      <c r="S456" s="46"/>
      <c r="T456" s="44" t="str">
        <f aca="false">IF($B456="","",COUNTA($N456:$R456)-COUNTIF($N456:$R456,"Not Invited"))</f>
        <v/>
      </c>
      <c r="U456" s="44" t="str">
        <f aca="false">IF($B456="","",COUNTIF($N456:$R456,"Attended"))</f>
        <v/>
      </c>
      <c r="V456" s="47" t="str">
        <f aca="false">IF($B456="","",_xlfn.TEXTJOIN(", ",TRUE(),IF($N456="Attended",Setup!$D$15,""),IF($O456="Attended",Setup!$D$16,""),IF($P456="Attended",Setup!$D$17,""),IF($Q456="Attended",Setup!$D$18,""),IF($R456="Attended",Setup!$D$19,"")))</f>
        <v/>
      </c>
      <c r="W456" s="48" t="str">
        <f aca="true">IF(OR($B456="",NOT(ISNUMBER($H456))),"",TODAY()-$H456)</f>
        <v/>
      </c>
      <c r="X456" s="47" t="str">
        <f aca="false">IF($B456="","",IF($U456&gt;0,"Event attendee",IF($G456="Yes","Met (no event)",IF($T456&gt;0,"Invited only",IF(OR($L456="Yes",$M456="Yes"),"Contacted only","Not yet contacted")))))</f>
        <v/>
      </c>
      <c r="Y456" s="47" t="str">
        <f aca="false">IF($B456="","",COUNTIF(c_Firm,"&lt;"&amp;$D456)+COUNTIFS(c_Firm,$D456,c_Name,"&lt;"&amp;$B456)+COUNTIFS($D$2:$D456,$D456,$B$2:$B456,$B456))</f>
        <v/>
      </c>
      <c r="Z456" s="47" t="str">
        <f aca="false">IF($B456="","",IF(AND(OR(Contacts!$C$3="(All)",$D456=Contacts!$C$3),OR(Contacts!$E$3="(All)",$G456=Contacts!$E$3),OR(Contacts!$G$3="(All)",ISNUMBER(SEARCH(Contacts!$G$3,$V456))),OR(Contacts!$I$3="(All)",$X456=Contacts!$I$3),OR(Contacts!$K$3="",ISNUMBER(SEARCH(Contacts!$K$3,$B456&amp;" "&amp;$C456&amp;" "&amp;$D456&amp;" "&amp;$S456)))),1,0))</f>
        <v/>
      </c>
      <c r="AA456" s="47" t="str">
        <f aca="false">IF($Z456=1,COUNTIFS(c_Pass,1,c_Sort,"&lt;="&amp;$Y456),"")</f>
        <v/>
      </c>
      <c r="AB456" s="47" t="str">
        <f aca="false">IF(OR($G456&lt;&gt;"Yes",NOT(ISNUMBER($H456))),"",COUNTIFS(c_Met,"Yes",c_Date,"&lt;"&amp;$H456)+COUNTIFS($G$2:$G456,"Yes",$H$2:$H456,$H456))</f>
        <v/>
      </c>
    </row>
    <row r="457" customFormat="false" ht="15" hidden="false" customHeight="false" outlineLevel="0" collapsed="false">
      <c r="A457" s="44" t="str">
        <f aca="false">IF($B457="","",COUNTA($B$2:$B457))</f>
        <v/>
      </c>
      <c r="B457" s="11"/>
      <c r="C457" s="11"/>
      <c r="D457" s="11"/>
      <c r="E457" s="11"/>
      <c r="F457" s="11"/>
      <c r="G457" s="34"/>
      <c r="H457" s="25"/>
      <c r="I457" s="40"/>
      <c r="J457" s="34"/>
      <c r="K457" s="45"/>
      <c r="L457" s="34"/>
      <c r="M457" s="34"/>
      <c r="N457" s="11"/>
      <c r="O457" s="11"/>
      <c r="P457" s="11"/>
      <c r="Q457" s="11"/>
      <c r="R457" s="11"/>
      <c r="S457" s="46"/>
      <c r="T457" s="44" t="str">
        <f aca="false">IF($B457="","",COUNTA($N457:$R457)-COUNTIF($N457:$R457,"Not Invited"))</f>
        <v/>
      </c>
      <c r="U457" s="44" t="str">
        <f aca="false">IF($B457="","",COUNTIF($N457:$R457,"Attended"))</f>
        <v/>
      </c>
      <c r="V457" s="47" t="str">
        <f aca="false">IF($B457="","",_xlfn.TEXTJOIN(", ",TRUE(),IF($N457="Attended",Setup!$D$15,""),IF($O457="Attended",Setup!$D$16,""),IF($P457="Attended",Setup!$D$17,""),IF($Q457="Attended",Setup!$D$18,""),IF($R457="Attended",Setup!$D$19,"")))</f>
        <v/>
      </c>
      <c r="W457" s="48" t="str">
        <f aca="true">IF(OR($B457="",NOT(ISNUMBER($H457))),"",TODAY()-$H457)</f>
        <v/>
      </c>
      <c r="X457" s="47" t="str">
        <f aca="false">IF($B457="","",IF($U457&gt;0,"Event attendee",IF($G457="Yes","Met (no event)",IF($T457&gt;0,"Invited only",IF(OR($L457="Yes",$M457="Yes"),"Contacted only","Not yet contacted")))))</f>
        <v/>
      </c>
      <c r="Y457" s="47" t="str">
        <f aca="false">IF($B457="","",COUNTIF(c_Firm,"&lt;"&amp;$D457)+COUNTIFS(c_Firm,$D457,c_Name,"&lt;"&amp;$B457)+COUNTIFS($D$2:$D457,$D457,$B$2:$B457,$B457))</f>
        <v/>
      </c>
      <c r="Z457" s="47" t="str">
        <f aca="false">IF($B457="","",IF(AND(OR(Contacts!$C$3="(All)",$D457=Contacts!$C$3),OR(Contacts!$E$3="(All)",$G457=Contacts!$E$3),OR(Contacts!$G$3="(All)",ISNUMBER(SEARCH(Contacts!$G$3,$V457))),OR(Contacts!$I$3="(All)",$X457=Contacts!$I$3),OR(Contacts!$K$3="",ISNUMBER(SEARCH(Contacts!$K$3,$B457&amp;" "&amp;$C457&amp;" "&amp;$D457&amp;" "&amp;$S457)))),1,0))</f>
        <v/>
      </c>
      <c r="AA457" s="47" t="str">
        <f aca="false">IF($Z457=1,COUNTIFS(c_Pass,1,c_Sort,"&lt;="&amp;$Y457),"")</f>
        <v/>
      </c>
      <c r="AB457" s="47" t="str">
        <f aca="false">IF(OR($G457&lt;&gt;"Yes",NOT(ISNUMBER($H457))),"",COUNTIFS(c_Met,"Yes",c_Date,"&lt;"&amp;$H457)+COUNTIFS($G$2:$G457,"Yes",$H$2:$H457,$H457))</f>
        <v/>
      </c>
    </row>
    <row r="458" customFormat="false" ht="15" hidden="false" customHeight="false" outlineLevel="0" collapsed="false">
      <c r="A458" s="44" t="str">
        <f aca="false">IF($B458="","",COUNTA($B$2:$B458))</f>
        <v/>
      </c>
      <c r="B458" s="11"/>
      <c r="C458" s="11"/>
      <c r="D458" s="11"/>
      <c r="E458" s="11"/>
      <c r="F458" s="11"/>
      <c r="G458" s="34"/>
      <c r="H458" s="25"/>
      <c r="I458" s="40"/>
      <c r="J458" s="34"/>
      <c r="K458" s="45"/>
      <c r="L458" s="34"/>
      <c r="M458" s="34"/>
      <c r="N458" s="11"/>
      <c r="O458" s="11"/>
      <c r="P458" s="11"/>
      <c r="Q458" s="11"/>
      <c r="R458" s="11"/>
      <c r="S458" s="46"/>
      <c r="T458" s="44" t="str">
        <f aca="false">IF($B458="","",COUNTA($N458:$R458)-COUNTIF($N458:$R458,"Not Invited"))</f>
        <v/>
      </c>
      <c r="U458" s="44" t="str">
        <f aca="false">IF($B458="","",COUNTIF($N458:$R458,"Attended"))</f>
        <v/>
      </c>
      <c r="V458" s="47" t="str">
        <f aca="false">IF($B458="","",_xlfn.TEXTJOIN(", ",TRUE(),IF($N458="Attended",Setup!$D$15,""),IF($O458="Attended",Setup!$D$16,""),IF($P458="Attended",Setup!$D$17,""),IF($Q458="Attended",Setup!$D$18,""),IF($R458="Attended",Setup!$D$19,"")))</f>
        <v/>
      </c>
      <c r="W458" s="48" t="str">
        <f aca="true">IF(OR($B458="",NOT(ISNUMBER($H458))),"",TODAY()-$H458)</f>
        <v/>
      </c>
      <c r="X458" s="47" t="str">
        <f aca="false">IF($B458="","",IF($U458&gt;0,"Event attendee",IF($G458="Yes","Met (no event)",IF($T458&gt;0,"Invited only",IF(OR($L458="Yes",$M458="Yes"),"Contacted only","Not yet contacted")))))</f>
        <v/>
      </c>
      <c r="Y458" s="47" t="str">
        <f aca="false">IF($B458="","",COUNTIF(c_Firm,"&lt;"&amp;$D458)+COUNTIFS(c_Firm,$D458,c_Name,"&lt;"&amp;$B458)+COUNTIFS($D$2:$D458,$D458,$B$2:$B458,$B458))</f>
        <v/>
      </c>
      <c r="Z458" s="47" t="str">
        <f aca="false">IF($B458="","",IF(AND(OR(Contacts!$C$3="(All)",$D458=Contacts!$C$3),OR(Contacts!$E$3="(All)",$G458=Contacts!$E$3),OR(Contacts!$G$3="(All)",ISNUMBER(SEARCH(Contacts!$G$3,$V458))),OR(Contacts!$I$3="(All)",$X458=Contacts!$I$3),OR(Contacts!$K$3="",ISNUMBER(SEARCH(Contacts!$K$3,$B458&amp;" "&amp;$C458&amp;" "&amp;$D458&amp;" "&amp;$S458)))),1,0))</f>
        <v/>
      </c>
      <c r="AA458" s="47" t="str">
        <f aca="false">IF($Z458=1,COUNTIFS(c_Pass,1,c_Sort,"&lt;="&amp;$Y458),"")</f>
        <v/>
      </c>
      <c r="AB458" s="47" t="str">
        <f aca="false">IF(OR($G458&lt;&gt;"Yes",NOT(ISNUMBER($H458))),"",COUNTIFS(c_Met,"Yes",c_Date,"&lt;"&amp;$H458)+COUNTIFS($G$2:$G458,"Yes",$H$2:$H458,$H458))</f>
        <v/>
      </c>
    </row>
    <row r="459" customFormat="false" ht="15" hidden="false" customHeight="false" outlineLevel="0" collapsed="false">
      <c r="A459" s="44" t="str">
        <f aca="false">IF($B459="","",COUNTA($B$2:$B459))</f>
        <v/>
      </c>
      <c r="B459" s="11"/>
      <c r="C459" s="11"/>
      <c r="D459" s="11"/>
      <c r="E459" s="11"/>
      <c r="F459" s="11"/>
      <c r="G459" s="34"/>
      <c r="H459" s="25"/>
      <c r="I459" s="40"/>
      <c r="J459" s="34"/>
      <c r="K459" s="45"/>
      <c r="L459" s="34"/>
      <c r="M459" s="34"/>
      <c r="N459" s="11"/>
      <c r="O459" s="11"/>
      <c r="P459" s="11"/>
      <c r="Q459" s="11"/>
      <c r="R459" s="11"/>
      <c r="S459" s="46"/>
      <c r="T459" s="44" t="str">
        <f aca="false">IF($B459="","",COUNTA($N459:$R459)-COUNTIF($N459:$R459,"Not Invited"))</f>
        <v/>
      </c>
      <c r="U459" s="44" t="str">
        <f aca="false">IF($B459="","",COUNTIF($N459:$R459,"Attended"))</f>
        <v/>
      </c>
      <c r="V459" s="47" t="str">
        <f aca="false">IF($B459="","",_xlfn.TEXTJOIN(", ",TRUE(),IF($N459="Attended",Setup!$D$15,""),IF($O459="Attended",Setup!$D$16,""),IF($P459="Attended",Setup!$D$17,""),IF($Q459="Attended",Setup!$D$18,""),IF($R459="Attended",Setup!$D$19,"")))</f>
        <v/>
      </c>
      <c r="W459" s="48" t="str">
        <f aca="true">IF(OR($B459="",NOT(ISNUMBER($H459))),"",TODAY()-$H459)</f>
        <v/>
      </c>
      <c r="X459" s="47" t="str">
        <f aca="false">IF($B459="","",IF($U459&gt;0,"Event attendee",IF($G459="Yes","Met (no event)",IF($T459&gt;0,"Invited only",IF(OR($L459="Yes",$M459="Yes"),"Contacted only","Not yet contacted")))))</f>
        <v/>
      </c>
      <c r="Y459" s="47" t="str">
        <f aca="false">IF($B459="","",COUNTIF(c_Firm,"&lt;"&amp;$D459)+COUNTIFS(c_Firm,$D459,c_Name,"&lt;"&amp;$B459)+COUNTIFS($D$2:$D459,$D459,$B$2:$B459,$B459))</f>
        <v/>
      </c>
      <c r="Z459" s="47" t="str">
        <f aca="false">IF($B459="","",IF(AND(OR(Contacts!$C$3="(All)",$D459=Contacts!$C$3),OR(Contacts!$E$3="(All)",$G459=Contacts!$E$3),OR(Contacts!$G$3="(All)",ISNUMBER(SEARCH(Contacts!$G$3,$V459))),OR(Contacts!$I$3="(All)",$X459=Contacts!$I$3),OR(Contacts!$K$3="",ISNUMBER(SEARCH(Contacts!$K$3,$B459&amp;" "&amp;$C459&amp;" "&amp;$D459&amp;" "&amp;$S459)))),1,0))</f>
        <v/>
      </c>
      <c r="AA459" s="47" t="str">
        <f aca="false">IF($Z459=1,COUNTIFS(c_Pass,1,c_Sort,"&lt;="&amp;$Y459),"")</f>
        <v/>
      </c>
      <c r="AB459" s="47" t="str">
        <f aca="false">IF(OR($G459&lt;&gt;"Yes",NOT(ISNUMBER($H459))),"",COUNTIFS(c_Met,"Yes",c_Date,"&lt;"&amp;$H459)+COUNTIFS($G$2:$G459,"Yes",$H$2:$H459,$H459))</f>
        <v/>
      </c>
    </row>
    <row r="460" customFormat="false" ht="15" hidden="false" customHeight="false" outlineLevel="0" collapsed="false">
      <c r="A460" s="44" t="str">
        <f aca="false">IF($B460="","",COUNTA($B$2:$B460))</f>
        <v/>
      </c>
      <c r="B460" s="11"/>
      <c r="C460" s="11"/>
      <c r="D460" s="11"/>
      <c r="E460" s="11"/>
      <c r="F460" s="11"/>
      <c r="G460" s="34"/>
      <c r="H460" s="25"/>
      <c r="I460" s="40"/>
      <c r="J460" s="34"/>
      <c r="K460" s="45"/>
      <c r="L460" s="34"/>
      <c r="M460" s="34"/>
      <c r="N460" s="11"/>
      <c r="O460" s="11"/>
      <c r="P460" s="11"/>
      <c r="Q460" s="11"/>
      <c r="R460" s="11"/>
      <c r="S460" s="46"/>
      <c r="T460" s="44" t="str">
        <f aca="false">IF($B460="","",COUNTA($N460:$R460)-COUNTIF($N460:$R460,"Not Invited"))</f>
        <v/>
      </c>
      <c r="U460" s="44" t="str">
        <f aca="false">IF($B460="","",COUNTIF($N460:$R460,"Attended"))</f>
        <v/>
      </c>
      <c r="V460" s="47" t="str">
        <f aca="false">IF($B460="","",_xlfn.TEXTJOIN(", ",TRUE(),IF($N460="Attended",Setup!$D$15,""),IF($O460="Attended",Setup!$D$16,""),IF($P460="Attended",Setup!$D$17,""),IF($Q460="Attended",Setup!$D$18,""),IF($R460="Attended",Setup!$D$19,"")))</f>
        <v/>
      </c>
      <c r="W460" s="48" t="str">
        <f aca="true">IF(OR($B460="",NOT(ISNUMBER($H460))),"",TODAY()-$H460)</f>
        <v/>
      </c>
      <c r="X460" s="47" t="str">
        <f aca="false">IF($B460="","",IF($U460&gt;0,"Event attendee",IF($G460="Yes","Met (no event)",IF($T460&gt;0,"Invited only",IF(OR($L460="Yes",$M460="Yes"),"Contacted only","Not yet contacted")))))</f>
        <v/>
      </c>
      <c r="Y460" s="47" t="str">
        <f aca="false">IF($B460="","",COUNTIF(c_Firm,"&lt;"&amp;$D460)+COUNTIFS(c_Firm,$D460,c_Name,"&lt;"&amp;$B460)+COUNTIFS($D$2:$D460,$D460,$B$2:$B460,$B460))</f>
        <v/>
      </c>
      <c r="Z460" s="47" t="str">
        <f aca="false">IF($B460="","",IF(AND(OR(Contacts!$C$3="(All)",$D460=Contacts!$C$3),OR(Contacts!$E$3="(All)",$G460=Contacts!$E$3),OR(Contacts!$G$3="(All)",ISNUMBER(SEARCH(Contacts!$G$3,$V460))),OR(Contacts!$I$3="(All)",$X460=Contacts!$I$3),OR(Contacts!$K$3="",ISNUMBER(SEARCH(Contacts!$K$3,$B460&amp;" "&amp;$C460&amp;" "&amp;$D460&amp;" "&amp;$S460)))),1,0))</f>
        <v/>
      </c>
      <c r="AA460" s="47" t="str">
        <f aca="false">IF($Z460=1,COUNTIFS(c_Pass,1,c_Sort,"&lt;="&amp;$Y460),"")</f>
        <v/>
      </c>
      <c r="AB460" s="47" t="str">
        <f aca="false">IF(OR($G460&lt;&gt;"Yes",NOT(ISNUMBER($H460))),"",COUNTIFS(c_Met,"Yes",c_Date,"&lt;"&amp;$H460)+COUNTIFS($G$2:$G460,"Yes",$H$2:$H460,$H460))</f>
        <v/>
      </c>
    </row>
    <row r="461" customFormat="false" ht="15" hidden="false" customHeight="false" outlineLevel="0" collapsed="false">
      <c r="A461" s="44" t="str">
        <f aca="false">IF($B461="","",COUNTA($B$2:$B461))</f>
        <v/>
      </c>
      <c r="B461" s="11"/>
      <c r="C461" s="11"/>
      <c r="D461" s="11"/>
      <c r="E461" s="11"/>
      <c r="F461" s="11"/>
      <c r="G461" s="34"/>
      <c r="H461" s="25"/>
      <c r="I461" s="40"/>
      <c r="J461" s="34"/>
      <c r="K461" s="45"/>
      <c r="L461" s="34"/>
      <c r="M461" s="34"/>
      <c r="N461" s="11"/>
      <c r="O461" s="11"/>
      <c r="P461" s="11"/>
      <c r="Q461" s="11"/>
      <c r="R461" s="11"/>
      <c r="S461" s="46"/>
      <c r="T461" s="44" t="str">
        <f aca="false">IF($B461="","",COUNTA($N461:$R461)-COUNTIF($N461:$R461,"Not Invited"))</f>
        <v/>
      </c>
      <c r="U461" s="44" t="str">
        <f aca="false">IF($B461="","",COUNTIF($N461:$R461,"Attended"))</f>
        <v/>
      </c>
      <c r="V461" s="47" t="str">
        <f aca="false">IF($B461="","",_xlfn.TEXTJOIN(", ",TRUE(),IF($N461="Attended",Setup!$D$15,""),IF($O461="Attended",Setup!$D$16,""),IF($P461="Attended",Setup!$D$17,""),IF($Q461="Attended",Setup!$D$18,""),IF($R461="Attended",Setup!$D$19,"")))</f>
        <v/>
      </c>
      <c r="W461" s="48" t="str">
        <f aca="true">IF(OR($B461="",NOT(ISNUMBER($H461))),"",TODAY()-$H461)</f>
        <v/>
      </c>
      <c r="X461" s="47" t="str">
        <f aca="false">IF($B461="","",IF($U461&gt;0,"Event attendee",IF($G461="Yes","Met (no event)",IF($T461&gt;0,"Invited only",IF(OR($L461="Yes",$M461="Yes"),"Contacted only","Not yet contacted")))))</f>
        <v/>
      </c>
      <c r="Y461" s="47" t="str">
        <f aca="false">IF($B461="","",COUNTIF(c_Firm,"&lt;"&amp;$D461)+COUNTIFS(c_Firm,$D461,c_Name,"&lt;"&amp;$B461)+COUNTIFS($D$2:$D461,$D461,$B$2:$B461,$B461))</f>
        <v/>
      </c>
      <c r="Z461" s="47" t="str">
        <f aca="false">IF($B461="","",IF(AND(OR(Contacts!$C$3="(All)",$D461=Contacts!$C$3),OR(Contacts!$E$3="(All)",$G461=Contacts!$E$3),OR(Contacts!$G$3="(All)",ISNUMBER(SEARCH(Contacts!$G$3,$V461))),OR(Contacts!$I$3="(All)",$X461=Contacts!$I$3),OR(Contacts!$K$3="",ISNUMBER(SEARCH(Contacts!$K$3,$B461&amp;" "&amp;$C461&amp;" "&amp;$D461&amp;" "&amp;$S461)))),1,0))</f>
        <v/>
      </c>
      <c r="AA461" s="47" t="str">
        <f aca="false">IF($Z461=1,COUNTIFS(c_Pass,1,c_Sort,"&lt;="&amp;$Y461),"")</f>
        <v/>
      </c>
      <c r="AB461" s="47" t="str">
        <f aca="false">IF(OR($G461&lt;&gt;"Yes",NOT(ISNUMBER($H461))),"",COUNTIFS(c_Met,"Yes",c_Date,"&lt;"&amp;$H461)+COUNTIFS($G$2:$G461,"Yes",$H$2:$H461,$H461))</f>
        <v/>
      </c>
    </row>
    <row r="462" customFormat="false" ht="15" hidden="false" customHeight="false" outlineLevel="0" collapsed="false">
      <c r="A462" s="44" t="str">
        <f aca="false">IF($B462="","",COUNTA($B$2:$B462))</f>
        <v/>
      </c>
      <c r="B462" s="11"/>
      <c r="C462" s="11"/>
      <c r="D462" s="11"/>
      <c r="E462" s="11"/>
      <c r="F462" s="11"/>
      <c r="G462" s="34"/>
      <c r="H462" s="25"/>
      <c r="I462" s="40"/>
      <c r="J462" s="34"/>
      <c r="K462" s="45"/>
      <c r="L462" s="34"/>
      <c r="M462" s="34"/>
      <c r="N462" s="11"/>
      <c r="O462" s="11"/>
      <c r="P462" s="11"/>
      <c r="Q462" s="11"/>
      <c r="R462" s="11"/>
      <c r="S462" s="46"/>
      <c r="T462" s="44" t="str">
        <f aca="false">IF($B462="","",COUNTA($N462:$R462)-COUNTIF($N462:$R462,"Not Invited"))</f>
        <v/>
      </c>
      <c r="U462" s="44" t="str">
        <f aca="false">IF($B462="","",COUNTIF($N462:$R462,"Attended"))</f>
        <v/>
      </c>
      <c r="V462" s="47" t="str">
        <f aca="false">IF($B462="","",_xlfn.TEXTJOIN(", ",TRUE(),IF($N462="Attended",Setup!$D$15,""),IF($O462="Attended",Setup!$D$16,""),IF($P462="Attended",Setup!$D$17,""),IF($Q462="Attended",Setup!$D$18,""),IF($R462="Attended",Setup!$D$19,"")))</f>
        <v/>
      </c>
      <c r="W462" s="48" t="str">
        <f aca="true">IF(OR($B462="",NOT(ISNUMBER($H462))),"",TODAY()-$H462)</f>
        <v/>
      </c>
      <c r="X462" s="47" t="str">
        <f aca="false">IF($B462="","",IF($U462&gt;0,"Event attendee",IF($G462="Yes","Met (no event)",IF($T462&gt;0,"Invited only",IF(OR($L462="Yes",$M462="Yes"),"Contacted only","Not yet contacted")))))</f>
        <v/>
      </c>
      <c r="Y462" s="47" t="str">
        <f aca="false">IF($B462="","",COUNTIF(c_Firm,"&lt;"&amp;$D462)+COUNTIFS(c_Firm,$D462,c_Name,"&lt;"&amp;$B462)+COUNTIFS($D$2:$D462,$D462,$B$2:$B462,$B462))</f>
        <v/>
      </c>
      <c r="Z462" s="47" t="str">
        <f aca="false">IF($B462="","",IF(AND(OR(Contacts!$C$3="(All)",$D462=Contacts!$C$3),OR(Contacts!$E$3="(All)",$G462=Contacts!$E$3),OR(Contacts!$G$3="(All)",ISNUMBER(SEARCH(Contacts!$G$3,$V462))),OR(Contacts!$I$3="(All)",$X462=Contacts!$I$3),OR(Contacts!$K$3="",ISNUMBER(SEARCH(Contacts!$K$3,$B462&amp;" "&amp;$C462&amp;" "&amp;$D462&amp;" "&amp;$S462)))),1,0))</f>
        <v/>
      </c>
      <c r="AA462" s="47" t="str">
        <f aca="false">IF($Z462=1,COUNTIFS(c_Pass,1,c_Sort,"&lt;="&amp;$Y462),"")</f>
        <v/>
      </c>
      <c r="AB462" s="47" t="str">
        <f aca="false">IF(OR($G462&lt;&gt;"Yes",NOT(ISNUMBER($H462))),"",COUNTIFS(c_Met,"Yes",c_Date,"&lt;"&amp;$H462)+COUNTIFS($G$2:$G462,"Yes",$H$2:$H462,$H462))</f>
        <v/>
      </c>
    </row>
    <row r="463" customFormat="false" ht="15" hidden="false" customHeight="false" outlineLevel="0" collapsed="false">
      <c r="A463" s="44" t="str">
        <f aca="false">IF($B463="","",COUNTA($B$2:$B463))</f>
        <v/>
      </c>
      <c r="B463" s="11"/>
      <c r="C463" s="11"/>
      <c r="D463" s="11"/>
      <c r="E463" s="11"/>
      <c r="F463" s="11"/>
      <c r="G463" s="34"/>
      <c r="H463" s="25"/>
      <c r="I463" s="40"/>
      <c r="J463" s="34"/>
      <c r="K463" s="45"/>
      <c r="L463" s="34"/>
      <c r="M463" s="34"/>
      <c r="N463" s="11"/>
      <c r="O463" s="11"/>
      <c r="P463" s="11"/>
      <c r="Q463" s="11"/>
      <c r="R463" s="11"/>
      <c r="S463" s="46"/>
      <c r="T463" s="44" t="str">
        <f aca="false">IF($B463="","",COUNTA($N463:$R463)-COUNTIF($N463:$R463,"Not Invited"))</f>
        <v/>
      </c>
      <c r="U463" s="44" t="str">
        <f aca="false">IF($B463="","",COUNTIF($N463:$R463,"Attended"))</f>
        <v/>
      </c>
      <c r="V463" s="47" t="str">
        <f aca="false">IF($B463="","",_xlfn.TEXTJOIN(", ",TRUE(),IF($N463="Attended",Setup!$D$15,""),IF($O463="Attended",Setup!$D$16,""),IF($P463="Attended",Setup!$D$17,""),IF($Q463="Attended",Setup!$D$18,""),IF($R463="Attended",Setup!$D$19,"")))</f>
        <v/>
      </c>
      <c r="W463" s="48" t="str">
        <f aca="true">IF(OR($B463="",NOT(ISNUMBER($H463))),"",TODAY()-$H463)</f>
        <v/>
      </c>
      <c r="X463" s="47" t="str">
        <f aca="false">IF($B463="","",IF($U463&gt;0,"Event attendee",IF($G463="Yes","Met (no event)",IF($T463&gt;0,"Invited only",IF(OR($L463="Yes",$M463="Yes"),"Contacted only","Not yet contacted")))))</f>
        <v/>
      </c>
      <c r="Y463" s="47" t="str">
        <f aca="false">IF($B463="","",COUNTIF(c_Firm,"&lt;"&amp;$D463)+COUNTIFS(c_Firm,$D463,c_Name,"&lt;"&amp;$B463)+COUNTIFS($D$2:$D463,$D463,$B$2:$B463,$B463))</f>
        <v/>
      </c>
      <c r="Z463" s="47" t="str">
        <f aca="false">IF($B463="","",IF(AND(OR(Contacts!$C$3="(All)",$D463=Contacts!$C$3),OR(Contacts!$E$3="(All)",$G463=Contacts!$E$3),OR(Contacts!$G$3="(All)",ISNUMBER(SEARCH(Contacts!$G$3,$V463))),OR(Contacts!$I$3="(All)",$X463=Contacts!$I$3),OR(Contacts!$K$3="",ISNUMBER(SEARCH(Contacts!$K$3,$B463&amp;" "&amp;$C463&amp;" "&amp;$D463&amp;" "&amp;$S463)))),1,0))</f>
        <v/>
      </c>
      <c r="AA463" s="47" t="str">
        <f aca="false">IF($Z463=1,COUNTIFS(c_Pass,1,c_Sort,"&lt;="&amp;$Y463),"")</f>
        <v/>
      </c>
      <c r="AB463" s="47" t="str">
        <f aca="false">IF(OR($G463&lt;&gt;"Yes",NOT(ISNUMBER($H463))),"",COUNTIFS(c_Met,"Yes",c_Date,"&lt;"&amp;$H463)+COUNTIFS($G$2:$G463,"Yes",$H$2:$H463,$H463))</f>
        <v/>
      </c>
    </row>
    <row r="464" customFormat="false" ht="15" hidden="false" customHeight="false" outlineLevel="0" collapsed="false">
      <c r="A464" s="44" t="str">
        <f aca="false">IF($B464="","",COUNTA($B$2:$B464))</f>
        <v/>
      </c>
      <c r="B464" s="11"/>
      <c r="C464" s="11"/>
      <c r="D464" s="11"/>
      <c r="E464" s="11"/>
      <c r="F464" s="11"/>
      <c r="G464" s="34"/>
      <c r="H464" s="25"/>
      <c r="I464" s="40"/>
      <c r="J464" s="34"/>
      <c r="K464" s="45"/>
      <c r="L464" s="34"/>
      <c r="M464" s="34"/>
      <c r="N464" s="11"/>
      <c r="O464" s="11"/>
      <c r="P464" s="11"/>
      <c r="Q464" s="11"/>
      <c r="R464" s="11"/>
      <c r="S464" s="46"/>
      <c r="T464" s="44" t="str">
        <f aca="false">IF($B464="","",COUNTA($N464:$R464)-COUNTIF($N464:$R464,"Not Invited"))</f>
        <v/>
      </c>
      <c r="U464" s="44" t="str">
        <f aca="false">IF($B464="","",COUNTIF($N464:$R464,"Attended"))</f>
        <v/>
      </c>
      <c r="V464" s="47" t="str">
        <f aca="false">IF($B464="","",_xlfn.TEXTJOIN(", ",TRUE(),IF($N464="Attended",Setup!$D$15,""),IF($O464="Attended",Setup!$D$16,""),IF($P464="Attended",Setup!$D$17,""),IF($Q464="Attended",Setup!$D$18,""),IF($R464="Attended",Setup!$D$19,"")))</f>
        <v/>
      </c>
      <c r="W464" s="48" t="str">
        <f aca="true">IF(OR($B464="",NOT(ISNUMBER($H464))),"",TODAY()-$H464)</f>
        <v/>
      </c>
      <c r="X464" s="47" t="str">
        <f aca="false">IF($B464="","",IF($U464&gt;0,"Event attendee",IF($G464="Yes","Met (no event)",IF($T464&gt;0,"Invited only",IF(OR($L464="Yes",$M464="Yes"),"Contacted only","Not yet contacted")))))</f>
        <v/>
      </c>
      <c r="Y464" s="47" t="str">
        <f aca="false">IF($B464="","",COUNTIF(c_Firm,"&lt;"&amp;$D464)+COUNTIFS(c_Firm,$D464,c_Name,"&lt;"&amp;$B464)+COUNTIFS($D$2:$D464,$D464,$B$2:$B464,$B464))</f>
        <v/>
      </c>
      <c r="Z464" s="47" t="str">
        <f aca="false">IF($B464="","",IF(AND(OR(Contacts!$C$3="(All)",$D464=Contacts!$C$3),OR(Contacts!$E$3="(All)",$G464=Contacts!$E$3),OR(Contacts!$G$3="(All)",ISNUMBER(SEARCH(Contacts!$G$3,$V464))),OR(Contacts!$I$3="(All)",$X464=Contacts!$I$3),OR(Contacts!$K$3="",ISNUMBER(SEARCH(Contacts!$K$3,$B464&amp;" "&amp;$C464&amp;" "&amp;$D464&amp;" "&amp;$S464)))),1,0))</f>
        <v/>
      </c>
      <c r="AA464" s="47" t="str">
        <f aca="false">IF($Z464=1,COUNTIFS(c_Pass,1,c_Sort,"&lt;="&amp;$Y464),"")</f>
        <v/>
      </c>
      <c r="AB464" s="47" t="str">
        <f aca="false">IF(OR($G464&lt;&gt;"Yes",NOT(ISNUMBER($H464))),"",COUNTIFS(c_Met,"Yes",c_Date,"&lt;"&amp;$H464)+COUNTIFS($G$2:$G464,"Yes",$H$2:$H464,$H464))</f>
        <v/>
      </c>
    </row>
    <row r="465" customFormat="false" ht="15" hidden="false" customHeight="false" outlineLevel="0" collapsed="false">
      <c r="A465" s="44" t="str">
        <f aca="false">IF($B465="","",COUNTA($B$2:$B465))</f>
        <v/>
      </c>
      <c r="B465" s="11"/>
      <c r="C465" s="11"/>
      <c r="D465" s="11"/>
      <c r="E465" s="11"/>
      <c r="F465" s="11"/>
      <c r="G465" s="34"/>
      <c r="H465" s="25"/>
      <c r="I465" s="40"/>
      <c r="J465" s="34"/>
      <c r="K465" s="45"/>
      <c r="L465" s="34"/>
      <c r="M465" s="34"/>
      <c r="N465" s="11"/>
      <c r="O465" s="11"/>
      <c r="P465" s="11"/>
      <c r="Q465" s="11"/>
      <c r="R465" s="11"/>
      <c r="S465" s="46"/>
      <c r="T465" s="44" t="str">
        <f aca="false">IF($B465="","",COUNTA($N465:$R465)-COUNTIF($N465:$R465,"Not Invited"))</f>
        <v/>
      </c>
      <c r="U465" s="44" t="str">
        <f aca="false">IF($B465="","",COUNTIF($N465:$R465,"Attended"))</f>
        <v/>
      </c>
      <c r="V465" s="47" t="str">
        <f aca="false">IF($B465="","",_xlfn.TEXTJOIN(", ",TRUE(),IF($N465="Attended",Setup!$D$15,""),IF($O465="Attended",Setup!$D$16,""),IF($P465="Attended",Setup!$D$17,""),IF($Q465="Attended",Setup!$D$18,""),IF($R465="Attended",Setup!$D$19,"")))</f>
        <v/>
      </c>
      <c r="W465" s="48" t="str">
        <f aca="true">IF(OR($B465="",NOT(ISNUMBER($H465))),"",TODAY()-$H465)</f>
        <v/>
      </c>
      <c r="X465" s="47" t="str">
        <f aca="false">IF($B465="","",IF($U465&gt;0,"Event attendee",IF($G465="Yes","Met (no event)",IF($T465&gt;0,"Invited only",IF(OR($L465="Yes",$M465="Yes"),"Contacted only","Not yet contacted")))))</f>
        <v/>
      </c>
      <c r="Y465" s="47" t="str">
        <f aca="false">IF($B465="","",COUNTIF(c_Firm,"&lt;"&amp;$D465)+COUNTIFS(c_Firm,$D465,c_Name,"&lt;"&amp;$B465)+COUNTIFS($D$2:$D465,$D465,$B$2:$B465,$B465))</f>
        <v/>
      </c>
      <c r="Z465" s="47" t="str">
        <f aca="false">IF($B465="","",IF(AND(OR(Contacts!$C$3="(All)",$D465=Contacts!$C$3),OR(Contacts!$E$3="(All)",$G465=Contacts!$E$3),OR(Contacts!$G$3="(All)",ISNUMBER(SEARCH(Contacts!$G$3,$V465))),OR(Contacts!$I$3="(All)",$X465=Contacts!$I$3),OR(Contacts!$K$3="",ISNUMBER(SEARCH(Contacts!$K$3,$B465&amp;" "&amp;$C465&amp;" "&amp;$D465&amp;" "&amp;$S465)))),1,0))</f>
        <v/>
      </c>
      <c r="AA465" s="47" t="str">
        <f aca="false">IF($Z465=1,COUNTIFS(c_Pass,1,c_Sort,"&lt;="&amp;$Y465),"")</f>
        <v/>
      </c>
      <c r="AB465" s="47" t="str">
        <f aca="false">IF(OR($G465&lt;&gt;"Yes",NOT(ISNUMBER($H465))),"",COUNTIFS(c_Met,"Yes",c_Date,"&lt;"&amp;$H465)+COUNTIFS($G$2:$G465,"Yes",$H$2:$H465,$H465))</f>
        <v/>
      </c>
    </row>
    <row r="466" customFormat="false" ht="15" hidden="false" customHeight="false" outlineLevel="0" collapsed="false">
      <c r="A466" s="44" t="str">
        <f aca="false">IF($B466="","",COUNTA($B$2:$B466))</f>
        <v/>
      </c>
      <c r="B466" s="11"/>
      <c r="C466" s="11"/>
      <c r="D466" s="11"/>
      <c r="E466" s="11"/>
      <c r="F466" s="11"/>
      <c r="G466" s="34"/>
      <c r="H466" s="25"/>
      <c r="I466" s="40"/>
      <c r="J466" s="34"/>
      <c r="K466" s="45"/>
      <c r="L466" s="34"/>
      <c r="M466" s="34"/>
      <c r="N466" s="11"/>
      <c r="O466" s="11"/>
      <c r="P466" s="11"/>
      <c r="Q466" s="11"/>
      <c r="R466" s="11"/>
      <c r="S466" s="46"/>
      <c r="T466" s="44" t="str">
        <f aca="false">IF($B466="","",COUNTA($N466:$R466)-COUNTIF($N466:$R466,"Not Invited"))</f>
        <v/>
      </c>
      <c r="U466" s="44" t="str">
        <f aca="false">IF($B466="","",COUNTIF($N466:$R466,"Attended"))</f>
        <v/>
      </c>
      <c r="V466" s="47" t="str">
        <f aca="false">IF($B466="","",_xlfn.TEXTJOIN(", ",TRUE(),IF($N466="Attended",Setup!$D$15,""),IF($O466="Attended",Setup!$D$16,""),IF($P466="Attended",Setup!$D$17,""),IF($Q466="Attended",Setup!$D$18,""),IF($R466="Attended",Setup!$D$19,"")))</f>
        <v/>
      </c>
      <c r="W466" s="48" t="str">
        <f aca="true">IF(OR($B466="",NOT(ISNUMBER($H466))),"",TODAY()-$H466)</f>
        <v/>
      </c>
      <c r="X466" s="47" t="str">
        <f aca="false">IF($B466="","",IF($U466&gt;0,"Event attendee",IF($G466="Yes","Met (no event)",IF($T466&gt;0,"Invited only",IF(OR($L466="Yes",$M466="Yes"),"Contacted only","Not yet contacted")))))</f>
        <v/>
      </c>
      <c r="Y466" s="47" t="str">
        <f aca="false">IF($B466="","",COUNTIF(c_Firm,"&lt;"&amp;$D466)+COUNTIFS(c_Firm,$D466,c_Name,"&lt;"&amp;$B466)+COUNTIFS($D$2:$D466,$D466,$B$2:$B466,$B466))</f>
        <v/>
      </c>
      <c r="Z466" s="47" t="str">
        <f aca="false">IF($B466="","",IF(AND(OR(Contacts!$C$3="(All)",$D466=Contacts!$C$3),OR(Contacts!$E$3="(All)",$G466=Contacts!$E$3),OR(Contacts!$G$3="(All)",ISNUMBER(SEARCH(Contacts!$G$3,$V466))),OR(Contacts!$I$3="(All)",$X466=Contacts!$I$3),OR(Contacts!$K$3="",ISNUMBER(SEARCH(Contacts!$K$3,$B466&amp;" "&amp;$C466&amp;" "&amp;$D466&amp;" "&amp;$S466)))),1,0))</f>
        <v/>
      </c>
      <c r="AA466" s="47" t="str">
        <f aca="false">IF($Z466=1,COUNTIFS(c_Pass,1,c_Sort,"&lt;="&amp;$Y466),"")</f>
        <v/>
      </c>
      <c r="AB466" s="47" t="str">
        <f aca="false">IF(OR($G466&lt;&gt;"Yes",NOT(ISNUMBER($H466))),"",COUNTIFS(c_Met,"Yes",c_Date,"&lt;"&amp;$H466)+COUNTIFS($G$2:$G466,"Yes",$H$2:$H466,$H466))</f>
        <v/>
      </c>
    </row>
    <row r="467" customFormat="false" ht="15" hidden="false" customHeight="false" outlineLevel="0" collapsed="false">
      <c r="A467" s="44" t="str">
        <f aca="false">IF($B467="","",COUNTA($B$2:$B467))</f>
        <v/>
      </c>
      <c r="B467" s="11"/>
      <c r="C467" s="11"/>
      <c r="D467" s="11"/>
      <c r="E467" s="11"/>
      <c r="F467" s="11"/>
      <c r="G467" s="34"/>
      <c r="H467" s="25"/>
      <c r="I467" s="40"/>
      <c r="J467" s="34"/>
      <c r="K467" s="45"/>
      <c r="L467" s="34"/>
      <c r="M467" s="34"/>
      <c r="N467" s="11"/>
      <c r="O467" s="11"/>
      <c r="P467" s="11"/>
      <c r="Q467" s="11"/>
      <c r="R467" s="11"/>
      <c r="S467" s="46"/>
      <c r="T467" s="44" t="str">
        <f aca="false">IF($B467="","",COUNTA($N467:$R467)-COUNTIF($N467:$R467,"Not Invited"))</f>
        <v/>
      </c>
      <c r="U467" s="44" t="str">
        <f aca="false">IF($B467="","",COUNTIF($N467:$R467,"Attended"))</f>
        <v/>
      </c>
      <c r="V467" s="47" t="str">
        <f aca="false">IF($B467="","",_xlfn.TEXTJOIN(", ",TRUE(),IF($N467="Attended",Setup!$D$15,""),IF($O467="Attended",Setup!$D$16,""),IF($P467="Attended",Setup!$D$17,""),IF($Q467="Attended",Setup!$D$18,""),IF($R467="Attended",Setup!$D$19,"")))</f>
        <v/>
      </c>
      <c r="W467" s="48" t="str">
        <f aca="true">IF(OR($B467="",NOT(ISNUMBER($H467))),"",TODAY()-$H467)</f>
        <v/>
      </c>
      <c r="X467" s="47" t="str">
        <f aca="false">IF($B467="","",IF($U467&gt;0,"Event attendee",IF($G467="Yes","Met (no event)",IF($T467&gt;0,"Invited only",IF(OR($L467="Yes",$M467="Yes"),"Contacted only","Not yet contacted")))))</f>
        <v/>
      </c>
      <c r="Y467" s="47" t="str">
        <f aca="false">IF($B467="","",COUNTIF(c_Firm,"&lt;"&amp;$D467)+COUNTIFS(c_Firm,$D467,c_Name,"&lt;"&amp;$B467)+COUNTIFS($D$2:$D467,$D467,$B$2:$B467,$B467))</f>
        <v/>
      </c>
      <c r="Z467" s="47" t="str">
        <f aca="false">IF($B467="","",IF(AND(OR(Contacts!$C$3="(All)",$D467=Contacts!$C$3),OR(Contacts!$E$3="(All)",$G467=Contacts!$E$3),OR(Contacts!$G$3="(All)",ISNUMBER(SEARCH(Contacts!$G$3,$V467))),OR(Contacts!$I$3="(All)",$X467=Contacts!$I$3),OR(Contacts!$K$3="",ISNUMBER(SEARCH(Contacts!$K$3,$B467&amp;" "&amp;$C467&amp;" "&amp;$D467&amp;" "&amp;$S467)))),1,0))</f>
        <v/>
      </c>
      <c r="AA467" s="47" t="str">
        <f aca="false">IF($Z467=1,COUNTIFS(c_Pass,1,c_Sort,"&lt;="&amp;$Y467),"")</f>
        <v/>
      </c>
      <c r="AB467" s="47" t="str">
        <f aca="false">IF(OR($G467&lt;&gt;"Yes",NOT(ISNUMBER($H467))),"",COUNTIFS(c_Met,"Yes",c_Date,"&lt;"&amp;$H467)+COUNTIFS($G$2:$G467,"Yes",$H$2:$H467,$H467))</f>
        <v/>
      </c>
    </row>
    <row r="468" customFormat="false" ht="15" hidden="false" customHeight="false" outlineLevel="0" collapsed="false">
      <c r="A468" s="44" t="str">
        <f aca="false">IF($B468="","",COUNTA($B$2:$B468))</f>
        <v/>
      </c>
      <c r="B468" s="11"/>
      <c r="C468" s="11"/>
      <c r="D468" s="11"/>
      <c r="E468" s="11"/>
      <c r="F468" s="11"/>
      <c r="G468" s="34"/>
      <c r="H468" s="25"/>
      <c r="I468" s="40"/>
      <c r="J468" s="34"/>
      <c r="K468" s="45"/>
      <c r="L468" s="34"/>
      <c r="M468" s="34"/>
      <c r="N468" s="11"/>
      <c r="O468" s="11"/>
      <c r="P468" s="11"/>
      <c r="Q468" s="11"/>
      <c r="R468" s="11"/>
      <c r="S468" s="46"/>
      <c r="T468" s="44" t="str">
        <f aca="false">IF($B468="","",COUNTA($N468:$R468)-COUNTIF($N468:$R468,"Not Invited"))</f>
        <v/>
      </c>
      <c r="U468" s="44" t="str">
        <f aca="false">IF($B468="","",COUNTIF($N468:$R468,"Attended"))</f>
        <v/>
      </c>
      <c r="V468" s="47" t="str">
        <f aca="false">IF($B468="","",_xlfn.TEXTJOIN(", ",TRUE(),IF($N468="Attended",Setup!$D$15,""),IF($O468="Attended",Setup!$D$16,""),IF($P468="Attended",Setup!$D$17,""),IF($Q468="Attended",Setup!$D$18,""),IF($R468="Attended",Setup!$D$19,"")))</f>
        <v/>
      </c>
      <c r="W468" s="48" t="str">
        <f aca="true">IF(OR($B468="",NOT(ISNUMBER($H468))),"",TODAY()-$H468)</f>
        <v/>
      </c>
      <c r="X468" s="47" t="str">
        <f aca="false">IF($B468="","",IF($U468&gt;0,"Event attendee",IF($G468="Yes","Met (no event)",IF($T468&gt;0,"Invited only",IF(OR($L468="Yes",$M468="Yes"),"Contacted only","Not yet contacted")))))</f>
        <v/>
      </c>
      <c r="Y468" s="47" t="str">
        <f aca="false">IF($B468="","",COUNTIF(c_Firm,"&lt;"&amp;$D468)+COUNTIFS(c_Firm,$D468,c_Name,"&lt;"&amp;$B468)+COUNTIFS($D$2:$D468,$D468,$B$2:$B468,$B468))</f>
        <v/>
      </c>
      <c r="Z468" s="47" t="str">
        <f aca="false">IF($B468="","",IF(AND(OR(Contacts!$C$3="(All)",$D468=Contacts!$C$3),OR(Contacts!$E$3="(All)",$G468=Contacts!$E$3),OR(Contacts!$G$3="(All)",ISNUMBER(SEARCH(Contacts!$G$3,$V468))),OR(Contacts!$I$3="(All)",$X468=Contacts!$I$3),OR(Contacts!$K$3="",ISNUMBER(SEARCH(Contacts!$K$3,$B468&amp;" "&amp;$C468&amp;" "&amp;$D468&amp;" "&amp;$S468)))),1,0))</f>
        <v/>
      </c>
      <c r="AA468" s="47" t="str">
        <f aca="false">IF($Z468=1,COUNTIFS(c_Pass,1,c_Sort,"&lt;="&amp;$Y468),"")</f>
        <v/>
      </c>
      <c r="AB468" s="47" t="str">
        <f aca="false">IF(OR($G468&lt;&gt;"Yes",NOT(ISNUMBER($H468))),"",COUNTIFS(c_Met,"Yes",c_Date,"&lt;"&amp;$H468)+COUNTIFS($G$2:$G468,"Yes",$H$2:$H468,$H468))</f>
        <v/>
      </c>
    </row>
    <row r="469" customFormat="false" ht="15" hidden="false" customHeight="false" outlineLevel="0" collapsed="false">
      <c r="A469" s="44" t="str">
        <f aca="false">IF($B469="","",COUNTA($B$2:$B469))</f>
        <v/>
      </c>
      <c r="B469" s="11"/>
      <c r="C469" s="11"/>
      <c r="D469" s="11"/>
      <c r="E469" s="11"/>
      <c r="F469" s="11"/>
      <c r="G469" s="34"/>
      <c r="H469" s="25"/>
      <c r="I469" s="40"/>
      <c r="J469" s="34"/>
      <c r="K469" s="45"/>
      <c r="L469" s="34"/>
      <c r="M469" s="34"/>
      <c r="N469" s="11"/>
      <c r="O469" s="11"/>
      <c r="P469" s="11"/>
      <c r="Q469" s="11"/>
      <c r="R469" s="11"/>
      <c r="S469" s="46"/>
      <c r="T469" s="44" t="str">
        <f aca="false">IF($B469="","",COUNTA($N469:$R469)-COUNTIF($N469:$R469,"Not Invited"))</f>
        <v/>
      </c>
      <c r="U469" s="44" t="str">
        <f aca="false">IF($B469="","",COUNTIF($N469:$R469,"Attended"))</f>
        <v/>
      </c>
      <c r="V469" s="47" t="str">
        <f aca="false">IF($B469="","",_xlfn.TEXTJOIN(", ",TRUE(),IF($N469="Attended",Setup!$D$15,""),IF($O469="Attended",Setup!$D$16,""),IF($P469="Attended",Setup!$D$17,""),IF($Q469="Attended",Setup!$D$18,""),IF($R469="Attended",Setup!$D$19,"")))</f>
        <v/>
      </c>
      <c r="W469" s="48" t="str">
        <f aca="true">IF(OR($B469="",NOT(ISNUMBER($H469))),"",TODAY()-$H469)</f>
        <v/>
      </c>
      <c r="X469" s="47" t="str">
        <f aca="false">IF($B469="","",IF($U469&gt;0,"Event attendee",IF($G469="Yes","Met (no event)",IF($T469&gt;0,"Invited only",IF(OR($L469="Yes",$M469="Yes"),"Contacted only","Not yet contacted")))))</f>
        <v/>
      </c>
      <c r="Y469" s="47" t="str">
        <f aca="false">IF($B469="","",COUNTIF(c_Firm,"&lt;"&amp;$D469)+COUNTIFS(c_Firm,$D469,c_Name,"&lt;"&amp;$B469)+COUNTIFS($D$2:$D469,$D469,$B$2:$B469,$B469))</f>
        <v/>
      </c>
      <c r="Z469" s="47" t="str">
        <f aca="false">IF($B469="","",IF(AND(OR(Contacts!$C$3="(All)",$D469=Contacts!$C$3),OR(Contacts!$E$3="(All)",$G469=Contacts!$E$3),OR(Contacts!$G$3="(All)",ISNUMBER(SEARCH(Contacts!$G$3,$V469))),OR(Contacts!$I$3="(All)",$X469=Contacts!$I$3),OR(Contacts!$K$3="",ISNUMBER(SEARCH(Contacts!$K$3,$B469&amp;" "&amp;$C469&amp;" "&amp;$D469&amp;" "&amp;$S469)))),1,0))</f>
        <v/>
      </c>
      <c r="AA469" s="47" t="str">
        <f aca="false">IF($Z469=1,COUNTIFS(c_Pass,1,c_Sort,"&lt;="&amp;$Y469),"")</f>
        <v/>
      </c>
      <c r="AB469" s="47" t="str">
        <f aca="false">IF(OR($G469&lt;&gt;"Yes",NOT(ISNUMBER($H469))),"",COUNTIFS(c_Met,"Yes",c_Date,"&lt;"&amp;$H469)+COUNTIFS($G$2:$G469,"Yes",$H$2:$H469,$H469))</f>
        <v/>
      </c>
    </row>
    <row r="470" customFormat="false" ht="15" hidden="false" customHeight="false" outlineLevel="0" collapsed="false">
      <c r="A470" s="44" t="str">
        <f aca="false">IF($B470="","",COUNTA($B$2:$B470))</f>
        <v/>
      </c>
      <c r="B470" s="11"/>
      <c r="C470" s="11"/>
      <c r="D470" s="11"/>
      <c r="E470" s="11"/>
      <c r="F470" s="11"/>
      <c r="G470" s="34"/>
      <c r="H470" s="25"/>
      <c r="I470" s="40"/>
      <c r="J470" s="34"/>
      <c r="K470" s="45"/>
      <c r="L470" s="34"/>
      <c r="M470" s="34"/>
      <c r="N470" s="11"/>
      <c r="O470" s="11"/>
      <c r="P470" s="11"/>
      <c r="Q470" s="11"/>
      <c r="R470" s="11"/>
      <c r="S470" s="46"/>
      <c r="T470" s="44" t="str">
        <f aca="false">IF($B470="","",COUNTA($N470:$R470)-COUNTIF($N470:$R470,"Not Invited"))</f>
        <v/>
      </c>
      <c r="U470" s="44" t="str">
        <f aca="false">IF($B470="","",COUNTIF($N470:$R470,"Attended"))</f>
        <v/>
      </c>
      <c r="V470" s="47" t="str">
        <f aca="false">IF($B470="","",_xlfn.TEXTJOIN(", ",TRUE(),IF($N470="Attended",Setup!$D$15,""),IF($O470="Attended",Setup!$D$16,""),IF($P470="Attended",Setup!$D$17,""),IF($Q470="Attended",Setup!$D$18,""),IF($R470="Attended",Setup!$D$19,"")))</f>
        <v/>
      </c>
      <c r="W470" s="48" t="str">
        <f aca="true">IF(OR($B470="",NOT(ISNUMBER($H470))),"",TODAY()-$H470)</f>
        <v/>
      </c>
      <c r="X470" s="47" t="str">
        <f aca="false">IF($B470="","",IF($U470&gt;0,"Event attendee",IF($G470="Yes","Met (no event)",IF($T470&gt;0,"Invited only",IF(OR($L470="Yes",$M470="Yes"),"Contacted only","Not yet contacted")))))</f>
        <v/>
      </c>
      <c r="Y470" s="47" t="str">
        <f aca="false">IF($B470="","",COUNTIF(c_Firm,"&lt;"&amp;$D470)+COUNTIFS(c_Firm,$D470,c_Name,"&lt;"&amp;$B470)+COUNTIFS($D$2:$D470,$D470,$B$2:$B470,$B470))</f>
        <v/>
      </c>
      <c r="Z470" s="47" t="str">
        <f aca="false">IF($B470="","",IF(AND(OR(Contacts!$C$3="(All)",$D470=Contacts!$C$3),OR(Contacts!$E$3="(All)",$G470=Contacts!$E$3),OR(Contacts!$G$3="(All)",ISNUMBER(SEARCH(Contacts!$G$3,$V470))),OR(Contacts!$I$3="(All)",$X470=Contacts!$I$3),OR(Contacts!$K$3="",ISNUMBER(SEARCH(Contacts!$K$3,$B470&amp;" "&amp;$C470&amp;" "&amp;$D470&amp;" "&amp;$S470)))),1,0))</f>
        <v/>
      </c>
      <c r="AA470" s="47" t="str">
        <f aca="false">IF($Z470=1,COUNTIFS(c_Pass,1,c_Sort,"&lt;="&amp;$Y470),"")</f>
        <v/>
      </c>
      <c r="AB470" s="47" t="str">
        <f aca="false">IF(OR($G470&lt;&gt;"Yes",NOT(ISNUMBER($H470))),"",COUNTIFS(c_Met,"Yes",c_Date,"&lt;"&amp;$H470)+COUNTIFS($G$2:$G470,"Yes",$H$2:$H470,$H470))</f>
        <v/>
      </c>
    </row>
    <row r="471" customFormat="false" ht="15" hidden="false" customHeight="false" outlineLevel="0" collapsed="false">
      <c r="A471" s="44" t="str">
        <f aca="false">IF($B471="","",COUNTA($B$2:$B471))</f>
        <v/>
      </c>
      <c r="B471" s="11"/>
      <c r="C471" s="11"/>
      <c r="D471" s="11"/>
      <c r="E471" s="11"/>
      <c r="F471" s="11"/>
      <c r="G471" s="34"/>
      <c r="H471" s="25"/>
      <c r="I471" s="40"/>
      <c r="J471" s="34"/>
      <c r="K471" s="45"/>
      <c r="L471" s="34"/>
      <c r="M471" s="34"/>
      <c r="N471" s="11"/>
      <c r="O471" s="11"/>
      <c r="P471" s="11"/>
      <c r="Q471" s="11"/>
      <c r="R471" s="11"/>
      <c r="S471" s="46"/>
      <c r="T471" s="44" t="str">
        <f aca="false">IF($B471="","",COUNTA($N471:$R471)-COUNTIF($N471:$R471,"Not Invited"))</f>
        <v/>
      </c>
      <c r="U471" s="44" t="str">
        <f aca="false">IF($B471="","",COUNTIF($N471:$R471,"Attended"))</f>
        <v/>
      </c>
      <c r="V471" s="47" t="str">
        <f aca="false">IF($B471="","",_xlfn.TEXTJOIN(", ",TRUE(),IF($N471="Attended",Setup!$D$15,""),IF($O471="Attended",Setup!$D$16,""),IF($P471="Attended",Setup!$D$17,""),IF($Q471="Attended",Setup!$D$18,""),IF($R471="Attended",Setup!$D$19,"")))</f>
        <v/>
      </c>
      <c r="W471" s="48" t="str">
        <f aca="true">IF(OR($B471="",NOT(ISNUMBER($H471))),"",TODAY()-$H471)</f>
        <v/>
      </c>
      <c r="X471" s="47" t="str">
        <f aca="false">IF($B471="","",IF($U471&gt;0,"Event attendee",IF($G471="Yes","Met (no event)",IF($T471&gt;0,"Invited only",IF(OR($L471="Yes",$M471="Yes"),"Contacted only","Not yet contacted")))))</f>
        <v/>
      </c>
      <c r="Y471" s="47" t="str">
        <f aca="false">IF($B471="","",COUNTIF(c_Firm,"&lt;"&amp;$D471)+COUNTIFS(c_Firm,$D471,c_Name,"&lt;"&amp;$B471)+COUNTIFS($D$2:$D471,$D471,$B$2:$B471,$B471))</f>
        <v/>
      </c>
      <c r="Z471" s="47" t="str">
        <f aca="false">IF($B471="","",IF(AND(OR(Contacts!$C$3="(All)",$D471=Contacts!$C$3),OR(Contacts!$E$3="(All)",$G471=Contacts!$E$3),OR(Contacts!$G$3="(All)",ISNUMBER(SEARCH(Contacts!$G$3,$V471))),OR(Contacts!$I$3="(All)",$X471=Contacts!$I$3),OR(Contacts!$K$3="",ISNUMBER(SEARCH(Contacts!$K$3,$B471&amp;" "&amp;$C471&amp;" "&amp;$D471&amp;" "&amp;$S471)))),1,0))</f>
        <v/>
      </c>
      <c r="AA471" s="47" t="str">
        <f aca="false">IF($Z471=1,COUNTIFS(c_Pass,1,c_Sort,"&lt;="&amp;$Y471),"")</f>
        <v/>
      </c>
      <c r="AB471" s="47" t="str">
        <f aca="false">IF(OR($G471&lt;&gt;"Yes",NOT(ISNUMBER($H471))),"",COUNTIFS(c_Met,"Yes",c_Date,"&lt;"&amp;$H471)+COUNTIFS($G$2:$G471,"Yes",$H$2:$H471,$H471))</f>
        <v/>
      </c>
    </row>
    <row r="472" customFormat="false" ht="15" hidden="false" customHeight="false" outlineLevel="0" collapsed="false">
      <c r="A472" s="44" t="str">
        <f aca="false">IF($B472="","",COUNTA($B$2:$B472))</f>
        <v/>
      </c>
      <c r="B472" s="11"/>
      <c r="C472" s="11"/>
      <c r="D472" s="11"/>
      <c r="E472" s="11"/>
      <c r="F472" s="11"/>
      <c r="G472" s="34"/>
      <c r="H472" s="25"/>
      <c r="I472" s="40"/>
      <c r="J472" s="34"/>
      <c r="K472" s="45"/>
      <c r="L472" s="34"/>
      <c r="M472" s="34"/>
      <c r="N472" s="11"/>
      <c r="O472" s="11"/>
      <c r="P472" s="11"/>
      <c r="Q472" s="11"/>
      <c r="R472" s="11"/>
      <c r="S472" s="46"/>
      <c r="T472" s="44" t="str">
        <f aca="false">IF($B472="","",COUNTA($N472:$R472)-COUNTIF($N472:$R472,"Not Invited"))</f>
        <v/>
      </c>
      <c r="U472" s="44" t="str">
        <f aca="false">IF($B472="","",COUNTIF($N472:$R472,"Attended"))</f>
        <v/>
      </c>
      <c r="V472" s="47" t="str">
        <f aca="false">IF($B472="","",_xlfn.TEXTJOIN(", ",TRUE(),IF($N472="Attended",Setup!$D$15,""),IF($O472="Attended",Setup!$D$16,""),IF($P472="Attended",Setup!$D$17,""),IF($Q472="Attended",Setup!$D$18,""),IF($R472="Attended",Setup!$D$19,"")))</f>
        <v/>
      </c>
      <c r="W472" s="48" t="str">
        <f aca="true">IF(OR($B472="",NOT(ISNUMBER($H472))),"",TODAY()-$H472)</f>
        <v/>
      </c>
      <c r="X472" s="47" t="str">
        <f aca="false">IF($B472="","",IF($U472&gt;0,"Event attendee",IF($G472="Yes","Met (no event)",IF($T472&gt;0,"Invited only",IF(OR($L472="Yes",$M472="Yes"),"Contacted only","Not yet contacted")))))</f>
        <v/>
      </c>
      <c r="Y472" s="47" t="str">
        <f aca="false">IF($B472="","",COUNTIF(c_Firm,"&lt;"&amp;$D472)+COUNTIFS(c_Firm,$D472,c_Name,"&lt;"&amp;$B472)+COUNTIFS($D$2:$D472,$D472,$B$2:$B472,$B472))</f>
        <v/>
      </c>
      <c r="Z472" s="47" t="str">
        <f aca="false">IF($B472="","",IF(AND(OR(Contacts!$C$3="(All)",$D472=Contacts!$C$3),OR(Contacts!$E$3="(All)",$G472=Contacts!$E$3),OR(Contacts!$G$3="(All)",ISNUMBER(SEARCH(Contacts!$G$3,$V472))),OR(Contacts!$I$3="(All)",$X472=Contacts!$I$3),OR(Contacts!$K$3="",ISNUMBER(SEARCH(Contacts!$K$3,$B472&amp;" "&amp;$C472&amp;" "&amp;$D472&amp;" "&amp;$S472)))),1,0))</f>
        <v/>
      </c>
      <c r="AA472" s="47" t="str">
        <f aca="false">IF($Z472=1,COUNTIFS(c_Pass,1,c_Sort,"&lt;="&amp;$Y472),"")</f>
        <v/>
      </c>
      <c r="AB472" s="47" t="str">
        <f aca="false">IF(OR($G472&lt;&gt;"Yes",NOT(ISNUMBER($H472))),"",COUNTIFS(c_Met,"Yes",c_Date,"&lt;"&amp;$H472)+COUNTIFS($G$2:$G472,"Yes",$H$2:$H472,$H472))</f>
        <v/>
      </c>
    </row>
    <row r="473" customFormat="false" ht="15" hidden="false" customHeight="false" outlineLevel="0" collapsed="false">
      <c r="A473" s="44" t="str">
        <f aca="false">IF($B473="","",COUNTA($B$2:$B473))</f>
        <v/>
      </c>
      <c r="B473" s="11"/>
      <c r="C473" s="11"/>
      <c r="D473" s="11"/>
      <c r="E473" s="11"/>
      <c r="F473" s="11"/>
      <c r="G473" s="34"/>
      <c r="H473" s="25"/>
      <c r="I473" s="40"/>
      <c r="J473" s="34"/>
      <c r="K473" s="45"/>
      <c r="L473" s="34"/>
      <c r="M473" s="34"/>
      <c r="N473" s="11"/>
      <c r="O473" s="11"/>
      <c r="P473" s="11"/>
      <c r="Q473" s="11"/>
      <c r="R473" s="11"/>
      <c r="S473" s="46"/>
      <c r="T473" s="44" t="str">
        <f aca="false">IF($B473="","",COUNTA($N473:$R473)-COUNTIF($N473:$R473,"Not Invited"))</f>
        <v/>
      </c>
      <c r="U473" s="44" t="str">
        <f aca="false">IF($B473="","",COUNTIF($N473:$R473,"Attended"))</f>
        <v/>
      </c>
      <c r="V473" s="47" t="str">
        <f aca="false">IF($B473="","",_xlfn.TEXTJOIN(", ",TRUE(),IF($N473="Attended",Setup!$D$15,""),IF($O473="Attended",Setup!$D$16,""),IF($P473="Attended",Setup!$D$17,""),IF($Q473="Attended",Setup!$D$18,""),IF($R473="Attended",Setup!$D$19,"")))</f>
        <v/>
      </c>
      <c r="W473" s="48" t="str">
        <f aca="true">IF(OR($B473="",NOT(ISNUMBER($H473))),"",TODAY()-$H473)</f>
        <v/>
      </c>
      <c r="X473" s="47" t="str">
        <f aca="false">IF($B473="","",IF($U473&gt;0,"Event attendee",IF($G473="Yes","Met (no event)",IF($T473&gt;0,"Invited only",IF(OR($L473="Yes",$M473="Yes"),"Contacted only","Not yet contacted")))))</f>
        <v/>
      </c>
      <c r="Y473" s="47" t="str">
        <f aca="false">IF($B473="","",COUNTIF(c_Firm,"&lt;"&amp;$D473)+COUNTIFS(c_Firm,$D473,c_Name,"&lt;"&amp;$B473)+COUNTIFS($D$2:$D473,$D473,$B$2:$B473,$B473))</f>
        <v/>
      </c>
      <c r="Z473" s="47" t="str">
        <f aca="false">IF($B473="","",IF(AND(OR(Contacts!$C$3="(All)",$D473=Contacts!$C$3),OR(Contacts!$E$3="(All)",$G473=Contacts!$E$3),OR(Contacts!$G$3="(All)",ISNUMBER(SEARCH(Contacts!$G$3,$V473))),OR(Contacts!$I$3="(All)",$X473=Contacts!$I$3),OR(Contacts!$K$3="",ISNUMBER(SEARCH(Contacts!$K$3,$B473&amp;" "&amp;$C473&amp;" "&amp;$D473&amp;" "&amp;$S473)))),1,0))</f>
        <v/>
      </c>
      <c r="AA473" s="47" t="str">
        <f aca="false">IF($Z473=1,COUNTIFS(c_Pass,1,c_Sort,"&lt;="&amp;$Y473),"")</f>
        <v/>
      </c>
      <c r="AB473" s="47" t="str">
        <f aca="false">IF(OR($G473&lt;&gt;"Yes",NOT(ISNUMBER($H473))),"",COUNTIFS(c_Met,"Yes",c_Date,"&lt;"&amp;$H473)+COUNTIFS($G$2:$G473,"Yes",$H$2:$H473,$H473))</f>
        <v/>
      </c>
    </row>
    <row r="474" customFormat="false" ht="15" hidden="false" customHeight="false" outlineLevel="0" collapsed="false">
      <c r="A474" s="44" t="str">
        <f aca="false">IF($B474="","",COUNTA($B$2:$B474))</f>
        <v/>
      </c>
      <c r="B474" s="11"/>
      <c r="C474" s="11"/>
      <c r="D474" s="11"/>
      <c r="E474" s="11"/>
      <c r="F474" s="11"/>
      <c r="G474" s="34"/>
      <c r="H474" s="25"/>
      <c r="I474" s="40"/>
      <c r="J474" s="34"/>
      <c r="K474" s="45"/>
      <c r="L474" s="34"/>
      <c r="M474" s="34"/>
      <c r="N474" s="11"/>
      <c r="O474" s="11"/>
      <c r="P474" s="11"/>
      <c r="Q474" s="11"/>
      <c r="R474" s="11"/>
      <c r="S474" s="46"/>
      <c r="T474" s="44" t="str">
        <f aca="false">IF($B474="","",COUNTA($N474:$R474)-COUNTIF($N474:$R474,"Not Invited"))</f>
        <v/>
      </c>
      <c r="U474" s="44" t="str">
        <f aca="false">IF($B474="","",COUNTIF($N474:$R474,"Attended"))</f>
        <v/>
      </c>
      <c r="V474" s="47" t="str">
        <f aca="false">IF($B474="","",_xlfn.TEXTJOIN(", ",TRUE(),IF($N474="Attended",Setup!$D$15,""),IF($O474="Attended",Setup!$D$16,""),IF($P474="Attended",Setup!$D$17,""),IF($Q474="Attended",Setup!$D$18,""),IF($R474="Attended",Setup!$D$19,"")))</f>
        <v/>
      </c>
      <c r="W474" s="48" t="str">
        <f aca="true">IF(OR($B474="",NOT(ISNUMBER($H474))),"",TODAY()-$H474)</f>
        <v/>
      </c>
      <c r="X474" s="47" t="str">
        <f aca="false">IF($B474="","",IF($U474&gt;0,"Event attendee",IF($G474="Yes","Met (no event)",IF($T474&gt;0,"Invited only",IF(OR($L474="Yes",$M474="Yes"),"Contacted only","Not yet contacted")))))</f>
        <v/>
      </c>
      <c r="Y474" s="47" t="str">
        <f aca="false">IF($B474="","",COUNTIF(c_Firm,"&lt;"&amp;$D474)+COUNTIFS(c_Firm,$D474,c_Name,"&lt;"&amp;$B474)+COUNTIFS($D$2:$D474,$D474,$B$2:$B474,$B474))</f>
        <v/>
      </c>
      <c r="Z474" s="47" t="str">
        <f aca="false">IF($B474="","",IF(AND(OR(Contacts!$C$3="(All)",$D474=Contacts!$C$3),OR(Contacts!$E$3="(All)",$G474=Contacts!$E$3),OR(Contacts!$G$3="(All)",ISNUMBER(SEARCH(Contacts!$G$3,$V474))),OR(Contacts!$I$3="(All)",$X474=Contacts!$I$3),OR(Contacts!$K$3="",ISNUMBER(SEARCH(Contacts!$K$3,$B474&amp;" "&amp;$C474&amp;" "&amp;$D474&amp;" "&amp;$S474)))),1,0))</f>
        <v/>
      </c>
      <c r="AA474" s="47" t="str">
        <f aca="false">IF($Z474=1,COUNTIFS(c_Pass,1,c_Sort,"&lt;="&amp;$Y474),"")</f>
        <v/>
      </c>
      <c r="AB474" s="47" t="str">
        <f aca="false">IF(OR($G474&lt;&gt;"Yes",NOT(ISNUMBER($H474))),"",COUNTIFS(c_Met,"Yes",c_Date,"&lt;"&amp;$H474)+COUNTIFS($G$2:$G474,"Yes",$H$2:$H474,$H474))</f>
        <v/>
      </c>
    </row>
    <row r="475" customFormat="false" ht="15" hidden="false" customHeight="false" outlineLevel="0" collapsed="false">
      <c r="A475" s="44" t="str">
        <f aca="false">IF($B475="","",COUNTA($B$2:$B475))</f>
        <v/>
      </c>
      <c r="B475" s="11"/>
      <c r="C475" s="11"/>
      <c r="D475" s="11"/>
      <c r="E475" s="11"/>
      <c r="F475" s="11"/>
      <c r="G475" s="34"/>
      <c r="H475" s="25"/>
      <c r="I475" s="40"/>
      <c r="J475" s="34"/>
      <c r="K475" s="45"/>
      <c r="L475" s="34"/>
      <c r="M475" s="34"/>
      <c r="N475" s="11"/>
      <c r="O475" s="11"/>
      <c r="P475" s="11"/>
      <c r="Q475" s="11"/>
      <c r="R475" s="11"/>
      <c r="S475" s="46"/>
      <c r="T475" s="44" t="str">
        <f aca="false">IF($B475="","",COUNTA($N475:$R475)-COUNTIF($N475:$R475,"Not Invited"))</f>
        <v/>
      </c>
      <c r="U475" s="44" t="str">
        <f aca="false">IF($B475="","",COUNTIF($N475:$R475,"Attended"))</f>
        <v/>
      </c>
      <c r="V475" s="47" t="str">
        <f aca="false">IF($B475="","",_xlfn.TEXTJOIN(", ",TRUE(),IF($N475="Attended",Setup!$D$15,""),IF($O475="Attended",Setup!$D$16,""),IF($P475="Attended",Setup!$D$17,""),IF($Q475="Attended",Setup!$D$18,""),IF($R475="Attended",Setup!$D$19,"")))</f>
        <v/>
      </c>
      <c r="W475" s="48" t="str">
        <f aca="true">IF(OR($B475="",NOT(ISNUMBER($H475))),"",TODAY()-$H475)</f>
        <v/>
      </c>
      <c r="X475" s="47" t="str">
        <f aca="false">IF($B475="","",IF($U475&gt;0,"Event attendee",IF($G475="Yes","Met (no event)",IF($T475&gt;0,"Invited only",IF(OR($L475="Yes",$M475="Yes"),"Contacted only","Not yet contacted")))))</f>
        <v/>
      </c>
      <c r="Y475" s="47" t="str">
        <f aca="false">IF($B475="","",COUNTIF(c_Firm,"&lt;"&amp;$D475)+COUNTIFS(c_Firm,$D475,c_Name,"&lt;"&amp;$B475)+COUNTIFS($D$2:$D475,$D475,$B$2:$B475,$B475))</f>
        <v/>
      </c>
      <c r="Z475" s="47" t="str">
        <f aca="false">IF($B475="","",IF(AND(OR(Contacts!$C$3="(All)",$D475=Contacts!$C$3),OR(Contacts!$E$3="(All)",$G475=Contacts!$E$3),OR(Contacts!$G$3="(All)",ISNUMBER(SEARCH(Contacts!$G$3,$V475))),OR(Contacts!$I$3="(All)",$X475=Contacts!$I$3),OR(Contacts!$K$3="",ISNUMBER(SEARCH(Contacts!$K$3,$B475&amp;" "&amp;$C475&amp;" "&amp;$D475&amp;" "&amp;$S475)))),1,0))</f>
        <v/>
      </c>
      <c r="AA475" s="47" t="str">
        <f aca="false">IF($Z475=1,COUNTIFS(c_Pass,1,c_Sort,"&lt;="&amp;$Y475),"")</f>
        <v/>
      </c>
      <c r="AB475" s="47" t="str">
        <f aca="false">IF(OR($G475&lt;&gt;"Yes",NOT(ISNUMBER($H475))),"",COUNTIFS(c_Met,"Yes",c_Date,"&lt;"&amp;$H475)+COUNTIFS($G$2:$G475,"Yes",$H$2:$H475,$H475))</f>
        <v/>
      </c>
    </row>
    <row r="476" customFormat="false" ht="15" hidden="false" customHeight="false" outlineLevel="0" collapsed="false">
      <c r="A476" s="44" t="str">
        <f aca="false">IF($B476="","",COUNTA($B$2:$B476))</f>
        <v/>
      </c>
      <c r="B476" s="11"/>
      <c r="C476" s="11"/>
      <c r="D476" s="11"/>
      <c r="E476" s="11"/>
      <c r="F476" s="11"/>
      <c r="G476" s="34"/>
      <c r="H476" s="25"/>
      <c r="I476" s="40"/>
      <c r="J476" s="34"/>
      <c r="K476" s="45"/>
      <c r="L476" s="34"/>
      <c r="M476" s="34"/>
      <c r="N476" s="11"/>
      <c r="O476" s="11"/>
      <c r="P476" s="11"/>
      <c r="Q476" s="11"/>
      <c r="R476" s="11"/>
      <c r="S476" s="46"/>
      <c r="T476" s="44" t="str">
        <f aca="false">IF($B476="","",COUNTA($N476:$R476)-COUNTIF($N476:$R476,"Not Invited"))</f>
        <v/>
      </c>
      <c r="U476" s="44" t="str">
        <f aca="false">IF($B476="","",COUNTIF($N476:$R476,"Attended"))</f>
        <v/>
      </c>
      <c r="V476" s="47" t="str">
        <f aca="false">IF($B476="","",_xlfn.TEXTJOIN(", ",TRUE(),IF($N476="Attended",Setup!$D$15,""),IF($O476="Attended",Setup!$D$16,""),IF($P476="Attended",Setup!$D$17,""),IF($Q476="Attended",Setup!$D$18,""),IF($R476="Attended",Setup!$D$19,"")))</f>
        <v/>
      </c>
      <c r="W476" s="48" t="str">
        <f aca="true">IF(OR($B476="",NOT(ISNUMBER($H476))),"",TODAY()-$H476)</f>
        <v/>
      </c>
      <c r="X476" s="47" t="str">
        <f aca="false">IF($B476="","",IF($U476&gt;0,"Event attendee",IF($G476="Yes","Met (no event)",IF($T476&gt;0,"Invited only",IF(OR($L476="Yes",$M476="Yes"),"Contacted only","Not yet contacted")))))</f>
        <v/>
      </c>
      <c r="Y476" s="47" t="str">
        <f aca="false">IF($B476="","",COUNTIF(c_Firm,"&lt;"&amp;$D476)+COUNTIFS(c_Firm,$D476,c_Name,"&lt;"&amp;$B476)+COUNTIFS($D$2:$D476,$D476,$B$2:$B476,$B476))</f>
        <v/>
      </c>
      <c r="Z476" s="47" t="str">
        <f aca="false">IF($B476="","",IF(AND(OR(Contacts!$C$3="(All)",$D476=Contacts!$C$3),OR(Contacts!$E$3="(All)",$G476=Contacts!$E$3),OR(Contacts!$G$3="(All)",ISNUMBER(SEARCH(Contacts!$G$3,$V476))),OR(Contacts!$I$3="(All)",$X476=Contacts!$I$3),OR(Contacts!$K$3="",ISNUMBER(SEARCH(Contacts!$K$3,$B476&amp;" "&amp;$C476&amp;" "&amp;$D476&amp;" "&amp;$S476)))),1,0))</f>
        <v/>
      </c>
      <c r="AA476" s="47" t="str">
        <f aca="false">IF($Z476=1,COUNTIFS(c_Pass,1,c_Sort,"&lt;="&amp;$Y476),"")</f>
        <v/>
      </c>
      <c r="AB476" s="47" t="str">
        <f aca="false">IF(OR($G476&lt;&gt;"Yes",NOT(ISNUMBER($H476))),"",COUNTIFS(c_Met,"Yes",c_Date,"&lt;"&amp;$H476)+COUNTIFS($G$2:$G476,"Yes",$H$2:$H476,$H476))</f>
        <v/>
      </c>
    </row>
    <row r="477" customFormat="false" ht="15" hidden="false" customHeight="false" outlineLevel="0" collapsed="false">
      <c r="A477" s="44" t="str">
        <f aca="false">IF($B477="","",COUNTA($B$2:$B477))</f>
        <v/>
      </c>
      <c r="B477" s="11"/>
      <c r="C477" s="11"/>
      <c r="D477" s="11"/>
      <c r="E477" s="11"/>
      <c r="F477" s="11"/>
      <c r="G477" s="34"/>
      <c r="H477" s="25"/>
      <c r="I477" s="40"/>
      <c r="J477" s="34"/>
      <c r="K477" s="45"/>
      <c r="L477" s="34"/>
      <c r="M477" s="34"/>
      <c r="N477" s="11"/>
      <c r="O477" s="11"/>
      <c r="P477" s="11"/>
      <c r="Q477" s="11"/>
      <c r="R477" s="11"/>
      <c r="S477" s="46"/>
      <c r="T477" s="44" t="str">
        <f aca="false">IF($B477="","",COUNTA($N477:$R477)-COUNTIF($N477:$R477,"Not Invited"))</f>
        <v/>
      </c>
      <c r="U477" s="44" t="str">
        <f aca="false">IF($B477="","",COUNTIF($N477:$R477,"Attended"))</f>
        <v/>
      </c>
      <c r="V477" s="47" t="str">
        <f aca="false">IF($B477="","",_xlfn.TEXTJOIN(", ",TRUE(),IF($N477="Attended",Setup!$D$15,""),IF($O477="Attended",Setup!$D$16,""),IF($P477="Attended",Setup!$D$17,""),IF($Q477="Attended",Setup!$D$18,""),IF($R477="Attended",Setup!$D$19,"")))</f>
        <v/>
      </c>
      <c r="W477" s="48" t="str">
        <f aca="true">IF(OR($B477="",NOT(ISNUMBER($H477))),"",TODAY()-$H477)</f>
        <v/>
      </c>
      <c r="X477" s="47" t="str">
        <f aca="false">IF($B477="","",IF($U477&gt;0,"Event attendee",IF($G477="Yes","Met (no event)",IF($T477&gt;0,"Invited only",IF(OR($L477="Yes",$M477="Yes"),"Contacted only","Not yet contacted")))))</f>
        <v/>
      </c>
      <c r="Y477" s="47" t="str">
        <f aca="false">IF($B477="","",COUNTIF(c_Firm,"&lt;"&amp;$D477)+COUNTIFS(c_Firm,$D477,c_Name,"&lt;"&amp;$B477)+COUNTIFS($D$2:$D477,$D477,$B$2:$B477,$B477))</f>
        <v/>
      </c>
      <c r="Z477" s="47" t="str">
        <f aca="false">IF($B477="","",IF(AND(OR(Contacts!$C$3="(All)",$D477=Contacts!$C$3),OR(Contacts!$E$3="(All)",$G477=Contacts!$E$3),OR(Contacts!$G$3="(All)",ISNUMBER(SEARCH(Contacts!$G$3,$V477))),OR(Contacts!$I$3="(All)",$X477=Contacts!$I$3),OR(Contacts!$K$3="",ISNUMBER(SEARCH(Contacts!$K$3,$B477&amp;" "&amp;$C477&amp;" "&amp;$D477&amp;" "&amp;$S477)))),1,0))</f>
        <v/>
      </c>
      <c r="AA477" s="47" t="str">
        <f aca="false">IF($Z477=1,COUNTIFS(c_Pass,1,c_Sort,"&lt;="&amp;$Y477),"")</f>
        <v/>
      </c>
      <c r="AB477" s="47" t="str">
        <f aca="false">IF(OR($G477&lt;&gt;"Yes",NOT(ISNUMBER($H477))),"",COUNTIFS(c_Met,"Yes",c_Date,"&lt;"&amp;$H477)+COUNTIFS($G$2:$G477,"Yes",$H$2:$H477,$H477))</f>
        <v/>
      </c>
    </row>
    <row r="478" customFormat="false" ht="15" hidden="false" customHeight="false" outlineLevel="0" collapsed="false">
      <c r="A478" s="44" t="str">
        <f aca="false">IF($B478="","",COUNTA($B$2:$B478))</f>
        <v/>
      </c>
      <c r="B478" s="11"/>
      <c r="C478" s="11"/>
      <c r="D478" s="11"/>
      <c r="E478" s="11"/>
      <c r="F478" s="11"/>
      <c r="G478" s="34"/>
      <c r="H478" s="25"/>
      <c r="I478" s="40"/>
      <c r="J478" s="34"/>
      <c r="K478" s="45"/>
      <c r="L478" s="34"/>
      <c r="M478" s="34"/>
      <c r="N478" s="11"/>
      <c r="O478" s="11"/>
      <c r="P478" s="11"/>
      <c r="Q478" s="11"/>
      <c r="R478" s="11"/>
      <c r="S478" s="46"/>
      <c r="T478" s="44" t="str">
        <f aca="false">IF($B478="","",COUNTA($N478:$R478)-COUNTIF($N478:$R478,"Not Invited"))</f>
        <v/>
      </c>
      <c r="U478" s="44" t="str">
        <f aca="false">IF($B478="","",COUNTIF($N478:$R478,"Attended"))</f>
        <v/>
      </c>
      <c r="V478" s="47" t="str">
        <f aca="false">IF($B478="","",_xlfn.TEXTJOIN(", ",TRUE(),IF($N478="Attended",Setup!$D$15,""),IF($O478="Attended",Setup!$D$16,""),IF($P478="Attended",Setup!$D$17,""),IF($Q478="Attended",Setup!$D$18,""),IF($R478="Attended",Setup!$D$19,"")))</f>
        <v/>
      </c>
      <c r="W478" s="48" t="str">
        <f aca="true">IF(OR($B478="",NOT(ISNUMBER($H478))),"",TODAY()-$H478)</f>
        <v/>
      </c>
      <c r="X478" s="47" t="str">
        <f aca="false">IF($B478="","",IF($U478&gt;0,"Event attendee",IF($G478="Yes","Met (no event)",IF($T478&gt;0,"Invited only",IF(OR($L478="Yes",$M478="Yes"),"Contacted only","Not yet contacted")))))</f>
        <v/>
      </c>
      <c r="Y478" s="47" t="str">
        <f aca="false">IF($B478="","",COUNTIF(c_Firm,"&lt;"&amp;$D478)+COUNTIFS(c_Firm,$D478,c_Name,"&lt;"&amp;$B478)+COUNTIFS($D$2:$D478,$D478,$B$2:$B478,$B478))</f>
        <v/>
      </c>
      <c r="Z478" s="47" t="str">
        <f aca="false">IF($B478="","",IF(AND(OR(Contacts!$C$3="(All)",$D478=Contacts!$C$3),OR(Contacts!$E$3="(All)",$G478=Contacts!$E$3),OR(Contacts!$G$3="(All)",ISNUMBER(SEARCH(Contacts!$G$3,$V478))),OR(Contacts!$I$3="(All)",$X478=Contacts!$I$3),OR(Contacts!$K$3="",ISNUMBER(SEARCH(Contacts!$K$3,$B478&amp;" "&amp;$C478&amp;" "&amp;$D478&amp;" "&amp;$S478)))),1,0))</f>
        <v/>
      </c>
      <c r="AA478" s="47" t="str">
        <f aca="false">IF($Z478=1,COUNTIFS(c_Pass,1,c_Sort,"&lt;="&amp;$Y478),"")</f>
        <v/>
      </c>
      <c r="AB478" s="47" t="str">
        <f aca="false">IF(OR($G478&lt;&gt;"Yes",NOT(ISNUMBER($H478))),"",COUNTIFS(c_Met,"Yes",c_Date,"&lt;"&amp;$H478)+COUNTIFS($G$2:$G478,"Yes",$H$2:$H478,$H478))</f>
        <v/>
      </c>
    </row>
    <row r="479" customFormat="false" ht="15" hidden="false" customHeight="false" outlineLevel="0" collapsed="false">
      <c r="A479" s="44" t="str">
        <f aca="false">IF($B479="","",COUNTA($B$2:$B479))</f>
        <v/>
      </c>
      <c r="B479" s="11"/>
      <c r="C479" s="11"/>
      <c r="D479" s="11"/>
      <c r="E479" s="11"/>
      <c r="F479" s="11"/>
      <c r="G479" s="34"/>
      <c r="H479" s="25"/>
      <c r="I479" s="40"/>
      <c r="J479" s="34"/>
      <c r="K479" s="45"/>
      <c r="L479" s="34"/>
      <c r="M479" s="34"/>
      <c r="N479" s="11"/>
      <c r="O479" s="11"/>
      <c r="P479" s="11"/>
      <c r="Q479" s="11"/>
      <c r="R479" s="11"/>
      <c r="S479" s="46"/>
      <c r="T479" s="44" t="str">
        <f aca="false">IF($B479="","",COUNTA($N479:$R479)-COUNTIF($N479:$R479,"Not Invited"))</f>
        <v/>
      </c>
      <c r="U479" s="44" t="str">
        <f aca="false">IF($B479="","",COUNTIF($N479:$R479,"Attended"))</f>
        <v/>
      </c>
      <c r="V479" s="47" t="str">
        <f aca="false">IF($B479="","",_xlfn.TEXTJOIN(", ",TRUE(),IF($N479="Attended",Setup!$D$15,""),IF($O479="Attended",Setup!$D$16,""),IF($P479="Attended",Setup!$D$17,""),IF($Q479="Attended",Setup!$D$18,""),IF($R479="Attended",Setup!$D$19,"")))</f>
        <v/>
      </c>
      <c r="W479" s="48" t="str">
        <f aca="true">IF(OR($B479="",NOT(ISNUMBER($H479))),"",TODAY()-$H479)</f>
        <v/>
      </c>
      <c r="X479" s="47" t="str">
        <f aca="false">IF($B479="","",IF($U479&gt;0,"Event attendee",IF($G479="Yes","Met (no event)",IF($T479&gt;0,"Invited only",IF(OR($L479="Yes",$M479="Yes"),"Contacted only","Not yet contacted")))))</f>
        <v/>
      </c>
      <c r="Y479" s="47" t="str">
        <f aca="false">IF($B479="","",COUNTIF(c_Firm,"&lt;"&amp;$D479)+COUNTIFS(c_Firm,$D479,c_Name,"&lt;"&amp;$B479)+COUNTIFS($D$2:$D479,$D479,$B$2:$B479,$B479))</f>
        <v/>
      </c>
      <c r="Z479" s="47" t="str">
        <f aca="false">IF($B479="","",IF(AND(OR(Contacts!$C$3="(All)",$D479=Contacts!$C$3),OR(Contacts!$E$3="(All)",$G479=Contacts!$E$3),OR(Contacts!$G$3="(All)",ISNUMBER(SEARCH(Contacts!$G$3,$V479))),OR(Contacts!$I$3="(All)",$X479=Contacts!$I$3),OR(Contacts!$K$3="",ISNUMBER(SEARCH(Contacts!$K$3,$B479&amp;" "&amp;$C479&amp;" "&amp;$D479&amp;" "&amp;$S479)))),1,0))</f>
        <v/>
      </c>
      <c r="AA479" s="47" t="str">
        <f aca="false">IF($Z479=1,COUNTIFS(c_Pass,1,c_Sort,"&lt;="&amp;$Y479),"")</f>
        <v/>
      </c>
      <c r="AB479" s="47" t="str">
        <f aca="false">IF(OR($G479&lt;&gt;"Yes",NOT(ISNUMBER($H479))),"",COUNTIFS(c_Met,"Yes",c_Date,"&lt;"&amp;$H479)+COUNTIFS($G$2:$G479,"Yes",$H$2:$H479,$H479))</f>
        <v/>
      </c>
    </row>
    <row r="480" customFormat="false" ht="15" hidden="false" customHeight="false" outlineLevel="0" collapsed="false">
      <c r="A480" s="44" t="str">
        <f aca="false">IF($B480="","",COUNTA($B$2:$B480))</f>
        <v/>
      </c>
      <c r="B480" s="11"/>
      <c r="C480" s="11"/>
      <c r="D480" s="11"/>
      <c r="E480" s="11"/>
      <c r="F480" s="11"/>
      <c r="G480" s="34"/>
      <c r="H480" s="25"/>
      <c r="I480" s="40"/>
      <c r="J480" s="34"/>
      <c r="K480" s="45"/>
      <c r="L480" s="34"/>
      <c r="M480" s="34"/>
      <c r="N480" s="11"/>
      <c r="O480" s="11"/>
      <c r="P480" s="11"/>
      <c r="Q480" s="11"/>
      <c r="R480" s="11"/>
      <c r="S480" s="46"/>
      <c r="T480" s="44" t="str">
        <f aca="false">IF($B480="","",COUNTA($N480:$R480)-COUNTIF($N480:$R480,"Not Invited"))</f>
        <v/>
      </c>
      <c r="U480" s="44" t="str">
        <f aca="false">IF($B480="","",COUNTIF($N480:$R480,"Attended"))</f>
        <v/>
      </c>
      <c r="V480" s="47" t="str">
        <f aca="false">IF($B480="","",_xlfn.TEXTJOIN(", ",TRUE(),IF($N480="Attended",Setup!$D$15,""),IF($O480="Attended",Setup!$D$16,""),IF($P480="Attended",Setup!$D$17,""),IF($Q480="Attended",Setup!$D$18,""),IF($R480="Attended",Setup!$D$19,"")))</f>
        <v/>
      </c>
      <c r="W480" s="48" t="str">
        <f aca="true">IF(OR($B480="",NOT(ISNUMBER($H480))),"",TODAY()-$H480)</f>
        <v/>
      </c>
      <c r="X480" s="47" t="str">
        <f aca="false">IF($B480="","",IF($U480&gt;0,"Event attendee",IF($G480="Yes","Met (no event)",IF($T480&gt;0,"Invited only",IF(OR($L480="Yes",$M480="Yes"),"Contacted only","Not yet contacted")))))</f>
        <v/>
      </c>
      <c r="Y480" s="47" t="str">
        <f aca="false">IF($B480="","",COUNTIF(c_Firm,"&lt;"&amp;$D480)+COUNTIFS(c_Firm,$D480,c_Name,"&lt;"&amp;$B480)+COUNTIFS($D$2:$D480,$D480,$B$2:$B480,$B480))</f>
        <v/>
      </c>
      <c r="Z480" s="47" t="str">
        <f aca="false">IF($B480="","",IF(AND(OR(Contacts!$C$3="(All)",$D480=Contacts!$C$3),OR(Contacts!$E$3="(All)",$G480=Contacts!$E$3),OR(Contacts!$G$3="(All)",ISNUMBER(SEARCH(Contacts!$G$3,$V480))),OR(Contacts!$I$3="(All)",$X480=Contacts!$I$3),OR(Contacts!$K$3="",ISNUMBER(SEARCH(Contacts!$K$3,$B480&amp;" "&amp;$C480&amp;" "&amp;$D480&amp;" "&amp;$S480)))),1,0))</f>
        <v/>
      </c>
      <c r="AA480" s="47" t="str">
        <f aca="false">IF($Z480=1,COUNTIFS(c_Pass,1,c_Sort,"&lt;="&amp;$Y480),"")</f>
        <v/>
      </c>
      <c r="AB480" s="47" t="str">
        <f aca="false">IF(OR($G480&lt;&gt;"Yes",NOT(ISNUMBER($H480))),"",COUNTIFS(c_Met,"Yes",c_Date,"&lt;"&amp;$H480)+COUNTIFS($G$2:$G480,"Yes",$H$2:$H480,$H480))</f>
        <v/>
      </c>
    </row>
    <row r="481" customFormat="false" ht="15" hidden="false" customHeight="false" outlineLevel="0" collapsed="false">
      <c r="A481" s="44" t="str">
        <f aca="false">IF($B481="","",COUNTA($B$2:$B481))</f>
        <v/>
      </c>
      <c r="B481" s="11"/>
      <c r="C481" s="11"/>
      <c r="D481" s="11"/>
      <c r="E481" s="11"/>
      <c r="F481" s="11"/>
      <c r="G481" s="34"/>
      <c r="H481" s="25"/>
      <c r="I481" s="40"/>
      <c r="J481" s="34"/>
      <c r="K481" s="45"/>
      <c r="L481" s="34"/>
      <c r="M481" s="34"/>
      <c r="N481" s="11"/>
      <c r="O481" s="11"/>
      <c r="P481" s="11"/>
      <c r="Q481" s="11"/>
      <c r="R481" s="11"/>
      <c r="S481" s="46"/>
      <c r="T481" s="44" t="str">
        <f aca="false">IF($B481="","",COUNTA($N481:$R481)-COUNTIF($N481:$R481,"Not Invited"))</f>
        <v/>
      </c>
      <c r="U481" s="44" t="str">
        <f aca="false">IF($B481="","",COUNTIF($N481:$R481,"Attended"))</f>
        <v/>
      </c>
      <c r="V481" s="47" t="str">
        <f aca="false">IF($B481="","",_xlfn.TEXTJOIN(", ",TRUE(),IF($N481="Attended",Setup!$D$15,""),IF($O481="Attended",Setup!$D$16,""),IF($P481="Attended",Setup!$D$17,""),IF($Q481="Attended",Setup!$D$18,""),IF($R481="Attended",Setup!$D$19,"")))</f>
        <v/>
      </c>
      <c r="W481" s="48" t="str">
        <f aca="true">IF(OR($B481="",NOT(ISNUMBER($H481))),"",TODAY()-$H481)</f>
        <v/>
      </c>
      <c r="X481" s="47" t="str">
        <f aca="false">IF($B481="","",IF($U481&gt;0,"Event attendee",IF($G481="Yes","Met (no event)",IF($T481&gt;0,"Invited only",IF(OR($L481="Yes",$M481="Yes"),"Contacted only","Not yet contacted")))))</f>
        <v/>
      </c>
      <c r="Y481" s="47" t="str">
        <f aca="false">IF($B481="","",COUNTIF(c_Firm,"&lt;"&amp;$D481)+COUNTIFS(c_Firm,$D481,c_Name,"&lt;"&amp;$B481)+COUNTIFS($D$2:$D481,$D481,$B$2:$B481,$B481))</f>
        <v/>
      </c>
      <c r="Z481" s="47" t="str">
        <f aca="false">IF($B481="","",IF(AND(OR(Contacts!$C$3="(All)",$D481=Contacts!$C$3),OR(Contacts!$E$3="(All)",$G481=Contacts!$E$3),OR(Contacts!$G$3="(All)",ISNUMBER(SEARCH(Contacts!$G$3,$V481))),OR(Contacts!$I$3="(All)",$X481=Contacts!$I$3),OR(Contacts!$K$3="",ISNUMBER(SEARCH(Contacts!$K$3,$B481&amp;" "&amp;$C481&amp;" "&amp;$D481&amp;" "&amp;$S481)))),1,0))</f>
        <v/>
      </c>
      <c r="AA481" s="47" t="str">
        <f aca="false">IF($Z481=1,COUNTIFS(c_Pass,1,c_Sort,"&lt;="&amp;$Y481),"")</f>
        <v/>
      </c>
      <c r="AB481" s="47" t="str">
        <f aca="false">IF(OR($G481&lt;&gt;"Yes",NOT(ISNUMBER($H481))),"",COUNTIFS(c_Met,"Yes",c_Date,"&lt;"&amp;$H481)+COUNTIFS($G$2:$G481,"Yes",$H$2:$H481,$H481))</f>
        <v/>
      </c>
    </row>
    <row r="482" customFormat="false" ht="15" hidden="false" customHeight="false" outlineLevel="0" collapsed="false">
      <c r="A482" s="44" t="str">
        <f aca="false">IF($B482="","",COUNTA($B$2:$B482))</f>
        <v/>
      </c>
      <c r="B482" s="11"/>
      <c r="C482" s="11"/>
      <c r="D482" s="11"/>
      <c r="E482" s="11"/>
      <c r="F482" s="11"/>
      <c r="G482" s="34"/>
      <c r="H482" s="25"/>
      <c r="I482" s="40"/>
      <c r="J482" s="34"/>
      <c r="K482" s="45"/>
      <c r="L482" s="34"/>
      <c r="M482" s="34"/>
      <c r="N482" s="11"/>
      <c r="O482" s="11"/>
      <c r="P482" s="11"/>
      <c r="Q482" s="11"/>
      <c r="R482" s="11"/>
      <c r="S482" s="46"/>
      <c r="T482" s="44" t="str">
        <f aca="false">IF($B482="","",COUNTA($N482:$R482)-COUNTIF($N482:$R482,"Not Invited"))</f>
        <v/>
      </c>
      <c r="U482" s="44" t="str">
        <f aca="false">IF($B482="","",COUNTIF($N482:$R482,"Attended"))</f>
        <v/>
      </c>
      <c r="V482" s="47" t="str">
        <f aca="false">IF($B482="","",_xlfn.TEXTJOIN(", ",TRUE(),IF($N482="Attended",Setup!$D$15,""),IF($O482="Attended",Setup!$D$16,""),IF($P482="Attended",Setup!$D$17,""),IF($Q482="Attended",Setup!$D$18,""),IF($R482="Attended",Setup!$D$19,"")))</f>
        <v/>
      </c>
      <c r="W482" s="48" t="str">
        <f aca="true">IF(OR($B482="",NOT(ISNUMBER($H482))),"",TODAY()-$H482)</f>
        <v/>
      </c>
      <c r="X482" s="47" t="str">
        <f aca="false">IF($B482="","",IF($U482&gt;0,"Event attendee",IF($G482="Yes","Met (no event)",IF($T482&gt;0,"Invited only",IF(OR($L482="Yes",$M482="Yes"),"Contacted only","Not yet contacted")))))</f>
        <v/>
      </c>
      <c r="Y482" s="47" t="str">
        <f aca="false">IF($B482="","",COUNTIF(c_Firm,"&lt;"&amp;$D482)+COUNTIFS(c_Firm,$D482,c_Name,"&lt;"&amp;$B482)+COUNTIFS($D$2:$D482,$D482,$B$2:$B482,$B482))</f>
        <v/>
      </c>
      <c r="Z482" s="47" t="str">
        <f aca="false">IF($B482="","",IF(AND(OR(Contacts!$C$3="(All)",$D482=Contacts!$C$3),OR(Contacts!$E$3="(All)",$G482=Contacts!$E$3),OR(Contacts!$G$3="(All)",ISNUMBER(SEARCH(Contacts!$G$3,$V482))),OR(Contacts!$I$3="(All)",$X482=Contacts!$I$3),OR(Contacts!$K$3="",ISNUMBER(SEARCH(Contacts!$K$3,$B482&amp;" "&amp;$C482&amp;" "&amp;$D482&amp;" "&amp;$S482)))),1,0))</f>
        <v/>
      </c>
      <c r="AA482" s="47" t="str">
        <f aca="false">IF($Z482=1,COUNTIFS(c_Pass,1,c_Sort,"&lt;="&amp;$Y482),"")</f>
        <v/>
      </c>
      <c r="AB482" s="47" t="str">
        <f aca="false">IF(OR($G482&lt;&gt;"Yes",NOT(ISNUMBER($H482))),"",COUNTIFS(c_Met,"Yes",c_Date,"&lt;"&amp;$H482)+COUNTIFS($G$2:$G482,"Yes",$H$2:$H482,$H482))</f>
        <v/>
      </c>
    </row>
    <row r="483" customFormat="false" ht="15" hidden="false" customHeight="false" outlineLevel="0" collapsed="false">
      <c r="A483" s="44" t="str">
        <f aca="false">IF($B483="","",COUNTA($B$2:$B483))</f>
        <v/>
      </c>
      <c r="B483" s="11"/>
      <c r="C483" s="11"/>
      <c r="D483" s="11"/>
      <c r="E483" s="11"/>
      <c r="F483" s="11"/>
      <c r="G483" s="34"/>
      <c r="H483" s="25"/>
      <c r="I483" s="40"/>
      <c r="J483" s="34"/>
      <c r="K483" s="45"/>
      <c r="L483" s="34"/>
      <c r="M483" s="34"/>
      <c r="N483" s="11"/>
      <c r="O483" s="11"/>
      <c r="P483" s="11"/>
      <c r="Q483" s="11"/>
      <c r="R483" s="11"/>
      <c r="S483" s="46"/>
      <c r="T483" s="44" t="str">
        <f aca="false">IF($B483="","",COUNTA($N483:$R483)-COUNTIF($N483:$R483,"Not Invited"))</f>
        <v/>
      </c>
      <c r="U483" s="44" t="str">
        <f aca="false">IF($B483="","",COUNTIF($N483:$R483,"Attended"))</f>
        <v/>
      </c>
      <c r="V483" s="47" t="str">
        <f aca="false">IF($B483="","",_xlfn.TEXTJOIN(", ",TRUE(),IF($N483="Attended",Setup!$D$15,""),IF($O483="Attended",Setup!$D$16,""),IF($P483="Attended",Setup!$D$17,""),IF($Q483="Attended",Setup!$D$18,""),IF($R483="Attended",Setup!$D$19,"")))</f>
        <v/>
      </c>
      <c r="W483" s="48" t="str">
        <f aca="true">IF(OR($B483="",NOT(ISNUMBER($H483))),"",TODAY()-$H483)</f>
        <v/>
      </c>
      <c r="X483" s="47" t="str">
        <f aca="false">IF($B483="","",IF($U483&gt;0,"Event attendee",IF($G483="Yes","Met (no event)",IF($T483&gt;0,"Invited only",IF(OR($L483="Yes",$M483="Yes"),"Contacted only","Not yet contacted")))))</f>
        <v/>
      </c>
      <c r="Y483" s="47" t="str">
        <f aca="false">IF($B483="","",COUNTIF(c_Firm,"&lt;"&amp;$D483)+COUNTIFS(c_Firm,$D483,c_Name,"&lt;"&amp;$B483)+COUNTIFS($D$2:$D483,$D483,$B$2:$B483,$B483))</f>
        <v/>
      </c>
      <c r="Z483" s="47" t="str">
        <f aca="false">IF($B483="","",IF(AND(OR(Contacts!$C$3="(All)",$D483=Contacts!$C$3),OR(Contacts!$E$3="(All)",$G483=Contacts!$E$3),OR(Contacts!$G$3="(All)",ISNUMBER(SEARCH(Contacts!$G$3,$V483))),OR(Contacts!$I$3="(All)",$X483=Contacts!$I$3),OR(Contacts!$K$3="",ISNUMBER(SEARCH(Contacts!$K$3,$B483&amp;" "&amp;$C483&amp;" "&amp;$D483&amp;" "&amp;$S483)))),1,0))</f>
        <v/>
      </c>
      <c r="AA483" s="47" t="str">
        <f aca="false">IF($Z483=1,COUNTIFS(c_Pass,1,c_Sort,"&lt;="&amp;$Y483),"")</f>
        <v/>
      </c>
      <c r="AB483" s="47" t="str">
        <f aca="false">IF(OR($G483&lt;&gt;"Yes",NOT(ISNUMBER($H483))),"",COUNTIFS(c_Met,"Yes",c_Date,"&lt;"&amp;$H483)+COUNTIFS($G$2:$G483,"Yes",$H$2:$H483,$H483))</f>
        <v/>
      </c>
    </row>
    <row r="484" customFormat="false" ht="15" hidden="false" customHeight="false" outlineLevel="0" collapsed="false">
      <c r="A484" s="44" t="str">
        <f aca="false">IF($B484="","",COUNTA($B$2:$B484))</f>
        <v/>
      </c>
      <c r="B484" s="11"/>
      <c r="C484" s="11"/>
      <c r="D484" s="11"/>
      <c r="E484" s="11"/>
      <c r="F484" s="11"/>
      <c r="G484" s="34"/>
      <c r="H484" s="25"/>
      <c r="I484" s="40"/>
      <c r="J484" s="34"/>
      <c r="K484" s="45"/>
      <c r="L484" s="34"/>
      <c r="M484" s="34"/>
      <c r="N484" s="11"/>
      <c r="O484" s="11"/>
      <c r="P484" s="11"/>
      <c r="Q484" s="11"/>
      <c r="R484" s="11"/>
      <c r="S484" s="46"/>
      <c r="T484" s="44" t="str">
        <f aca="false">IF($B484="","",COUNTA($N484:$R484)-COUNTIF($N484:$R484,"Not Invited"))</f>
        <v/>
      </c>
      <c r="U484" s="44" t="str">
        <f aca="false">IF($B484="","",COUNTIF($N484:$R484,"Attended"))</f>
        <v/>
      </c>
      <c r="V484" s="47" t="str">
        <f aca="false">IF($B484="","",_xlfn.TEXTJOIN(", ",TRUE(),IF($N484="Attended",Setup!$D$15,""),IF($O484="Attended",Setup!$D$16,""),IF($P484="Attended",Setup!$D$17,""),IF($Q484="Attended",Setup!$D$18,""),IF($R484="Attended",Setup!$D$19,"")))</f>
        <v/>
      </c>
      <c r="W484" s="48" t="str">
        <f aca="true">IF(OR($B484="",NOT(ISNUMBER($H484))),"",TODAY()-$H484)</f>
        <v/>
      </c>
      <c r="X484" s="47" t="str">
        <f aca="false">IF($B484="","",IF($U484&gt;0,"Event attendee",IF($G484="Yes","Met (no event)",IF($T484&gt;0,"Invited only",IF(OR($L484="Yes",$M484="Yes"),"Contacted only","Not yet contacted")))))</f>
        <v/>
      </c>
      <c r="Y484" s="47" t="str">
        <f aca="false">IF($B484="","",COUNTIF(c_Firm,"&lt;"&amp;$D484)+COUNTIFS(c_Firm,$D484,c_Name,"&lt;"&amp;$B484)+COUNTIFS($D$2:$D484,$D484,$B$2:$B484,$B484))</f>
        <v/>
      </c>
      <c r="Z484" s="47" t="str">
        <f aca="false">IF($B484="","",IF(AND(OR(Contacts!$C$3="(All)",$D484=Contacts!$C$3),OR(Contacts!$E$3="(All)",$G484=Contacts!$E$3),OR(Contacts!$G$3="(All)",ISNUMBER(SEARCH(Contacts!$G$3,$V484))),OR(Contacts!$I$3="(All)",$X484=Contacts!$I$3),OR(Contacts!$K$3="",ISNUMBER(SEARCH(Contacts!$K$3,$B484&amp;" "&amp;$C484&amp;" "&amp;$D484&amp;" "&amp;$S484)))),1,0))</f>
        <v/>
      </c>
      <c r="AA484" s="47" t="str">
        <f aca="false">IF($Z484=1,COUNTIFS(c_Pass,1,c_Sort,"&lt;="&amp;$Y484),"")</f>
        <v/>
      </c>
      <c r="AB484" s="47" t="str">
        <f aca="false">IF(OR($G484&lt;&gt;"Yes",NOT(ISNUMBER($H484))),"",COUNTIFS(c_Met,"Yes",c_Date,"&lt;"&amp;$H484)+COUNTIFS($G$2:$G484,"Yes",$H$2:$H484,$H484))</f>
        <v/>
      </c>
    </row>
    <row r="485" customFormat="false" ht="15" hidden="false" customHeight="false" outlineLevel="0" collapsed="false">
      <c r="A485" s="44" t="str">
        <f aca="false">IF($B485="","",COUNTA($B$2:$B485))</f>
        <v/>
      </c>
      <c r="B485" s="11"/>
      <c r="C485" s="11"/>
      <c r="D485" s="11"/>
      <c r="E485" s="11"/>
      <c r="F485" s="11"/>
      <c r="G485" s="34"/>
      <c r="H485" s="25"/>
      <c r="I485" s="40"/>
      <c r="J485" s="34"/>
      <c r="K485" s="45"/>
      <c r="L485" s="34"/>
      <c r="M485" s="34"/>
      <c r="N485" s="11"/>
      <c r="O485" s="11"/>
      <c r="P485" s="11"/>
      <c r="Q485" s="11"/>
      <c r="R485" s="11"/>
      <c r="S485" s="46"/>
      <c r="T485" s="44" t="str">
        <f aca="false">IF($B485="","",COUNTA($N485:$R485)-COUNTIF($N485:$R485,"Not Invited"))</f>
        <v/>
      </c>
      <c r="U485" s="44" t="str">
        <f aca="false">IF($B485="","",COUNTIF($N485:$R485,"Attended"))</f>
        <v/>
      </c>
      <c r="V485" s="47" t="str">
        <f aca="false">IF($B485="","",_xlfn.TEXTJOIN(", ",TRUE(),IF($N485="Attended",Setup!$D$15,""),IF($O485="Attended",Setup!$D$16,""),IF($P485="Attended",Setup!$D$17,""),IF($Q485="Attended",Setup!$D$18,""),IF($R485="Attended",Setup!$D$19,"")))</f>
        <v/>
      </c>
      <c r="W485" s="48" t="str">
        <f aca="true">IF(OR($B485="",NOT(ISNUMBER($H485))),"",TODAY()-$H485)</f>
        <v/>
      </c>
      <c r="X485" s="47" t="str">
        <f aca="false">IF($B485="","",IF($U485&gt;0,"Event attendee",IF($G485="Yes","Met (no event)",IF($T485&gt;0,"Invited only",IF(OR($L485="Yes",$M485="Yes"),"Contacted only","Not yet contacted")))))</f>
        <v/>
      </c>
      <c r="Y485" s="47" t="str">
        <f aca="false">IF($B485="","",COUNTIF(c_Firm,"&lt;"&amp;$D485)+COUNTIFS(c_Firm,$D485,c_Name,"&lt;"&amp;$B485)+COUNTIFS($D$2:$D485,$D485,$B$2:$B485,$B485))</f>
        <v/>
      </c>
      <c r="Z485" s="47" t="str">
        <f aca="false">IF($B485="","",IF(AND(OR(Contacts!$C$3="(All)",$D485=Contacts!$C$3),OR(Contacts!$E$3="(All)",$G485=Contacts!$E$3),OR(Contacts!$G$3="(All)",ISNUMBER(SEARCH(Contacts!$G$3,$V485))),OR(Contacts!$I$3="(All)",$X485=Contacts!$I$3),OR(Contacts!$K$3="",ISNUMBER(SEARCH(Contacts!$K$3,$B485&amp;" "&amp;$C485&amp;" "&amp;$D485&amp;" "&amp;$S485)))),1,0))</f>
        <v/>
      </c>
      <c r="AA485" s="47" t="str">
        <f aca="false">IF($Z485=1,COUNTIFS(c_Pass,1,c_Sort,"&lt;="&amp;$Y485),"")</f>
        <v/>
      </c>
      <c r="AB485" s="47" t="str">
        <f aca="false">IF(OR($G485&lt;&gt;"Yes",NOT(ISNUMBER($H485))),"",COUNTIFS(c_Met,"Yes",c_Date,"&lt;"&amp;$H485)+COUNTIFS($G$2:$G485,"Yes",$H$2:$H485,$H485))</f>
        <v/>
      </c>
    </row>
    <row r="486" customFormat="false" ht="15" hidden="false" customHeight="false" outlineLevel="0" collapsed="false">
      <c r="A486" s="44" t="str">
        <f aca="false">IF($B486="","",COUNTA($B$2:$B486))</f>
        <v/>
      </c>
      <c r="B486" s="11"/>
      <c r="C486" s="11"/>
      <c r="D486" s="11"/>
      <c r="E486" s="11"/>
      <c r="F486" s="11"/>
      <c r="G486" s="34"/>
      <c r="H486" s="25"/>
      <c r="I486" s="40"/>
      <c r="J486" s="34"/>
      <c r="K486" s="45"/>
      <c r="L486" s="34"/>
      <c r="M486" s="34"/>
      <c r="N486" s="11"/>
      <c r="O486" s="11"/>
      <c r="P486" s="11"/>
      <c r="Q486" s="11"/>
      <c r="R486" s="11"/>
      <c r="S486" s="46"/>
      <c r="T486" s="44" t="str">
        <f aca="false">IF($B486="","",COUNTA($N486:$R486)-COUNTIF($N486:$R486,"Not Invited"))</f>
        <v/>
      </c>
      <c r="U486" s="44" t="str">
        <f aca="false">IF($B486="","",COUNTIF($N486:$R486,"Attended"))</f>
        <v/>
      </c>
      <c r="V486" s="47" t="str">
        <f aca="false">IF($B486="","",_xlfn.TEXTJOIN(", ",TRUE(),IF($N486="Attended",Setup!$D$15,""),IF($O486="Attended",Setup!$D$16,""),IF($P486="Attended",Setup!$D$17,""),IF($Q486="Attended",Setup!$D$18,""),IF($R486="Attended",Setup!$D$19,"")))</f>
        <v/>
      </c>
      <c r="W486" s="48" t="str">
        <f aca="true">IF(OR($B486="",NOT(ISNUMBER($H486))),"",TODAY()-$H486)</f>
        <v/>
      </c>
      <c r="X486" s="47" t="str">
        <f aca="false">IF($B486="","",IF($U486&gt;0,"Event attendee",IF($G486="Yes","Met (no event)",IF($T486&gt;0,"Invited only",IF(OR($L486="Yes",$M486="Yes"),"Contacted only","Not yet contacted")))))</f>
        <v/>
      </c>
      <c r="Y486" s="47" t="str">
        <f aca="false">IF($B486="","",COUNTIF(c_Firm,"&lt;"&amp;$D486)+COUNTIFS(c_Firm,$D486,c_Name,"&lt;"&amp;$B486)+COUNTIFS($D$2:$D486,$D486,$B$2:$B486,$B486))</f>
        <v/>
      </c>
      <c r="Z486" s="47" t="str">
        <f aca="false">IF($B486="","",IF(AND(OR(Contacts!$C$3="(All)",$D486=Contacts!$C$3),OR(Contacts!$E$3="(All)",$G486=Contacts!$E$3),OR(Contacts!$G$3="(All)",ISNUMBER(SEARCH(Contacts!$G$3,$V486))),OR(Contacts!$I$3="(All)",$X486=Contacts!$I$3),OR(Contacts!$K$3="",ISNUMBER(SEARCH(Contacts!$K$3,$B486&amp;" "&amp;$C486&amp;" "&amp;$D486&amp;" "&amp;$S486)))),1,0))</f>
        <v/>
      </c>
      <c r="AA486" s="47" t="str">
        <f aca="false">IF($Z486=1,COUNTIFS(c_Pass,1,c_Sort,"&lt;="&amp;$Y486),"")</f>
        <v/>
      </c>
      <c r="AB486" s="47" t="str">
        <f aca="false">IF(OR($G486&lt;&gt;"Yes",NOT(ISNUMBER($H486))),"",COUNTIFS(c_Met,"Yes",c_Date,"&lt;"&amp;$H486)+COUNTIFS($G$2:$G486,"Yes",$H$2:$H486,$H486))</f>
        <v/>
      </c>
    </row>
    <row r="487" customFormat="false" ht="15" hidden="false" customHeight="false" outlineLevel="0" collapsed="false">
      <c r="A487" s="44" t="str">
        <f aca="false">IF($B487="","",COUNTA($B$2:$B487))</f>
        <v/>
      </c>
      <c r="B487" s="11"/>
      <c r="C487" s="11"/>
      <c r="D487" s="11"/>
      <c r="E487" s="11"/>
      <c r="F487" s="11"/>
      <c r="G487" s="34"/>
      <c r="H487" s="25"/>
      <c r="I487" s="40"/>
      <c r="J487" s="34"/>
      <c r="K487" s="45"/>
      <c r="L487" s="34"/>
      <c r="M487" s="34"/>
      <c r="N487" s="11"/>
      <c r="O487" s="11"/>
      <c r="P487" s="11"/>
      <c r="Q487" s="11"/>
      <c r="R487" s="11"/>
      <c r="S487" s="46"/>
      <c r="T487" s="44" t="str">
        <f aca="false">IF($B487="","",COUNTA($N487:$R487)-COUNTIF($N487:$R487,"Not Invited"))</f>
        <v/>
      </c>
      <c r="U487" s="44" t="str">
        <f aca="false">IF($B487="","",COUNTIF($N487:$R487,"Attended"))</f>
        <v/>
      </c>
      <c r="V487" s="47" t="str">
        <f aca="false">IF($B487="","",_xlfn.TEXTJOIN(", ",TRUE(),IF($N487="Attended",Setup!$D$15,""),IF($O487="Attended",Setup!$D$16,""),IF($P487="Attended",Setup!$D$17,""),IF($Q487="Attended",Setup!$D$18,""),IF($R487="Attended",Setup!$D$19,"")))</f>
        <v/>
      </c>
      <c r="W487" s="48" t="str">
        <f aca="true">IF(OR($B487="",NOT(ISNUMBER($H487))),"",TODAY()-$H487)</f>
        <v/>
      </c>
      <c r="X487" s="47" t="str">
        <f aca="false">IF($B487="","",IF($U487&gt;0,"Event attendee",IF($G487="Yes","Met (no event)",IF($T487&gt;0,"Invited only",IF(OR($L487="Yes",$M487="Yes"),"Contacted only","Not yet contacted")))))</f>
        <v/>
      </c>
      <c r="Y487" s="47" t="str">
        <f aca="false">IF($B487="","",COUNTIF(c_Firm,"&lt;"&amp;$D487)+COUNTIFS(c_Firm,$D487,c_Name,"&lt;"&amp;$B487)+COUNTIFS($D$2:$D487,$D487,$B$2:$B487,$B487))</f>
        <v/>
      </c>
      <c r="Z487" s="47" t="str">
        <f aca="false">IF($B487="","",IF(AND(OR(Contacts!$C$3="(All)",$D487=Contacts!$C$3),OR(Contacts!$E$3="(All)",$G487=Contacts!$E$3),OR(Contacts!$G$3="(All)",ISNUMBER(SEARCH(Contacts!$G$3,$V487))),OR(Contacts!$I$3="(All)",$X487=Contacts!$I$3),OR(Contacts!$K$3="",ISNUMBER(SEARCH(Contacts!$K$3,$B487&amp;" "&amp;$C487&amp;" "&amp;$D487&amp;" "&amp;$S487)))),1,0))</f>
        <v/>
      </c>
      <c r="AA487" s="47" t="str">
        <f aca="false">IF($Z487=1,COUNTIFS(c_Pass,1,c_Sort,"&lt;="&amp;$Y487),"")</f>
        <v/>
      </c>
      <c r="AB487" s="47" t="str">
        <f aca="false">IF(OR($G487&lt;&gt;"Yes",NOT(ISNUMBER($H487))),"",COUNTIFS(c_Met,"Yes",c_Date,"&lt;"&amp;$H487)+COUNTIFS($G$2:$G487,"Yes",$H$2:$H487,$H487))</f>
        <v/>
      </c>
    </row>
    <row r="488" customFormat="false" ht="15" hidden="false" customHeight="false" outlineLevel="0" collapsed="false">
      <c r="A488" s="44" t="str">
        <f aca="false">IF($B488="","",COUNTA($B$2:$B488))</f>
        <v/>
      </c>
      <c r="B488" s="11"/>
      <c r="C488" s="11"/>
      <c r="D488" s="11"/>
      <c r="E488" s="11"/>
      <c r="F488" s="11"/>
      <c r="G488" s="34"/>
      <c r="H488" s="25"/>
      <c r="I488" s="40"/>
      <c r="J488" s="34"/>
      <c r="K488" s="45"/>
      <c r="L488" s="34"/>
      <c r="M488" s="34"/>
      <c r="N488" s="11"/>
      <c r="O488" s="11"/>
      <c r="P488" s="11"/>
      <c r="Q488" s="11"/>
      <c r="R488" s="11"/>
      <c r="S488" s="46"/>
      <c r="T488" s="44" t="str">
        <f aca="false">IF($B488="","",COUNTA($N488:$R488)-COUNTIF($N488:$R488,"Not Invited"))</f>
        <v/>
      </c>
      <c r="U488" s="44" t="str">
        <f aca="false">IF($B488="","",COUNTIF($N488:$R488,"Attended"))</f>
        <v/>
      </c>
      <c r="V488" s="47" t="str">
        <f aca="false">IF($B488="","",_xlfn.TEXTJOIN(", ",TRUE(),IF($N488="Attended",Setup!$D$15,""),IF($O488="Attended",Setup!$D$16,""),IF($P488="Attended",Setup!$D$17,""),IF($Q488="Attended",Setup!$D$18,""),IF($R488="Attended",Setup!$D$19,"")))</f>
        <v/>
      </c>
      <c r="W488" s="48" t="str">
        <f aca="true">IF(OR($B488="",NOT(ISNUMBER($H488))),"",TODAY()-$H488)</f>
        <v/>
      </c>
      <c r="X488" s="47" t="str">
        <f aca="false">IF($B488="","",IF($U488&gt;0,"Event attendee",IF($G488="Yes","Met (no event)",IF($T488&gt;0,"Invited only",IF(OR($L488="Yes",$M488="Yes"),"Contacted only","Not yet contacted")))))</f>
        <v/>
      </c>
      <c r="Y488" s="47" t="str">
        <f aca="false">IF($B488="","",COUNTIF(c_Firm,"&lt;"&amp;$D488)+COUNTIFS(c_Firm,$D488,c_Name,"&lt;"&amp;$B488)+COUNTIFS($D$2:$D488,$D488,$B$2:$B488,$B488))</f>
        <v/>
      </c>
      <c r="Z488" s="47" t="str">
        <f aca="false">IF($B488="","",IF(AND(OR(Contacts!$C$3="(All)",$D488=Contacts!$C$3),OR(Contacts!$E$3="(All)",$G488=Contacts!$E$3),OR(Contacts!$G$3="(All)",ISNUMBER(SEARCH(Contacts!$G$3,$V488))),OR(Contacts!$I$3="(All)",$X488=Contacts!$I$3),OR(Contacts!$K$3="",ISNUMBER(SEARCH(Contacts!$K$3,$B488&amp;" "&amp;$C488&amp;" "&amp;$D488&amp;" "&amp;$S488)))),1,0))</f>
        <v/>
      </c>
      <c r="AA488" s="47" t="str">
        <f aca="false">IF($Z488=1,COUNTIFS(c_Pass,1,c_Sort,"&lt;="&amp;$Y488),"")</f>
        <v/>
      </c>
      <c r="AB488" s="47" t="str">
        <f aca="false">IF(OR($G488&lt;&gt;"Yes",NOT(ISNUMBER($H488))),"",COUNTIFS(c_Met,"Yes",c_Date,"&lt;"&amp;$H488)+COUNTIFS($G$2:$G488,"Yes",$H$2:$H488,$H488))</f>
        <v/>
      </c>
    </row>
    <row r="489" customFormat="false" ht="15" hidden="false" customHeight="false" outlineLevel="0" collapsed="false">
      <c r="A489" s="44" t="str">
        <f aca="false">IF($B489="","",COUNTA($B$2:$B489))</f>
        <v/>
      </c>
      <c r="B489" s="11"/>
      <c r="C489" s="11"/>
      <c r="D489" s="11"/>
      <c r="E489" s="11"/>
      <c r="F489" s="11"/>
      <c r="G489" s="34"/>
      <c r="H489" s="25"/>
      <c r="I489" s="40"/>
      <c r="J489" s="34"/>
      <c r="K489" s="45"/>
      <c r="L489" s="34"/>
      <c r="M489" s="34"/>
      <c r="N489" s="11"/>
      <c r="O489" s="11"/>
      <c r="P489" s="11"/>
      <c r="Q489" s="11"/>
      <c r="R489" s="11"/>
      <c r="S489" s="46"/>
      <c r="T489" s="44" t="str">
        <f aca="false">IF($B489="","",COUNTA($N489:$R489)-COUNTIF($N489:$R489,"Not Invited"))</f>
        <v/>
      </c>
      <c r="U489" s="44" t="str">
        <f aca="false">IF($B489="","",COUNTIF($N489:$R489,"Attended"))</f>
        <v/>
      </c>
      <c r="V489" s="47" t="str">
        <f aca="false">IF($B489="","",_xlfn.TEXTJOIN(", ",TRUE(),IF($N489="Attended",Setup!$D$15,""),IF($O489="Attended",Setup!$D$16,""),IF($P489="Attended",Setup!$D$17,""),IF($Q489="Attended",Setup!$D$18,""),IF($R489="Attended",Setup!$D$19,"")))</f>
        <v/>
      </c>
      <c r="W489" s="48" t="str">
        <f aca="true">IF(OR($B489="",NOT(ISNUMBER($H489))),"",TODAY()-$H489)</f>
        <v/>
      </c>
      <c r="X489" s="47" t="str">
        <f aca="false">IF($B489="","",IF($U489&gt;0,"Event attendee",IF($G489="Yes","Met (no event)",IF($T489&gt;0,"Invited only",IF(OR($L489="Yes",$M489="Yes"),"Contacted only","Not yet contacted")))))</f>
        <v/>
      </c>
      <c r="Y489" s="47" t="str">
        <f aca="false">IF($B489="","",COUNTIF(c_Firm,"&lt;"&amp;$D489)+COUNTIFS(c_Firm,$D489,c_Name,"&lt;"&amp;$B489)+COUNTIFS($D$2:$D489,$D489,$B$2:$B489,$B489))</f>
        <v/>
      </c>
      <c r="Z489" s="47" t="str">
        <f aca="false">IF($B489="","",IF(AND(OR(Contacts!$C$3="(All)",$D489=Contacts!$C$3),OR(Contacts!$E$3="(All)",$G489=Contacts!$E$3),OR(Contacts!$G$3="(All)",ISNUMBER(SEARCH(Contacts!$G$3,$V489))),OR(Contacts!$I$3="(All)",$X489=Contacts!$I$3),OR(Contacts!$K$3="",ISNUMBER(SEARCH(Contacts!$K$3,$B489&amp;" "&amp;$C489&amp;" "&amp;$D489&amp;" "&amp;$S489)))),1,0))</f>
        <v/>
      </c>
      <c r="AA489" s="47" t="str">
        <f aca="false">IF($Z489=1,COUNTIFS(c_Pass,1,c_Sort,"&lt;="&amp;$Y489),"")</f>
        <v/>
      </c>
      <c r="AB489" s="47" t="str">
        <f aca="false">IF(OR($G489&lt;&gt;"Yes",NOT(ISNUMBER($H489))),"",COUNTIFS(c_Met,"Yes",c_Date,"&lt;"&amp;$H489)+COUNTIFS($G$2:$G489,"Yes",$H$2:$H489,$H489))</f>
        <v/>
      </c>
    </row>
    <row r="490" customFormat="false" ht="15" hidden="false" customHeight="false" outlineLevel="0" collapsed="false">
      <c r="A490" s="44" t="str">
        <f aca="false">IF($B490="","",COUNTA($B$2:$B490))</f>
        <v/>
      </c>
      <c r="B490" s="11"/>
      <c r="C490" s="11"/>
      <c r="D490" s="11"/>
      <c r="E490" s="11"/>
      <c r="F490" s="11"/>
      <c r="G490" s="34"/>
      <c r="H490" s="25"/>
      <c r="I490" s="40"/>
      <c r="J490" s="34"/>
      <c r="K490" s="45"/>
      <c r="L490" s="34"/>
      <c r="M490" s="34"/>
      <c r="N490" s="11"/>
      <c r="O490" s="11"/>
      <c r="P490" s="11"/>
      <c r="Q490" s="11"/>
      <c r="R490" s="11"/>
      <c r="S490" s="46"/>
      <c r="T490" s="44" t="str">
        <f aca="false">IF($B490="","",COUNTA($N490:$R490)-COUNTIF($N490:$R490,"Not Invited"))</f>
        <v/>
      </c>
      <c r="U490" s="44" t="str">
        <f aca="false">IF($B490="","",COUNTIF($N490:$R490,"Attended"))</f>
        <v/>
      </c>
      <c r="V490" s="47" t="str">
        <f aca="false">IF($B490="","",_xlfn.TEXTJOIN(", ",TRUE(),IF($N490="Attended",Setup!$D$15,""),IF($O490="Attended",Setup!$D$16,""),IF($P490="Attended",Setup!$D$17,""),IF($Q490="Attended",Setup!$D$18,""),IF($R490="Attended",Setup!$D$19,"")))</f>
        <v/>
      </c>
      <c r="W490" s="48" t="str">
        <f aca="true">IF(OR($B490="",NOT(ISNUMBER($H490))),"",TODAY()-$H490)</f>
        <v/>
      </c>
      <c r="X490" s="47" t="str">
        <f aca="false">IF($B490="","",IF($U490&gt;0,"Event attendee",IF($G490="Yes","Met (no event)",IF($T490&gt;0,"Invited only",IF(OR($L490="Yes",$M490="Yes"),"Contacted only","Not yet contacted")))))</f>
        <v/>
      </c>
      <c r="Y490" s="47" t="str">
        <f aca="false">IF($B490="","",COUNTIF(c_Firm,"&lt;"&amp;$D490)+COUNTIFS(c_Firm,$D490,c_Name,"&lt;"&amp;$B490)+COUNTIFS($D$2:$D490,$D490,$B$2:$B490,$B490))</f>
        <v/>
      </c>
      <c r="Z490" s="47" t="str">
        <f aca="false">IF($B490="","",IF(AND(OR(Contacts!$C$3="(All)",$D490=Contacts!$C$3),OR(Contacts!$E$3="(All)",$G490=Contacts!$E$3),OR(Contacts!$G$3="(All)",ISNUMBER(SEARCH(Contacts!$G$3,$V490))),OR(Contacts!$I$3="(All)",$X490=Contacts!$I$3),OR(Contacts!$K$3="",ISNUMBER(SEARCH(Contacts!$K$3,$B490&amp;" "&amp;$C490&amp;" "&amp;$D490&amp;" "&amp;$S490)))),1,0))</f>
        <v/>
      </c>
      <c r="AA490" s="47" t="str">
        <f aca="false">IF($Z490=1,COUNTIFS(c_Pass,1,c_Sort,"&lt;="&amp;$Y490),"")</f>
        <v/>
      </c>
      <c r="AB490" s="47" t="str">
        <f aca="false">IF(OR($G490&lt;&gt;"Yes",NOT(ISNUMBER($H490))),"",COUNTIFS(c_Met,"Yes",c_Date,"&lt;"&amp;$H490)+COUNTIFS($G$2:$G490,"Yes",$H$2:$H490,$H490))</f>
        <v/>
      </c>
    </row>
    <row r="491" customFormat="false" ht="15" hidden="false" customHeight="false" outlineLevel="0" collapsed="false">
      <c r="A491" s="44" t="str">
        <f aca="false">IF($B491="","",COUNTA($B$2:$B491))</f>
        <v/>
      </c>
      <c r="B491" s="11"/>
      <c r="C491" s="11"/>
      <c r="D491" s="11"/>
      <c r="E491" s="11"/>
      <c r="F491" s="11"/>
      <c r="G491" s="34"/>
      <c r="H491" s="25"/>
      <c r="I491" s="40"/>
      <c r="J491" s="34"/>
      <c r="K491" s="45"/>
      <c r="L491" s="34"/>
      <c r="M491" s="34"/>
      <c r="N491" s="11"/>
      <c r="O491" s="11"/>
      <c r="P491" s="11"/>
      <c r="Q491" s="11"/>
      <c r="R491" s="11"/>
      <c r="S491" s="46"/>
      <c r="T491" s="44" t="str">
        <f aca="false">IF($B491="","",COUNTA($N491:$R491)-COUNTIF($N491:$R491,"Not Invited"))</f>
        <v/>
      </c>
      <c r="U491" s="44" t="str">
        <f aca="false">IF($B491="","",COUNTIF($N491:$R491,"Attended"))</f>
        <v/>
      </c>
      <c r="V491" s="47" t="str">
        <f aca="false">IF($B491="","",_xlfn.TEXTJOIN(", ",TRUE(),IF($N491="Attended",Setup!$D$15,""),IF($O491="Attended",Setup!$D$16,""),IF($P491="Attended",Setup!$D$17,""),IF($Q491="Attended",Setup!$D$18,""),IF($R491="Attended",Setup!$D$19,"")))</f>
        <v/>
      </c>
      <c r="W491" s="48" t="str">
        <f aca="true">IF(OR($B491="",NOT(ISNUMBER($H491))),"",TODAY()-$H491)</f>
        <v/>
      </c>
      <c r="X491" s="47" t="str">
        <f aca="false">IF($B491="","",IF($U491&gt;0,"Event attendee",IF($G491="Yes","Met (no event)",IF($T491&gt;0,"Invited only",IF(OR($L491="Yes",$M491="Yes"),"Contacted only","Not yet contacted")))))</f>
        <v/>
      </c>
      <c r="Y491" s="47" t="str">
        <f aca="false">IF($B491="","",COUNTIF(c_Firm,"&lt;"&amp;$D491)+COUNTIFS(c_Firm,$D491,c_Name,"&lt;"&amp;$B491)+COUNTIFS($D$2:$D491,$D491,$B$2:$B491,$B491))</f>
        <v/>
      </c>
      <c r="Z491" s="47" t="str">
        <f aca="false">IF($B491="","",IF(AND(OR(Contacts!$C$3="(All)",$D491=Contacts!$C$3),OR(Contacts!$E$3="(All)",$G491=Contacts!$E$3),OR(Contacts!$G$3="(All)",ISNUMBER(SEARCH(Contacts!$G$3,$V491))),OR(Contacts!$I$3="(All)",$X491=Contacts!$I$3),OR(Contacts!$K$3="",ISNUMBER(SEARCH(Contacts!$K$3,$B491&amp;" "&amp;$C491&amp;" "&amp;$D491&amp;" "&amp;$S491)))),1,0))</f>
        <v/>
      </c>
      <c r="AA491" s="47" t="str">
        <f aca="false">IF($Z491=1,COUNTIFS(c_Pass,1,c_Sort,"&lt;="&amp;$Y491),"")</f>
        <v/>
      </c>
      <c r="AB491" s="47" t="str">
        <f aca="false">IF(OR($G491&lt;&gt;"Yes",NOT(ISNUMBER($H491))),"",COUNTIFS(c_Met,"Yes",c_Date,"&lt;"&amp;$H491)+COUNTIFS($G$2:$G491,"Yes",$H$2:$H491,$H491))</f>
        <v/>
      </c>
    </row>
    <row r="492" customFormat="false" ht="15" hidden="false" customHeight="false" outlineLevel="0" collapsed="false">
      <c r="A492" s="44" t="str">
        <f aca="false">IF($B492="","",COUNTA($B$2:$B492))</f>
        <v/>
      </c>
      <c r="B492" s="11"/>
      <c r="C492" s="11"/>
      <c r="D492" s="11"/>
      <c r="E492" s="11"/>
      <c r="F492" s="11"/>
      <c r="G492" s="34"/>
      <c r="H492" s="25"/>
      <c r="I492" s="40"/>
      <c r="J492" s="34"/>
      <c r="K492" s="45"/>
      <c r="L492" s="34"/>
      <c r="M492" s="34"/>
      <c r="N492" s="11"/>
      <c r="O492" s="11"/>
      <c r="P492" s="11"/>
      <c r="Q492" s="11"/>
      <c r="R492" s="11"/>
      <c r="S492" s="46"/>
      <c r="T492" s="44" t="str">
        <f aca="false">IF($B492="","",COUNTA($N492:$R492)-COUNTIF($N492:$R492,"Not Invited"))</f>
        <v/>
      </c>
      <c r="U492" s="44" t="str">
        <f aca="false">IF($B492="","",COUNTIF($N492:$R492,"Attended"))</f>
        <v/>
      </c>
      <c r="V492" s="47" t="str">
        <f aca="false">IF($B492="","",_xlfn.TEXTJOIN(", ",TRUE(),IF($N492="Attended",Setup!$D$15,""),IF($O492="Attended",Setup!$D$16,""),IF($P492="Attended",Setup!$D$17,""),IF($Q492="Attended",Setup!$D$18,""),IF($R492="Attended",Setup!$D$19,"")))</f>
        <v/>
      </c>
      <c r="W492" s="48" t="str">
        <f aca="true">IF(OR($B492="",NOT(ISNUMBER($H492))),"",TODAY()-$H492)</f>
        <v/>
      </c>
      <c r="X492" s="47" t="str">
        <f aca="false">IF($B492="","",IF($U492&gt;0,"Event attendee",IF($G492="Yes","Met (no event)",IF($T492&gt;0,"Invited only",IF(OR($L492="Yes",$M492="Yes"),"Contacted only","Not yet contacted")))))</f>
        <v/>
      </c>
      <c r="Y492" s="47" t="str">
        <f aca="false">IF($B492="","",COUNTIF(c_Firm,"&lt;"&amp;$D492)+COUNTIFS(c_Firm,$D492,c_Name,"&lt;"&amp;$B492)+COUNTIFS($D$2:$D492,$D492,$B$2:$B492,$B492))</f>
        <v/>
      </c>
      <c r="Z492" s="47" t="str">
        <f aca="false">IF($B492="","",IF(AND(OR(Contacts!$C$3="(All)",$D492=Contacts!$C$3),OR(Contacts!$E$3="(All)",$G492=Contacts!$E$3),OR(Contacts!$G$3="(All)",ISNUMBER(SEARCH(Contacts!$G$3,$V492))),OR(Contacts!$I$3="(All)",$X492=Contacts!$I$3),OR(Contacts!$K$3="",ISNUMBER(SEARCH(Contacts!$K$3,$B492&amp;" "&amp;$C492&amp;" "&amp;$D492&amp;" "&amp;$S492)))),1,0))</f>
        <v/>
      </c>
      <c r="AA492" s="47" t="str">
        <f aca="false">IF($Z492=1,COUNTIFS(c_Pass,1,c_Sort,"&lt;="&amp;$Y492),"")</f>
        <v/>
      </c>
      <c r="AB492" s="47" t="str">
        <f aca="false">IF(OR($G492&lt;&gt;"Yes",NOT(ISNUMBER($H492))),"",COUNTIFS(c_Met,"Yes",c_Date,"&lt;"&amp;$H492)+COUNTIFS($G$2:$G492,"Yes",$H$2:$H492,$H492))</f>
        <v/>
      </c>
    </row>
    <row r="493" customFormat="false" ht="15" hidden="false" customHeight="false" outlineLevel="0" collapsed="false">
      <c r="A493" s="44" t="str">
        <f aca="false">IF($B493="","",COUNTA($B$2:$B493))</f>
        <v/>
      </c>
      <c r="B493" s="11"/>
      <c r="C493" s="11"/>
      <c r="D493" s="11"/>
      <c r="E493" s="11"/>
      <c r="F493" s="11"/>
      <c r="G493" s="34"/>
      <c r="H493" s="25"/>
      <c r="I493" s="40"/>
      <c r="J493" s="34"/>
      <c r="K493" s="45"/>
      <c r="L493" s="34"/>
      <c r="M493" s="34"/>
      <c r="N493" s="11"/>
      <c r="O493" s="11"/>
      <c r="P493" s="11"/>
      <c r="Q493" s="11"/>
      <c r="R493" s="11"/>
      <c r="S493" s="46"/>
      <c r="T493" s="44" t="str">
        <f aca="false">IF($B493="","",COUNTA($N493:$R493)-COUNTIF($N493:$R493,"Not Invited"))</f>
        <v/>
      </c>
      <c r="U493" s="44" t="str">
        <f aca="false">IF($B493="","",COUNTIF($N493:$R493,"Attended"))</f>
        <v/>
      </c>
      <c r="V493" s="47" t="str">
        <f aca="false">IF($B493="","",_xlfn.TEXTJOIN(", ",TRUE(),IF($N493="Attended",Setup!$D$15,""),IF($O493="Attended",Setup!$D$16,""),IF($P493="Attended",Setup!$D$17,""),IF($Q493="Attended",Setup!$D$18,""),IF($R493="Attended",Setup!$D$19,"")))</f>
        <v/>
      </c>
      <c r="W493" s="48" t="str">
        <f aca="true">IF(OR($B493="",NOT(ISNUMBER($H493))),"",TODAY()-$H493)</f>
        <v/>
      </c>
      <c r="X493" s="47" t="str">
        <f aca="false">IF($B493="","",IF($U493&gt;0,"Event attendee",IF($G493="Yes","Met (no event)",IF($T493&gt;0,"Invited only",IF(OR($L493="Yes",$M493="Yes"),"Contacted only","Not yet contacted")))))</f>
        <v/>
      </c>
      <c r="Y493" s="47" t="str">
        <f aca="false">IF($B493="","",COUNTIF(c_Firm,"&lt;"&amp;$D493)+COUNTIFS(c_Firm,$D493,c_Name,"&lt;"&amp;$B493)+COUNTIFS($D$2:$D493,$D493,$B$2:$B493,$B493))</f>
        <v/>
      </c>
      <c r="Z493" s="47" t="str">
        <f aca="false">IF($B493="","",IF(AND(OR(Contacts!$C$3="(All)",$D493=Contacts!$C$3),OR(Contacts!$E$3="(All)",$G493=Contacts!$E$3),OR(Contacts!$G$3="(All)",ISNUMBER(SEARCH(Contacts!$G$3,$V493))),OR(Contacts!$I$3="(All)",$X493=Contacts!$I$3),OR(Contacts!$K$3="",ISNUMBER(SEARCH(Contacts!$K$3,$B493&amp;" "&amp;$C493&amp;" "&amp;$D493&amp;" "&amp;$S493)))),1,0))</f>
        <v/>
      </c>
      <c r="AA493" s="47" t="str">
        <f aca="false">IF($Z493=1,COUNTIFS(c_Pass,1,c_Sort,"&lt;="&amp;$Y493),"")</f>
        <v/>
      </c>
      <c r="AB493" s="47" t="str">
        <f aca="false">IF(OR($G493&lt;&gt;"Yes",NOT(ISNUMBER($H493))),"",COUNTIFS(c_Met,"Yes",c_Date,"&lt;"&amp;$H493)+COUNTIFS($G$2:$G493,"Yes",$H$2:$H493,$H493))</f>
        <v/>
      </c>
    </row>
    <row r="494" customFormat="false" ht="15" hidden="false" customHeight="false" outlineLevel="0" collapsed="false">
      <c r="A494" s="44" t="str">
        <f aca="false">IF($B494="","",COUNTA($B$2:$B494))</f>
        <v/>
      </c>
      <c r="B494" s="11"/>
      <c r="C494" s="11"/>
      <c r="D494" s="11"/>
      <c r="E494" s="11"/>
      <c r="F494" s="11"/>
      <c r="G494" s="34"/>
      <c r="H494" s="25"/>
      <c r="I494" s="40"/>
      <c r="J494" s="34"/>
      <c r="K494" s="45"/>
      <c r="L494" s="34"/>
      <c r="M494" s="34"/>
      <c r="N494" s="11"/>
      <c r="O494" s="11"/>
      <c r="P494" s="11"/>
      <c r="Q494" s="11"/>
      <c r="R494" s="11"/>
      <c r="S494" s="46"/>
      <c r="T494" s="44" t="str">
        <f aca="false">IF($B494="","",COUNTA($N494:$R494)-COUNTIF($N494:$R494,"Not Invited"))</f>
        <v/>
      </c>
      <c r="U494" s="44" t="str">
        <f aca="false">IF($B494="","",COUNTIF($N494:$R494,"Attended"))</f>
        <v/>
      </c>
      <c r="V494" s="47" t="str">
        <f aca="false">IF($B494="","",_xlfn.TEXTJOIN(", ",TRUE(),IF($N494="Attended",Setup!$D$15,""),IF($O494="Attended",Setup!$D$16,""),IF($P494="Attended",Setup!$D$17,""),IF($Q494="Attended",Setup!$D$18,""),IF($R494="Attended",Setup!$D$19,"")))</f>
        <v/>
      </c>
      <c r="W494" s="48" t="str">
        <f aca="true">IF(OR($B494="",NOT(ISNUMBER($H494))),"",TODAY()-$H494)</f>
        <v/>
      </c>
      <c r="X494" s="47" t="str">
        <f aca="false">IF($B494="","",IF($U494&gt;0,"Event attendee",IF($G494="Yes","Met (no event)",IF($T494&gt;0,"Invited only",IF(OR($L494="Yes",$M494="Yes"),"Contacted only","Not yet contacted")))))</f>
        <v/>
      </c>
      <c r="Y494" s="47" t="str">
        <f aca="false">IF($B494="","",COUNTIF(c_Firm,"&lt;"&amp;$D494)+COUNTIFS(c_Firm,$D494,c_Name,"&lt;"&amp;$B494)+COUNTIFS($D$2:$D494,$D494,$B$2:$B494,$B494))</f>
        <v/>
      </c>
      <c r="Z494" s="47" t="str">
        <f aca="false">IF($B494="","",IF(AND(OR(Contacts!$C$3="(All)",$D494=Contacts!$C$3),OR(Contacts!$E$3="(All)",$G494=Contacts!$E$3),OR(Contacts!$G$3="(All)",ISNUMBER(SEARCH(Contacts!$G$3,$V494))),OR(Contacts!$I$3="(All)",$X494=Contacts!$I$3),OR(Contacts!$K$3="",ISNUMBER(SEARCH(Contacts!$K$3,$B494&amp;" "&amp;$C494&amp;" "&amp;$D494&amp;" "&amp;$S494)))),1,0))</f>
        <v/>
      </c>
      <c r="AA494" s="47" t="str">
        <f aca="false">IF($Z494=1,COUNTIFS(c_Pass,1,c_Sort,"&lt;="&amp;$Y494),"")</f>
        <v/>
      </c>
      <c r="AB494" s="47" t="str">
        <f aca="false">IF(OR($G494&lt;&gt;"Yes",NOT(ISNUMBER($H494))),"",COUNTIFS(c_Met,"Yes",c_Date,"&lt;"&amp;$H494)+COUNTIFS($G$2:$G494,"Yes",$H$2:$H494,$H494))</f>
        <v/>
      </c>
    </row>
    <row r="495" customFormat="false" ht="15" hidden="false" customHeight="false" outlineLevel="0" collapsed="false">
      <c r="A495" s="44" t="str">
        <f aca="false">IF($B495="","",COUNTA($B$2:$B495))</f>
        <v/>
      </c>
      <c r="B495" s="11"/>
      <c r="C495" s="11"/>
      <c r="D495" s="11"/>
      <c r="E495" s="11"/>
      <c r="F495" s="11"/>
      <c r="G495" s="34"/>
      <c r="H495" s="25"/>
      <c r="I495" s="40"/>
      <c r="J495" s="34"/>
      <c r="K495" s="45"/>
      <c r="L495" s="34"/>
      <c r="M495" s="34"/>
      <c r="N495" s="11"/>
      <c r="O495" s="11"/>
      <c r="P495" s="11"/>
      <c r="Q495" s="11"/>
      <c r="R495" s="11"/>
      <c r="S495" s="46"/>
      <c r="T495" s="44" t="str">
        <f aca="false">IF($B495="","",COUNTA($N495:$R495)-COUNTIF($N495:$R495,"Not Invited"))</f>
        <v/>
      </c>
      <c r="U495" s="44" t="str">
        <f aca="false">IF($B495="","",COUNTIF($N495:$R495,"Attended"))</f>
        <v/>
      </c>
      <c r="V495" s="47" t="str">
        <f aca="false">IF($B495="","",_xlfn.TEXTJOIN(", ",TRUE(),IF($N495="Attended",Setup!$D$15,""),IF($O495="Attended",Setup!$D$16,""),IF($P495="Attended",Setup!$D$17,""),IF($Q495="Attended",Setup!$D$18,""),IF($R495="Attended",Setup!$D$19,"")))</f>
        <v/>
      </c>
      <c r="W495" s="48" t="str">
        <f aca="true">IF(OR($B495="",NOT(ISNUMBER($H495))),"",TODAY()-$H495)</f>
        <v/>
      </c>
      <c r="X495" s="47" t="str">
        <f aca="false">IF($B495="","",IF($U495&gt;0,"Event attendee",IF($G495="Yes","Met (no event)",IF($T495&gt;0,"Invited only",IF(OR($L495="Yes",$M495="Yes"),"Contacted only","Not yet contacted")))))</f>
        <v/>
      </c>
      <c r="Y495" s="47" t="str">
        <f aca="false">IF($B495="","",COUNTIF(c_Firm,"&lt;"&amp;$D495)+COUNTIFS(c_Firm,$D495,c_Name,"&lt;"&amp;$B495)+COUNTIFS($D$2:$D495,$D495,$B$2:$B495,$B495))</f>
        <v/>
      </c>
      <c r="Z495" s="47" t="str">
        <f aca="false">IF($B495="","",IF(AND(OR(Contacts!$C$3="(All)",$D495=Contacts!$C$3),OR(Contacts!$E$3="(All)",$G495=Contacts!$E$3),OR(Contacts!$G$3="(All)",ISNUMBER(SEARCH(Contacts!$G$3,$V495))),OR(Contacts!$I$3="(All)",$X495=Contacts!$I$3),OR(Contacts!$K$3="",ISNUMBER(SEARCH(Contacts!$K$3,$B495&amp;" "&amp;$C495&amp;" "&amp;$D495&amp;" "&amp;$S495)))),1,0))</f>
        <v/>
      </c>
      <c r="AA495" s="47" t="str">
        <f aca="false">IF($Z495=1,COUNTIFS(c_Pass,1,c_Sort,"&lt;="&amp;$Y495),"")</f>
        <v/>
      </c>
      <c r="AB495" s="47" t="str">
        <f aca="false">IF(OR($G495&lt;&gt;"Yes",NOT(ISNUMBER($H495))),"",COUNTIFS(c_Met,"Yes",c_Date,"&lt;"&amp;$H495)+COUNTIFS($G$2:$G495,"Yes",$H$2:$H495,$H495))</f>
        <v/>
      </c>
    </row>
    <row r="496" customFormat="false" ht="15" hidden="false" customHeight="false" outlineLevel="0" collapsed="false">
      <c r="A496" s="44" t="str">
        <f aca="false">IF($B496="","",COUNTA($B$2:$B496))</f>
        <v/>
      </c>
      <c r="B496" s="11"/>
      <c r="C496" s="11"/>
      <c r="D496" s="11"/>
      <c r="E496" s="11"/>
      <c r="F496" s="11"/>
      <c r="G496" s="34"/>
      <c r="H496" s="25"/>
      <c r="I496" s="40"/>
      <c r="J496" s="34"/>
      <c r="K496" s="45"/>
      <c r="L496" s="34"/>
      <c r="M496" s="34"/>
      <c r="N496" s="11"/>
      <c r="O496" s="11"/>
      <c r="P496" s="11"/>
      <c r="Q496" s="11"/>
      <c r="R496" s="11"/>
      <c r="S496" s="46"/>
      <c r="T496" s="44" t="str">
        <f aca="false">IF($B496="","",COUNTA($N496:$R496)-COUNTIF($N496:$R496,"Not Invited"))</f>
        <v/>
      </c>
      <c r="U496" s="44" t="str">
        <f aca="false">IF($B496="","",COUNTIF($N496:$R496,"Attended"))</f>
        <v/>
      </c>
      <c r="V496" s="47" t="str">
        <f aca="false">IF($B496="","",_xlfn.TEXTJOIN(", ",TRUE(),IF($N496="Attended",Setup!$D$15,""),IF($O496="Attended",Setup!$D$16,""),IF($P496="Attended",Setup!$D$17,""),IF($Q496="Attended",Setup!$D$18,""),IF($R496="Attended",Setup!$D$19,"")))</f>
        <v/>
      </c>
      <c r="W496" s="48" t="str">
        <f aca="true">IF(OR($B496="",NOT(ISNUMBER($H496))),"",TODAY()-$H496)</f>
        <v/>
      </c>
      <c r="X496" s="47" t="str">
        <f aca="false">IF($B496="","",IF($U496&gt;0,"Event attendee",IF($G496="Yes","Met (no event)",IF($T496&gt;0,"Invited only",IF(OR($L496="Yes",$M496="Yes"),"Contacted only","Not yet contacted")))))</f>
        <v/>
      </c>
      <c r="Y496" s="47" t="str">
        <f aca="false">IF($B496="","",COUNTIF(c_Firm,"&lt;"&amp;$D496)+COUNTIFS(c_Firm,$D496,c_Name,"&lt;"&amp;$B496)+COUNTIFS($D$2:$D496,$D496,$B$2:$B496,$B496))</f>
        <v/>
      </c>
      <c r="Z496" s="47" t="str">
        <f aca="false">IF($B496="","",IF(AND(OR(Contacts!$C$3="(All)",$D496=Contacts!$C$3),OR(Contacts!$E$3="(All)",$G496=Contacts!$E$3),OR(Contacts!$G$3="(All)",ISNUMBER(SEARCH(Contacts!$G$3,$V496))),OR(Contacts!$I$3="(All)",$X496=Contacts!$I$3),OR(Contacts!$K$3="",ISNUMBER(SEARCH(Contacts!$K$3,$B496&amp;" "&amp;$C496&amp;" "&amp;$D496&amp;" "&amp;$S496)))),1,0))</f>
        <v/>
      </c>
      <c r="AA496" s="47" t="str">
        <f aca="false">IF($Z496=1,COUNTIFS(c_Pass,1,c_Sort,"&lt;="&amp;$Y496),"")</f>
        <v/>
      </c>
      <c r="AB496" s="47" t="str">
        <f aca="false">IF(OR($G496&lt;&gt;"Yes",NOT(ISNUMBER($H496))),"",COUNTIFS(c_Met,"Yes",c_Date,"&lt;"&amp;$H496)+COUNTIFS($G$2:$G496,"Yes",$H$2:$H496,$H496))</f>
        <v/>
      </c>
    </row>
    <row r="497" customFormat="false" ht="15" hidden="false" customHeight="false" outlineLevel="0" collapsed="false">
      <c r="A497" s="44" t="str">
        <f aca="false">IF($B497="","",COUNTA($B$2:$B497))</f>
        <v/>
      </c>
      <c r="B497" s="11"/>
      <c r="C497" s="11"/>
      <c r="D497" s="11"/>
      <c r="E497" s="11"/>
      <c r="F497" s="11"/>
      <c r="G497" s="34"/>
      <c r="H497" s="25"/>
      <c r="I497" s="40"/>
      <c r="J497" s="34"/>
      <c r="K497" s="45"/>
      <c r="L497" s="34"/>
      <c r="M497" s="34"/>
      <c r="N497" s="11"/>
      <c r="O497" s="11"/>
      <c r="P497" s="11"/>
      <c r="Q497" s="11"/>
      <c r="R497" s="11"/>
      <c r="S497" s="46"/>
      <c r="T497" s="44" t="str">
        <f aca="false">IF($B497="","",COUNTA($N497:$R497)-COUNTIF($N497:$R497,"Not Invited"))</f>
        <v/>
      </c>
      <c r="U497" s="44" t="str">
        <f aca="false">IF($B497="","",COUNTIF($N497:$R497,"Attended"))</f>
        <v/>
      </c>
      <c r="V497" s="47" t="str">
        <f aca="false">IF($B497="","",_xlfn.TEXTJOIN(", ",TRUE(),IF($N497="Attended",Setup!$D$15,""),IF($O497="Attended",Setup!$D$16,""),IF($P497="Attended",Setup!$D$17,""),IF($Q497="Attended",Setup!$D$18,""),IF($R497="Attended",Setup!$D$19,"")))</f>
        <v/>
      </c>
      <c r="W497" s="48" t="str">
        <f aca="true">IF(OR($B497="",NOT(ISNUMBER($H497))),"",TODAY()-$H497)</f>
        <v/>
      </c>
      <c r="X497" s="47" t="str">
        <f aca="false">IF($B497="","",IF($U497&gt;0,"Event attendee",IF($G497="Yes","Met (no event)",IF($T497&gt;0,"Invited only",IF(OR($L497="Yes",$M497="Yes"),"Contacted only","Not yet contacted")))))</f>
        <v/>
      </c>
      <c r="Y497" s="47" t="str">
        <f aca="false">IF($B497="","",COUNTIF(c_Firm,"&lt;"&amp;$D497)+COUNTIFS(c_Firm,$D497,c_Name,"&lt;"&amp;$B497)+COUNTIFS($D$2:$D497,$D497,$B$2:$B497,$B497))</f>
        <v/>
      </c>
      <c r="Z497" s="47" t="str">
        <f aca="false">IF($B497="","",IF(AND(OR(Contacts!$C$3="(All)",$D497=Contacts!$C$3),OR(Contacts!$E$3="(All)",$G497=Contacts!$E$3),OR(Contacts!$G$3="(All)",ISNUMBER(SEARCH(Contacts!$G$3,$V497))),OR(Contacts!$I$3="(All)",$X497=Contacts!$I$3),OR(Contacts!$K$3="",ISNUMBER(SEARCH(Contacts!$K$3,$B497&amp;" "&amp;$C497&amp;" "&amp;$D497&amp;" "&amp;$S497)))),1,0))</f>
        <v/>
      </c>
      <c r="AA497" s="47" t="str">
        <f aca="false">IF($Z497=1,COUNTIFS(c_Pass,1,c_Sort,"&lt;="&amp;$Y497),"")</f>
        <v/>
      </c>
      <c r="AB497" s="47" t="str">
        <f aca="false">IF(OR($G497&lt;&gt;"Yes",NOT(ISNUMBER($H497))),"",COUNTIFS(c_Met,"Yes",c_Date,"&lt;"&amp;$H497)+COUNTIFS($G$2:$G497,"Yes",$H$2:$H497,$H497))</f>
        <v/>
      </c>
    </row>
    <row r="498" customFormat="false" ht="15" hidden="false" customHeight="false" outlineLevel="0" collapsed="false">
      <c r="A498" s="44" t="str">
        <f aca="false">IF($B498="","",COUNTA($B$2:$B498))</f>
        <v/>
      </c>
      <c r="B498" s="11"/>
      <c r="C498" s="11"/>
      <c r="D498" s="11"/>
      <c r="E498" s="11"/>
      <c r="F498" s="11"/>
      <c r="G498" s="34"/>
      <c r="H498" s="25"/>
      <c r="I498" s="40"/>
      <c r="J498" s="34"/>
      <c r="K498" s="45"/>
      <c r="L498" s="34"/>
      <c r="M498" s="34"/>
      <c r="N498" s="11"/>
      <c r="O498" s="11"/>
      <c r="P498" s="11"/>
      <c r="Q498" s="11"/>
      <c r="R498" s="11"/>
      <c r="S498" s="46"/>
      <c r="T498" s="44" t="str">
        <f aca="false">IF($B498="","",COUNTA($N498:$R498)-COUNTIF($N498:$R498,"Not Invited"))</f>
        <v/>
      </c>
      <c r="U498" s="44" t="str">
        <f aca="false">IF($B498="","",COUNTIF($N498:$R498,"Attended"))</f>
        <v/>
      </c>
      <c r="V498" s="47" t="str">
        <f aca="false">IF($B498="","",_xlfn.TEXTJOIN(", ",TRUE(),IF($N498="Attended",Setup!$D$15,""),IF($O498="Attended",Setup!$D$16,""),IF($P498="Attended",Setup!$D$17,""),IF($Q498="Attended",Setup!$D$18,""),IF($R498="Attended",Setup!$D$19,"")))</f>
        <v/>
      </c>
      <c r="W498" s="48" t="str">
        <f aca="true">IF(OR($B498="",NOT(ISNUMBER($H498))),"",TODAY()-$H498)</f>
        <v/>
      </c>
      <c r="X498" s="47" t="str">
        <f aca="false">IF($B498="","",IF($U498&gt;0,"Event attendee",IF($G498="Yes","Met (no event)",IF($T498&gt;0,"Invited only",IF(OR($L498="Yes",$M498="Yes"),"Contacted only","Not yet contacted")))))</f>
        <v/>
      </c>
      <c r="Y498" s="47" t="str">
        <f aca="false">IF($B498="","",COUNTIF(c_Firm,"&lt;"&amp;$D498)+COUNTIFS(c_Firm,$D498,c_Name,"&lt;"&amp;$B498)+COUNTIFS($D$2:$D498,$D498,$B$2:$B498,$B498))</f>
        <v/>
      </c>
      <c r="Z498" s="47" t="str">
        <f aca="false">IF($B498="","",IF(AND(OR(Contacts!$C$3="(All)",$D498=Contacts!$C$3),OR(Contacts!$E$3="(All)",$G498=Contacts!$E$3),OR(Contacts!$G$3="(All)",ISNUMBER(SEARCH(Contacts!$G$3,$V498))),OR(Contacts!$I$3="(All)",$X498=Contacts!$I$3),OR(Contacts!$K$3="",ISNUMBER(SEARCH(Contacts!$K$3,$B498&amp;" "&amp;$C498&amp;" "&amp;$D498&amp;" "&amp;$S498)))),1,0))</f>
        <v/>
      </c>
      <c r="AA498" s="47" t="str">
        <f aca="false">IF($Z498=1,COUNTIFS(c_Pass,1,c_Sort,"&lt;="&amp;$Y498),"")</f>
        <v/>
      </c>
      <c r="AB498" s="47" t="str">
        <f aca="false">IF(OR($G498&lt;&gt;"Yes",NOT(ISNUMBER($H498))),"",COUNTIFS(c_Met,"Yes",c_Date,"&lt;"&amp;$H498)+COUNTIFS($G$2:$G498,"Yes",$H$2:$H498,$H498))</f>
        <v/>
      </c>
    </row>
    <row r="499" customFormat="false" ht="15" hidden="false" customHeight="false" outlineLevel="0" collapsed="false">
      <c r="A499" s="44" t="str">
        <f aca="false">IF($B499="","",COUNTA($B$2:$B499))</f>
        <v/>
      </c>
      <c r="B499" s="11"/>
      <c r="C499" s="11"/>
      <c r="D499" s="11"/>
      <c r="E499" s="11"/>
      <c r="F499" s="11"/>
      <c r="G499" s="34"/>
      <c r="H499" s="25"/>
      <c r="I499" s="40"/>
      <c r="J499" s="34"/>
      <c r="K499" s="45"/>
      <c r="L499" s="34"/>
      <c r="M499" s="34"/>
      <c r="N499" s="11"/>
      <c r="O499" s="11"/>
      <c r="P499" s="11"/>
      <c r="Q499" s="11"/>
      <c r="R499" s="11"/>
      <c r="S499" s="46"/>
      <c r="T499" s="44" t="str">
        <f aca="false">IF($B499="","",COUNTA($N499:$R499)-COUNTIF($N499:$R499,"Not Invited"))</f>
        <v/>
      </c>
      <c r="U499" s="44" t="str">
        <f aca="false">IF($B499="","",COUNTIF($N499:$R499,"Attended"))</f>
        <v/>
      </c>
      <c r="V499" s="47" t="str">
        <f aca="false">IF($B499="","",_xlfn.TEXTJOIN(", ",TRUE(),IF($N499="Attended",Setup!$D$15,""),IF($O499="Attended",Setup!$D$16,""),IF($P499="Attended",Setup!$D$17,""),IF($Q499="Attended",Setup!$D$18,""),IF($R499="Attended",Setup!$D$19,"")))</f>
        <v/>
      </c>
      <c r="W499" s="48" t="str">
        <f aca="true">IF(OR($B499="",NOT(ISNUMBER($H499))),"",TODAY()-$H499)</f>
        <v/>
      </c>
      <c r="X499" s="47" t="str">
        <f aca="false">IF($B499="","",IF($U499&gt;0,"Event attendee",IF($G499="Yes","Met (no event)",IF($T499&gt;0,"Invited only",IF(OR($L499="Yes",$M499="Yes"),"Contacted only","Not yet contacted")))))</f>
        <v/>
      </c>
      <c r="Y499" s="47" t="str">
        <f aca="false">IF($B499="","",COUNTIF(c_Firm,"&lt;"&amp;$D499)+COUNTIFS(c_Firm,$D499,c_Name,"&lt;"&amp;$B499)+COUNTIFS($D$2:$D499,$D499,$B$2:$B499,$B499))</f>
        <v/>
      </c>
      <c r="Z499" s="47" t="str">
        <f aca="false">IF($B499="","",IF(AND(OR(Contacts!$C$3="(All)",$D499=Contacts!$C$3),OR(Contacts!$E$3="(All)",$G499=Contacts!$E$3),OR(Contacts!$G$3="(All)",ISNUMBER(SEARCH(Contacts!$G$3,$V499))),OR(Contacts!$I$3="(All)",$X499=Contacts!$I$3),OR(Contacts!$K$3="",ISNUMBER(SEARCH(Contacts!$K$3,$B499&amp;" "&amp;$C499&amp;" "&amp;$D499&amp;" "&amp;$S499)))),1,0))</f>
        <v/>
      </c>
      <c r="AA499" s="47" t="str">
        <f aca="false">IF($Z499=1,COUNTIFS(c_Pass,1,c_Sort,"&lt;="&amp;$Y499),"")</f>
        <v/>
      </c>
      <c r="AB499" s="47" t="str">
        <f aca="false">IF(OR($G499&lt;&gt;"Yes",NOT(ISNUMBER($H499))),"",COUNTIFS(c_Met,"Yes",c_Date,"&lt;"&amp;$H499)+COUNTIFS($G$2:$G499,"Yes",$H$2:$H499,$H499))</f>
        <v/>
      </c>
    </row>
    <row r="500" customFormat="false" ht="15" hidden="false" customHeight="false" outlineLevel="0" collapsed="false">
      <c r="A500" s="44" t="str">
        <f aca="false">IF($B500="","",COUNTA($B$2:$B500))</f>
        <v/>
      </c>
      <c r="B500" s="11"/>
      <c r="C500" s="11"/>
      <c r="D500" s="11"/>
      <c r="E500" s="11"/>
      <c r="F500" s="11"/>
      <c r="G500" s="34"/>
      <c r="H500" s="25"/>
      <c r="I500" s="40"/>
      <c r="J500" s="34"/>
      <c r="K500" s="45"/>
      <c r="L500" s="34"/>
      <c r="M500" s="34"/>
      <c r="N500" s="11"/>
      <c r="O500" s="11"/>
      <c r="P500" s="11"/>
      <c r="Q500" s="11"/>
      <c r="R500" s="11"/>
      <c r="S500" s="46"/>
      <c r="T500" s="44" t="str">
        <f aca="false">IF($B500="","",COUNTA($N500:$R500)-COUNTIF($N500:$R500,"Not Invited"))</f>
        <v/>
      </c>
      <c r="U500" s="44" t="str">
        <f aca="false">IF($B500="","",COUNTIF($N500:$R500,"Attended"))</f>
        <v/>
      </c>
      <c r="V500" s="47" t="str">
        <f aca="false">IF($B500="","",_xlfn.TEXTJOIN(", ",TRUE(),IF($N500="Attended",Setup!$D$15,""),IF($O500="Attended",Setup!$D$16,""),IF($P500="Attended",Setup!$D$17,""),IF($Q500="Attended",Setup!$D$18,""),IF($R500="Attended",Setup!$D$19,"")))</f>
        <v/>
      </c>
      <c r="W500" s="48" t="str">
        <f aca="true">IF(OR($B500="",NOT(ISNUMBER($H500))),"",TODAY()-$H500)</f>
        <v/>
      </c>
      <c r="X500" s="47" t="str">
        <f aca="false">IF($B500="","",IF($U500&gt;0,"Event attendee",IF($G500="Yes","Met (no event)",IF($T500&gt;0,"Invited only",IF(OR($L500="Yes",$M500="Yes"),"Contacted only","Not yet contacted")))))</f>
        <v/>
      </c>
      <c r="Y500" s="47" t="str">
        <f aca="false">IF($B500="","",COUNTIF(c_Firm,"&lt;"&amp;$D500)+COUNTIFS(c_Firm,$D500,c_Name,"&lt;"&amp;$B500)+COUNTIFS($D$2:$D500,$D500,$B$2:$B500,$B500))</f>
        <v/>
      </c>
      <c r="Z500" s="47" t="str">
        <f aca="false">IF($B500="","",IF(AND(OR(Contacts!$C$3="(All)",$D500=Contacts!$C$3),OR(Contacts!$E$3="(All)",$G500=Contacts!$E$3),OR(Contacts!$G$3="(All)",ISNUMBER(SEARCH(Contacts!$G$3,$V500))),OR(Contacts!$I$3="(All)",$X500=Contacts!$I$3),OR(Contacts!$K$3="",ISNUMBER(SEARCH(Contacts!$K$3,$B500&amp;" "&amp;$C500&amp;" "&amp;$D500&amp;" "&amp;$S500)))),1,0))</f>
        <v/>
      </c>
      <c r="AA500" s="47" t="str">
        <f aca="false">IF($Z500=1,COUNTIFS(c_Pass,1,c_Sort,"&lt;="&amp;$Y500),"")</f>
        <v/>
      </c>
      <c r="AB500" s="47" t="str">
        <f aca="false">IF(OR($G500&lt;&gt;"Yes",NOT(ISNUMBER($H500))),"",COUNTIFS(c_Met,"Yes",c_Date,"&lt;"&amp;$H500)+COUNTIFS($G$2:$G500,"Yes",$H$2:$H500,$H500))</f>
        <v/>
      </c>
    </row>
    <row r="501" customFormat="false" ht="15" hidden="false" customHeight="false" outlineLevel="0" collapsed="false">
      <c r="A501" s="44" t="str">
        <f aca="false">IF($B501="","",COUNTA($B$2:$B501))</f>
        <v/>
      </c>
      <c r="B501" s="11"/>
      <c r="C501" s="11"/>
      <c r="D501" s="11"/>
      <c r="E501" s="11"/>
      <c r="F501" s="11"/>
      <c r="G501" s="34"/>
      <c r="H501" s="25"/>
      <c r="I501" s="40"/>
      <c r="J501" s="34"/>
      <c r="K501" s="45"/>
      <c r="L501" s="34"/>
      <c r="M501" s="34"/>
      <c r="N501" s="11"/>
      <c r="O501" s="11"/>
      <c r="P501" s="11"/>
      <c r="Q501" s="11"/>
      <c r="R501" s="11"/>
      <c r="S501" s="46"/>
      <c r="T501" s="44" t="str">
        <f aca="false">IF($B501="","",COUNTA($N501:$R501)-COUNTIF($N501:$R501,"Not Invited"))</f>
        <v/>
      </c>
      <c r="U501" s="44" t="str">
        <f aca="false">IF($B501="","",COUNTIF($N501:$R501,"Attended"))</f>
        <v/>
      </c>
      <c r="V501" s="47" t="str">
        <f aca="false">IF($B501="","",_xlfn.TEXTJOIN(", ",TRUE(),IF($N501="Attended",Setup!$D$15,""),IF($O501="Attended",Setup!$D$16,""),IF($P501="Attended",Setup!$D$17,""),IF($Q501="Attended",Setup!$D$18,""),IF($R501="Attended",Setup!$D$19,"")))</f>
        <v/>
      </c>
      <c r="W501" s="48" t="str">
        <f aca="true">IF(OR($B501="",NOT(ISNUMBER($H501))),"",TODAY()-$H501)</f>
        <v/>
      </c>
      <c r="X501" s="47" t="str">
        <f aca="false">IF($B501="","",IF($U501&gt;0,"Event attendee",IF($G501="Yes","Met (no event)",IF($T501&gt;0,"Invited only",IF(OR($L501="Yes",$M501="Yes"),"Contacted only","Not yet contacted")))))</f>
        <v/>
      </c>
      <c r="Y501" s="47" t="str">
        <f aca="false">IF($B501="","",COUNTIF(c_Firm,"&lt;"&amp;$D501)+COUNTIFS(c_Firm,$D501,c_Name,"&lt;"&amp;$B501)+COUNTIFS($D$2:$D501,$D501,$B$2:$B501,$B501))</f>
        <v/>
      </c>
      <c r="Z501" s="47" t="str">
        <f aca="false">IF($B501="","",IF(AND(OR(Contacts!$C$3="(All)",$D501=Contacts!$C$3),OR(Contacts!$E$3="(All)",$G501=Contacts!$E$3),OR(Contacts!$G$3="(All)",ISNUMBER(SEARCH(Contacts!$G$3,$V501))),OR(Contacts!$I$3="(All)",$X501=Contacts!$I$3),OR(Contacts!$K$3="",ISNUMBER(SEARCH(Contacts!$K$3,$B501&amp;" "&amp;$C501&amp;" "&amp;$D501&amp;" "&amp;$S501)))),1,0))</f>
        <v/>
      </c>
      <c r="AA501" s="47" t="str">
        <f aca="false">IF($Z501=1,COUNTIFS(c_Pass,1,c_Sort,"&lt;="&amp;$Y501),"")</f>
        <v/>
      </c>
      <c r="AB501" s="47" t="str">
        <f aca="false">IF(OR($G501&lt;&gt;"Yes",NOT(ISNUMBER($H501))),"",COUNTIFS(c_Met,"Yes",c_Date,"&lt;"&amp;$H501)+COUNTIFS($G$2:$G501,"Yes",$H$2:$H501,$H501))</f>
        <v/>
      </c>
    </row>
    <row r="502" customFormat="false" ht="15" hidden="false" customHeight="false" outlineLevel="0" collapsed="false">
      <c r="A502" s="44" t="str">
        <f aca="false">IF($B502="","",COUNTA($B$2:$B502))</f>
        <v/>
      </c>
      <c r="B502" s="11"/>
      <c r="C502" s="11"/>
      <c r="D502" s="11"/>
      <c r="E502" s="11"/>
      <c r="F502" s="11"/>
      <c r="G502" s="34"/>
      <c r="H502" s="25"/>
      <c r="I502" s="40"/>
      <c r="J502" s="34"/>
      <c r="K502" s="45"/>
      <c r="L502" s="34"/>
      <c r="M502" s="34"/>
      <c r="N502" s="11"/>
      <c r="O502" s="11"/>
      <c r="P502" s="11"/>
      <c r="Q502" s="11"/>
      <c r="R502" s="11"/>
      <c r="S502" s="46"/>
      <c r="T502" s="44" t="str">
        <f aca="false">IF($B502="","",COUNTA($N502:$R502)-COUNTIF($N502:$R502,"Not Invited"))</f>
        <v/>
      </c>
      <c r="U502" s="44" t="str">
        <f aca="false">IF($B502="","",COUNTIF($N502:$R502,"Attended"))</f>
        <v/>
      </c>
      <c r="V502" s="47" t="str">
        <f aca="false">IF($B502="","",_xlfn.TEXTJOIN(", ",TRUE(),IF($N502="Attended",Setup!$D$15,""),IF($O502="Attended",Setup!$D$16,""),IF($P502="Attended",Setup!$D$17,""),IF($Q502="Attended",Setup!$D$18,""),IF($R502="Attended",Setup!$D$19,"")))</f>
        <v/>
      </c>
      <c r="W502" s="48" t="str">
        <f aca="true">IF(OR($B502="",NOT(ISNUMBER($H502))),"",TODAY()-$H502)</f>
        <v/>
      </c>
      <c r="X502" s="47" t="str">
        <f aca="false">IF($B502="","",IF($U502&gt;0,"Event attendee",IF($G502="Yes","Met (no event)",IF($T502&gt;0,"Invited only",IF(OR($L502="Yes",$M502="Yes"),"Contacted only","Not yet contacted")))))</f>
        <v/>
      </c>
      <c r="Y502" s="47" t="str">
        <f aca="false">IF($B502="","",COUNTIF(c_Firm,"&lt;"&amp;$D502)+COUNTIFS(c_Firm,$D502,c_Name,"&lt;"&amp;$B502)+COUNTIFS($D$2:$D502,$D502,$B$2:$B502,$B502))</f>
        <v/>
      </c>
      <c r="Z502" s="47" t="str">
        <f aca="false">IF($B502="","",IF(AND(OR(Contacts!$C$3="(All)",$D502=Contacts!$C$3),OR(Contacts!$E$3="(All)",$G502=Contacts!$E$3),OR(Contacts!$G$3="(All)",ISNUMBER(SEARCH(Contacts!$G$3,$V502))),OR(Contacts!$I$3="(All)",$X502=Contacts!$I$3),OR(Contacts!$K$3="",ISNUMBER(SEARCH(Contacts!$K$3,$B502&amp;" "&amp;$C502&amp;" "&amp;$D502&amp;" "&amp;$S502)))),1,0))</f>
        <v/>
      </c>
      <c r="AA502" s="47" t="str">
        <f aca="false">IF($Z502=1,COUNTIFS(c_Pass,1,c_Sort,"&lt;="&amp;$Y502),"")</f>
        <v/>
      </c>
      <c r="AB502" s="47" t="str">
        <f aca="false">IF(OR($G502&lt;&gt;"Yes",NOT(ISNUMBER($H502))),"",COUNTIFS(c_Met,"Yes",c_Date,"&lt;"&amp;$H502)+COUNTIFS($G$2:$G502,"Yes",$H$2:$H502,$H502))</f>
        <v/>
      </c>
    </row>
    <row r="503" customFormat="false" ht="15" hidden="false" customHeight="false" outlineLevel="0" collapsed="false">
      <c r="A503" s="44" t="str">
        <f aca="false">IF($B503="","",COUNTA($B$2:$B503))</f>
        <v/>
      </c>
      <c r="B503" s="11"/>
      <c r="C503" s="11"/>
      <c r="D503" s="11"/>
      <c r="E503" s="11"/>
      <c r="F503" s="11"/>
      <c r="G503" s="34"/>
      <c r="H503" s="25"/>
      <c r="I503" s="40"/>
      <c r="J503" s="34"/>
      <c r="K503" s="45"/>
      <c r="L503" s="34"/>
      <c r="M503" s="34"/>
      <c r="N503" s="11"/>
      <c r="O503" s="11"/>
      <c r="P503" s="11"/>
      <c r="Q503" s="11"/>
      <c r="R503" s="11"/>
      <c r="S503" s="46"/>
      <c r="T503" s="44" t="str">
        <f aca="false">IF($B503="","",COUNTA($N503:$R503)-COUNTIF($N503:$R503,"Not Invited"))</f>
        <v/>
      </c>
      <c r="U503" s="44" t="str">
        <f aca="false">IF($B503="","",COUNTIF($N503:$R503,"Attended"))</f>
        <v/>
      </c>
      <c r="V503" s="47" t="str">
        <f aca="false">IF($B503="","",_xlfn.TEXTJOIN(", ",TRUE(),IF($N503="Attended",Setup!$D$15,""),IF($O503="Attended",Setup!$D$16,""),IF($P503="Attended",Setup!$D$17,""),IF($Q503="Attended",Setup!$D$18,""),IF($R503="Attended",Setup!$D$19,"")))</f>
        <v/>
      </c>
      <c r="W503" s="48" t="str">
        <f aca="true">IF(OR($B503="",NOT(ISNUMBER($H503))),"",TODAY()-$H503)</f>
        <v/>
      </c>
      <c r="X503" s="47" t="str">
        <f aca="false">IF($B503="","",IF($U503&gt;0,"Event attendee",IF($G503="Yes","Met (no event)",IF($T503&gt;0,"Invited only",IF(OR($L503="Yes",$M503="Yes"),"Contacted only","Not yet contacted")))))</f>
        <v/>
      </c>
      <c r="Y503" s="47" t="str">
        <f aca="false">IF($B503="","",COUNTIF(c_Firm,"&lt;"&amp;$D503)+COUNTIFS(c_Firm,$D503,c_Name,"&lt;"&amp;$B503)+COUNTIFS($D$2:$D503,$D503,$B$2:$B503,$B503))</f>
        <v/>
      </c>
      <c r="Z503" s="47" t="str">
        <f aca="false">IF($B503="","",IF(AND(OR(Contacts!$C$3="(All)",$D503=Contacts!$C$3),OR(Contacts!$E$3="(All)",$G503=Contacts!$E$3),OR(Contacts!$G$3="(All)",ISNUMBER(SEARCH(Contacts!$G$3,$V503))),OR(Contacts!$I$3="(All)",$X503=Contacts!$I$3),OR(Contacts!$K$3="",ISNUMBER(SEARCH(Contacts!$K$3,$B503&amp;" "&amp;$C503&amp;" "&amp;$D503&amp;" "&amp;$S503)))),1,0))</f>
        <v/>
      </c>
      <c r="AA503" s="47" t="str">
        <f aca="false">IF($Z503=1,COUNTIFS(c_Pass,1,c_Sort,"&lt;="&amp;$Y503),"")</f>
        <v/>
      </c>
      <c r="AB503" s="47" t="str">
        <f aca="false">IF(OR($G503&lt;&gt;"Yes",NOT(ISNUMBER($H503))),"",COUNTIFS(c_Met,"Yes",c_Date,"&lt;"&amp;$H503)+COUNTIFS($G$2:$G503,"Yes",$H$2:$H503,$H503))</f>
        <v/>
      </c>
    </row>
    <row r="504" customFormat="false" ht="15" hidden="false" customHeight="false" outlineLevel="0" collapsed="false">
      <c r="A504" s="44" t="str">
        <f aca="false">IF($B504="","",COUNTA($B$2:$B504))</f>
        <v/>
      </c>
      <c r="B504" s="11"/>
      <c r="C504" s="11"/>
      <c r="D504" s="11"/>
      <c r="E504" s="11"/>
      <c r="F504" s="11"/>
      <c r="G504" s="34"/>
      <c r="H504" s="25"/>
      <c r="I504" s="40"/>
      <c r="J504" s="34"/>
      <c r="K504" s="45"/>
      <c r="L504" s="34"/>
      <c r="M504" s="34"/>
      <c r="N504" s="11"/>
      <c r="O504" s="11"/>
      <c r="P504" s="11"/>
      <c r="Q504" s="11"/>
      <c r="R504" s="11"/>
      <c r="S504" s="46"/>
      <c r="T504" s="44" t="str">
        <f aca="false">IF($B504="","",COUNTA($N504:$R504)-COUNTIF($N504:$R504,"Not Invited"))</f>
        <v/>
      </c>
      <c r="U504" s="44" t="str">
        <f aca="false">IF($B504="","",COUNTIF($N504:$R504,"Attended"))</f>
        <v/>
      </c>
      <c r="V504" s="47" t="str">
        <f aca="false">IF($B504="","",_xlfn.TEXTJOIN(", ",TRUE(),IF($N504="Attended",Setup!$D$15,""),IF($O504="Attended",Setup!$D$16,""),IF($P504="Attended",Setup!$D$17,""),IF($Q504="Attended",Setup!$D$18,""),IF($R504="Attended",Setup!$D$19,"")))</f>
        <v/>
      </c>
      <c r="W504" s="48" t="str">
        <f aca="true">IF(OR($B504="",NOT(ISNUMBER($H504))),"",TODAY()-$H504)</f>
        <v/>
      </c>
      <c r="X504" s="47" t="str">
        <f aca="false">IF($B504="","",IF($U504&gt;0,"Event attendee",IF($G504="Yes","Met (no event)",IF($T504&gt;0,"Invited only",IF(OR($L504="Yes",$M504="Yes"),"Contacted only","Not yet contacted")))))</f>
        <v/>
      </c>
      <c r="Y504" s="47" t="str">
        <f aca="false">IF($B504="","",COUNTIF(c_Firm,"&lt;"&amp;$D504)+COUNTIFS(c_Firm,$D504,c_Name,"&lt;"&amp;$B504)+COUNTIFS($D$2:$D504,$D504,$B$2:$B504,$B504))</f>
        <v/>
      </c>
      <c r="Z504" s="47" t="str">
        <f aca="false">IF($B504="","",IF(AND(OR(Contacts!$C$3="(All)",$D504=Contacts!$C$3),OR(Contacts!$E$3="(All)",$G504=Contacts!$E$3),OR(Contacts!$G$3="(All)",ISNUMBER(SEARCH(Contacts!$G$3,$V504))),OR(Contacts!$I$3="(All)",$X504=Contacts!$I$3),OR(Contacts!$K$3="",ISNUMBER(SEARCH(Contacts!$K$3,$B504&amp;" "&amp;$C504&amp;" "&amp;$D504&amp;" "&amp;$S504)))),1,0))</f>
        <v/>
      </c>
      <c r="AA504" s="47" t="str">
        <f aca="false">IF($Z504=1,COUNTIFS(c_Pass,1,c_Sort,"&lt;="&amp;$Y504),"")</f>
        <v/>
      </c>
      <c r="AB504" s="47" t="str">
        <f aca="false">IF(OR($G504&lt;&gt;"Yes",NOT(ISNUMBER($H504))),"",COUNTIFS(c_Met,"Yes",c_Date,"&lt;"&amp;$H504)+COUNTIFS($G$2:$G504,"Yes",$H$2:$H504,$H504))</f>
        <v/>
      </c>
    </row>
    <row r="505" customFormat="false" ht="15" hidden="false" customHeight="false" outlineLevel="0" collapsed="false">
      <c r="A505" s="44" t="str">
        <f aca="false">IF($B505="","",COUNTA($B$2:$B505))</f>
        <v/>
      </c>
      <c r="B505" s="11"/>
      <c r="C505" s="11"/>
      <c r="D505" s="11"/>
      <c r="E505" s="11"/>
      <c r="F505" s="11"/>
      <c r="G505" s="34"/>
      <c r="H505" s="25"/>
      <c r="I505" s="40"/>
      <c r="J505" s="34"/>
      <c r="K505" s="45"/>
      <c r="L505" s="34"/>
      <c r="M505" s="34"/>
      <c r="N505" s="11"/>
      <c r="O505" s="11"/>
      <c r="P505" s="11"/>
      <c r="Q505" s="11"/>
      <c r="R505" s="11"/>
      <c r="S505" s="46"/>
      <c r="T505" s="44" t="str">
        <f aca="false">IF($B505="","",COUNTA($N505:$R505)-COUNTIF($N505:$R505,"Not Invited"))</f>
        <v/>
      </c>
      <c r="U505" s="44" t="str">
        <f aca="false">IF($B505="","",COUNTIF($N505:$R505,"Attended"))</f>
        <v/>
      </c>
      <c r="V505" s="47" t="str">
        <f aca="false">IF($B505="","",_xlfn.TEXTJOIN(", ",TRUE(),IF($N505="Attended",Setup!$D$15,""),IF($O505="Attended",Setup!$D$16,""),IF($P505="Attended",Setup!$D$17,""),IF($Q505="Attended",Setup!$D$18,""),IF($R505="Attended",Setup!$D$19,"")))</f>
        <v/>
      </c>
      <c r="W505" s="48" t="str">
        <f aca="true">IF(OR($B505="",NOT(ISNUMBER($H505))),"",TODAY()-$H505)</f>
        <v/>
      </c>
      <c r="X505" s="47" t="str">
        <f aca="false">IF($B505="","",IF($U505&gt;0,"Event attendee",IF($G505="Yes","Met (no event)",IF($T505&gt;0,"Invited only",IF(OR($L505="Yes",$M505="Yes"),"Contacted only","Not yet contacted")))))</f>
        <v/>
      </c>
      <c r="Y505" s="47" t="str">
        <f aca="false">IF($B505="","",COUNTIF(c_Firm,"&lt;"&amp;$D505)+COUNTIFS(c_Firm,$D505,c_Name,"&lt;"&amp;$B505)+COUNTIFS($D$2:$D505,$D505,$B$2:$B505,$B505))</f>
        <v/>
      </c>
      <c r="Z505" s="47" t="str">
        <f aca="false">IF($B505="","",IF(AND(OR(Contacts!$C$3="(All)",$D505=Contacts!$C$3),OR(Contacts!$E$3="(All)",$G505=Contacts!$E$3),OR(Contacts!$G$3="(All)",ISNUMBER(SEARCH(Contacts!$G$3,$V505))),OR(Contacts!$I$3="(All)",$X505=Contacts!$I$3),OR(Contacts!$K$3="",ISNUMBER(SEARCH(Contacts!$K$3,$B505&amp;" "&amp;$C505&amp;" "&amp;$D505&amp;" "&amp;$S505)))),1,0))</f>
        <v/>
      </c>
      <c r="AA505" s="47" t="str">
        <f aca="false">IF($Z505=1,COUNTIFS(c_Pass,1,c_Sort,"&lt;="&amp;$Y505),"")</f>
        <v/>
      </c>
      <c r="AB505" s="47" t="str">
        <f aca="false">IF(OR($G505&lt;&gt;"Yes",NOT(ISNUMBER($H505))),"",COUNTIFS(c_Met,"Yes",c_Date,"&lt;"&amp;$H505)+COUNTIFS($G$2:$G505,"Yes",$H$2:$H505,$H505))</f>
        <v/>
      </c>
    </row>
    <row r="506" customFormat="false" ht="15" hidden="false" customHeight="false" outlineLevel="0" collapsed="false">
      <c r="A506" s="44" t="str">
        <f aca="false">IF($B506="","",COUNTA($B$2:$B506))</f>
        <v/>
      </c>
      <c r="B506" s="11"/>
      <c r="C506" s="11"/>
      <c r="D506" s="11"/>
      <c r="E506" s="11"/>
      <c r="F506" s="11"/>
      <c r="G506" s="34"/>
      <c r="H506" s="25"/>
      <c r="I506" s="40"/>
      <c r="J506" s="34"/>
      <c r="K506" s="45"/>
      <c r="L506" s="34"/>
      <c r="M506" s="34"/>
      <c r="N506" s="11"/>
      <c r="O506" s="11"/>
      <c r="P506" s="11"/>
      <c r="Q506" s="11"/>
      <c r="R506" s="11"/>
      <c r="S506" s="46"/>
      <c r="T506" s="44" t="str">
        <f aca="false">IF($B506="","",COUNTA($N506:$R506)-COUNTIF($N506:$R506,"Not Invited"))</f>
        <v/>
      </c>
      <c r="U506" s="44" t="str">
        <f aca="false">IF($B506="","",COUNTIF($N506:$R506,"Attended"))</f>
        <v/>
      </c>
      <c r="V506" s="47" t="str">
        <f aca="false">IF($B506="","",_xlfn.TEXTJOIN(", ",TRUE(),IF($N506="Attended",Setup!$D$15,""),IF($O506="Attended",Setup!$D$16,""),IF($P506="Attended",Setup!$D$17,""),IF($Q506="Attended",Setup!$D$18,""),IF($R506="Attended",Setup!$D$19,"")))</f>
        <v/>
      </c>
      <c r="W506" s="48" t="str">
        <f aca="true">IF(OR($B506="",NOT(ISNUMBER($H506))),"",TODAY()-$H506)</f>
        <v/>
      </c>
      <c r="X506" s="47" t="str">
        <f aca="false">IF($B506="","",IF($U506&gt;0,"Event attendee",IF($G506="Yes","Met (no event)",IF($T506&gt;0,"Invited only",IF(OR($L506="Yes",$M506="Yes"),"Contacted only","Not yet contacted")))))</f>
        <v/>
      </c>
      <c r="Y506" s="47" t="str">
        <f aca="false">IF($B506="","",COUNTIF(c_Firm,"&lt;"&amp;$D506)+COUNTIFS(c_Firm,$D506,c_Name,"&lt;"&amp;$B506)+COUNTIFS($D$2:$D506,$D506,$B$2:$B506,$B506))</f>
        <v/>
      </c>
      <c r="Z506" s="47" t="str">
        <f aca="false">IF($B506="","",IF(AND(OR(Contacts!$C$3="(All)",$D506=Contacts!$C$3),OR(Contacts!$E$3="(All)",$G506=Contacts!$E$3),OR(Contacts!$G$3="(All)",ISNUMBER(SEARCH(Contacts!$G$3,$V506))),OR(Contacts!$I$3="(All)",$X506=Contacts!$I$3),OR(Contacts!$K$3="",ISNUMBER(SEARCH(Contacts!$K$3,$B506&amp;" "&amp;$C506&amp;" "&amp;$D506&amp;" "&amp;$S506)))),1,0))</f>
        <v/>
      </c>
      <c r="AA506" s="47" t="str">
        <f aca="false">IF($Z506=1,COUNTIFS(c_Pass,1,c_Sort,"&lt;="&amp;$Y506),"")</f>
        <v/>
      </c>
      <c r="AB506" s="47" t="str">
        <f aca="false">IF(OR($G506&lt;&gt;"Yes",NOT(ISNUMBER($H506))),"",COUNTIFS(c_Met,"Yes",c_Date,"&lt;"&amp;$H506)+COUNTIFS($G$2:$G506,"Yes",$H$2:$H506,$H506))</f>
        <v/>
      </c>
    </row>
    <row r="507" customFormat="false" ht="15" hidden="false" customHeight="false" outlineLevel="0" collapsed="false">
      <c r="A507" s="44" t="str">
        <f aca="false">IF($B507="","",COUNTA($B$2:$B507))</f>
        <v/>
      </c>
      <c r="B507" s="11"/>
      <c r="C507" s="11"/>
      <c r="D507" s="11"/>
      <c r="E507" s="11"/>
      <c r="F507" s="11"/>
      <c r="G507" s="34"/>
      <c r="H507" s="25"/>
      <c r="I507" s="40"/>
      <c r="J507" s="34"/>
      <c r="K507" s="45"/>
      <c r="L507" s="34"/>
      <c r="M507" s="34"/>
      <c r="N507" s="11"/>
      <c r="O507" s="11"/>
      <c r="P507" s="11"/>
      <c r="Q507" s="11"/>
      <c r="R507" s="11"/>
      <c r="S507" s="46"/>
      <c r="T507" s="44" t="str">
        <f aca="false">IF($B507="","",COUNTA($N507:$R507)-COUNTIF($N507:$R507,"Not Invited"))</f>
        <v/>
      </c>
      <c r="U507" s="44" t="str">
        <f aca="false">IF($B507="","",COUNTIF($N507:$R507,"Attended"))</f>
        <v/>
      </c>
      <c r="V507" s="47" t="str">
        <f aca="false">IF($B507="","",_xlfn.TEXTJOIN(", ",TRUE(),IF($N507="Attended",Setup!$D$15,""),IF($O507="Attended",Setup!$D$16,""),IF($P507="Attended",Setup!$D$17,""),IF($Q507="Attended",Setup!$D$18,""),IF($R507="Attended",Setup!$D$19,"")))</f>
        <v/>
      </c>
      <c r="W507" s="48" t="str">
        <f aca="true">IF(OR($B507="",NOT(ISNUMBER($H507))),"",TODAY()-$H507)</f>
        <v/>
      </c>
      <c r="X507" s="47" t="str">
        <f aca="false">IF($B507="","",IF($U507&gt;0,"Event attendee",IF($G507="Yes","Met (no event)",IF($T507&gt;0,"Invited only",IF(OR($L507="Yes",$M507="Yes"),"Contacted only","Not yet contacted")))))</f>
        <v/>
      </c>
      <c r="Y507" s="47" t="str">
        <f aca="false">IF($B507="","",COUNTIF(c_Firm,"&lt;"&amp;$D507)+COUNTIFS(c_Firm,$D507,c_Name,"&lt;"&amp;$B507)+COUNTIFS($D$2:$D507,$D507,$B$2:$B507,$B507))</f>
        <v/>
      </c>
      <c r="Z507" s="47" t="str">
        <f aca="false">IF($B507="","",IF(AND(OR(Contacts!$C$3="(All)",$D507=Contacts!$C$3),OR(Contacts!$E$3="(All)",$G507=Contacts!$E$3),OR(Contacts!$G$3="(All)",ISNUMBER(SEARCH(Contacts!$G$3,$V507))),OR(Contacts!$I$3="(All)",$X507=Contacts!$I$3),OR(Contacts!$K$3="",ISNUMBER(SEARCH(Contacts!$K$3,$B507&amp;" "&amp;$C507&amp;" "&amp;$D507&amp;" "&amp;$S507)))),1,0))</f>
        <v/>
      </c>
      <c r="AA507" s="47" t="str">
        <f aca="false">IF($Z507=1,COUNTIFS(c_Pass,1,c_Sort,"&lt;="&amp;$Y507),"")</f>
        <v/>
      </c>
      <c r="AB507" s="47" t="str">
        <f aca="false">IF(OR($G507&lt;&gt;"Yes",NOT(ISNUMBER($H507))),"",COUNTIFS(c_Met,"Yes",c_Date,"&lt;"&amp;$H507)+COUNTIFS($G$2:$G507,"Yes",$H$2:$H507,$H507))</f>
        <v/>
      </c>
    </row>
    <row r="508" customFormat="false" ht="15" hidden="false" customHeight="false" outlineLevel="0" collapsed="false">
      <c r="A508" s="44" t="str">
        <f aca="false">IF($B508="","",COUNTA($B$2:$B508))</f>
        <v/>
      </c>
      <c r="B508" s="11"/>
      <c r="C508" s="11"/>
      <c r="D508" s="11"/>
      <c r="E508" s="11"/>
      <c r="F508" s="11"/>
      <c r="G508" s="34"/>
      <c r="H508" s="25"/>
      <c r="I508" s="40"/>
      <c r="J508" s="34"/>
      <c r="K508" s="45"/>
      <c r="L508" s="34"/>
      <c r="M508" s="34"/>
      <c r="N508" s="11"/>
      <c r="O508" s="11"/>
      <c r="P508" s="11"/>
      <c r="Q508" s="11"/>
      <c r="R508" s="11"/>
      <c r="S508" s="46"/>
      <c r="T508" s="44" t="str">
        <f aca="false">IF($B508="","",COUNTA($N508:$R508)-COUNTIF($N508:$R508,"Not Invited"))</f>
        <v/>
      </c>
      <c r="U508" s="44" t="str">
        <f aca="false">IF($B508="","",COUNTIF($N508:$R508,"Attended"))</f>
        <v/>
      </c>
      <c r="V508" s="47" t="str">
        <f aca="false">IF($B508="","",_xlfn.TEXTJOIN(", ",TRUE(),IF($N508="Attended",Setup!$D$15,""),IF($O508="Attended",Setup!$D$16,""),IF($P508="Attended",Setup!$D$17,""),IF($Q508="Attended",Setup!$D$18,""),IF($R508="Attended",Setup!$D$19,"")))</f>
        <v/>
      </c>
      <c r="W508" s="48" t="str">
        <f aca="true">IF(OR($B508="",NOT(ISNUMBER($H508))),"",TODAY()-$H508)</f>
        <v/>
      </c>
      <c r="X508" s="47" t="str">
        <f aca="false">IF($B508="","",IF($U508&gt;0,"Event attendee",IF($G508="Yes","Met (no event)",IF($T508&gt;0,"Invited only",IF(OR($L508="Yes",$M508="Yes"),"Contacted only","Not yet contacted")))))</f>
        <v/>
      </c>
      <c r="Y508" s="47" t="str">
        <f aca="false">IF($B508="","",COUNTIF(c_Firm,"&lt;"&amp;$D508)+COUNTIFS(c_Firm,$D508,c_Name,"&lt;"&amp;$B508)+COUNTIFS($D$2:$D508,$D508,$B$2:$B508,$B508))</f>
        <v/>
      </c>
      <c r="Z508" s="47" t="str">
        <f aca="false">IF($B508="","",IF(AND(OR(Contacts!$C$3="(All)",$D508=Contacts!$C$3),OR(Contacts!$E$3="(All)",$G508=Contacts!$E$3),OR(Contacts!$G$3="(All)",ISNUMBER(SEARCH(Contacts!$G$3,$V508))),OR(Contacts!$I$3="(All)",$X508=Contacts!$I$3),OR(Contacts!$K$3="",ISNUMBER(SEARCH(Contacts!$K$3,$B508&amp;" "&amp;$C508&amp;" "&amp;$D508&amp;" "&amp;$S508)))),1,0))</f>
        <v/>
      </c>
      <c r="AA508" s="47" t="str">
        <f aca="false">IF($Z508=1,COUNTIFS(c_Pass,1,c_Sort,"&lt;="&amp;$Y508),"")</f>
        <v/>
      </c>
      <c r="AB508" s="47" t="str">
        <f aca="false">IF(OR($G508&lt;&gt;"Yes",NOT(ISNUMBER($H508))),"",COUNTIFS(c_Met,"Yes",c_Date,"&lt;"&amp;$H508)+COUNTIFS($G$2:$G508,"Yes",$H$2:$H508,$H508))</f>
        <v/>
      </c>
    </row>
    <row r="509" customFormat="false" ht="15" hidden="false" customHeight="false" outlineLevel="0" collapsed="false">
      <c r="A509" s="44" t="str">
        <f aca="false">IF($B509="","",COUNTA($B$2:$B509))</f>
        <v/>
      </c>
      <c r="B509" s="11"/>
      <c r="C509" s="11"/>
      <c r="D509" s="11"/>
      <c r="E509" s="11"/>
      <c r="F509" s="11"/>
      <c r="G509" s="34"/>
      <c r="H509" s="25"/>
      <c r="I509" s="40"/>
      <c r="J509" s="34"/>
      <c r="K509" s="45"/>
      <c r="L509" s="34"/>
      <c r="M509" s="34"/>
      <c r="N509" s="11"/>
      <c r="O509" s="11"/>
      <c r="P509" s="11"/>
      <c r="Q509" s="11"/>
      <c r="R509" s="11"/>
      <c r="S509" s="46"/>
      <c r="T509" s="44" t="str">
        <f aca="false">IF($B509="","",COUNTA($N509:$R509)-COUNTIF($N509:$R509,"Not Invited"))</f>
        <v/>
      </c>
      <c r="U509" s="44" t="str">
        <f aca="false">IF($B509="","",COUNTIF($N509:$R509,"Attended"))</f>
        <v/>
      </c>
      <c r="V509" s="47" t="str">
        <f aca="false">IF($B509="","",_xlfn.TEXTJOIN(", ",TRUE(),IF($N509="Attended",Setup!$D$15,""),IF($O509="Attended",Setup!$D$16,""),IF($P509="Attended",Setup!$D$17,""),IF($Q509="Attended",Setup!$D$18,""),IF($R509="Attended",Setup!$D$19,"")))</f>
        <v/>
      </c>
      <c r="W509" s="48" t="str">
        <f aca="true">IF(OR($B509="",NOT(ISNUMBER($H509))),"",TODAY()-$H509)</f>
        <v/>
      </c>
      <c r="X509" s="47" t="str">
        <f aca="false">IF($B509="","",IF($U509&gt;0,"Event attendee",IF($G509="Yes","Met (no event)",IF($T509&gt;0,"Invited only",IF(OR($L509="Yes",$M509="Yes"),"Contacted only","Not yet contacted")))))</f>
        <v/>
      </c>
      <c r="Y509" s="47" t="str">
        <f aca="false">IF($B509="","",COUNTIF(c_Firm,"&lt;"&amp;$D509)+COUNTIFS(c_Firm,$D509,c_Name,"&lt;"&amp;$B509)+COUNTIFS($D$2:$D509,$D509,$B$2:$B509,$B509))</f>
        <v/>
      </c>
      <c r="Z509" s="47" t="str">
        <f aca="false">IF($B509="","",IF(AND(OR(Contacts!$C$3="(All)",$D509=Contacts!$C$3),OR(Contacts!$E$3="(All)",$G509=Contacts!$E$3),OR(Contacts!$G$3="(All)",ISNUMBER(SEARCH(Contacts!$G$3,$V509))),OR(Contacts!$I$3="(All)",$X509=Contacts!$I$3),OR(Contacts!$K$3="",ISNUMBER(SEARCH(Contacts!$K$3,$B509&amp;" "&amp;$C509&amp;" "&amp;$D509&amp;" "&amp;$S509)))),1,0))</f>
        <v/>
      </c>
      <c r="AA509" s="47" t="str">
        <f aca="false">IF($Z509=1,COUNTIFS(c_Pass,1,c_Sort,"&lt;="&amp;$Y509),"")</f>
        <v/>
      </c>
      <c r="AB509" s="47" t="str">
        <f aca="false">IF(OR($G509&lt;&gt;"Yes",NOT(ISNUMBER($H509))),"",COUNTIFS(c_Met,"Yes",c_Date,"&lt;"&amp;$H509)+COUNTIFS($G$2:$G509,"Yes",$H$2:$H509,$H509))</f>
        <v/>
      </c>
    </row>
    <row r="510" customFormat="false" ht="15" hidden="false" customHeight="false" outlineLevel="0" collapsed="false">
      <c r="A510" s="44" t="str">
        <f aca="false">IF($B510="","",COUNTA($B$2:$B510))</f>
        <v/>
      </c>
      <c r="B510" s="11"/>
      <c r="C510" s="11"/>
      <c r="D510" s="11"/>
      <c r="E510" s="11"/>
      <c r="F510" s="11"/>
      <c r="G510" s="34"/>
      <c r="H510" s="25"/>
      <c r="I510" s="40"/>
      <c r="J510" s="34"/>
      <c r="K510" s="45"/>
      <c r="L510" s="34"/>
      <c r="M510" s="34"/>
      <c r="N510" s="11"/>
      <c r="O510" s="11"/>
      <c r="P510" s="11"/>
      <c r="Q510" s="11"/>
      <c r="R510" s="11"/>
      <c r="S510" s="46"/>
      <c r="T510" s="44" t="str">
        <f aca="false">IF($B510="","",COUNTA($N510:$R510)-COUNTIF($N510:$R510,"Not Invited"))</f>
        <v/>
      </c>
      <c r="U510" s="44" t="str">
        <f aca="false">IF($B510="","",COUNTIF($N510:$R510,"Attended"))</f>
        <v/>
      </c>
      <c r="V510" s="47" t="str">
        <f aca="false">IF($B510="","",_xlfn.TEXTJOIN(", ",TRUE(),IF($N510="Attended",Setup!$D$15,""),IF($O510="Attended",Setup!$D$16,""),IF($P510="Attended",Setup!$D$17,""),IF($Q510="Attended",Setup!$D$18,""),IF($R510="Attended",Setup!$D$19,"")))</f>
        <v/>
      </c>
      <c r="W510" s="48" t="str">
        <f aca="true">IF(OR($B510="",NOT(ISNUMBER($H510))),"",TODAY()-$H510)</f>
        <v/>
      </c>
      <c r="X510" s="47" t="str">
        <f aca="false">IF($B510="","",IF($U510&gt;0,"Event attendee",IF($G510="Yes","Met (no event)",IF($T510&gt;0,"Invited only",IF(OR($L510="Yes",$M510="Yes"),"Contacted only","Not yet contacted")))))</f>
        <v/>
      </c>
      <c r="Y510" s="47" t="str">
        <f aca="false">IF($B510="","",COUNTIF(c_Firm,"&lt;"&amp;$D510)+COUNTIFS(c_Firm,$D510,c_Name,"&lt;"&amp;$B510)+COUNTIFS($D$2:$D510,$D510,$B$2:$B510,$B510))</f>
        <v/>
      </c>
      <c r="Z510" s="47" t="str">
        <f aca="false">IF($B510="","",IF(AND(OR(Contacts!$C$3="(All)",$D510=Contacts!$C$3),OR(Contacts!$E$3="(All)",$G510=Contacts!$E$3),OR(Contacts!$G$3="(All)",ISNUMBER(SEARCH(Contacts!$G$3,$V510))),OR(Contacts!$I$3="(All)",$X510=Contacts!$I$3),OR(Contacts!$K$3="",ISNUMBER(SEARCH(Contacts!$K$3,$B510&amp;" "&amp;$C510&amp;" "&amp;$D510&amp;" "&amp;$S510)))),1,0))</f>
        <v/>
      </c>
      <c r="AA510" s="47" t="str">
        <f aca="false">IF($Z510=1,COUNTIFS(c_Pass,1,c_Sort,"&lt;="&amp;$Y510),"")</f>
        <v/>
      </c>
      <c r="AB510" s="47" t="str">
        <f aca="false">IF(OR($G510&lt;&gt;"Yes",NOT(ISNUMBER($H510))),"",COUNTIFS(c_Met,"Yes",c_Date,"&lt;"&amp;$H510)+COUNTIFS($G$2:$G510,"Yes",$H$2:$H510,$H510))</f>
        <v/>
      </c>
    </row>
    <row r="511" customFormat="false" ht="15" hidden="false" customHeight="false" outlineLevel="0" collapsed="false">
      <c r="A511" s="44" t="str">
        <f aca="false">IF($B511="","",COUNTA($B$2:$B511))</f>
        <v/>
      </c>
      <c r="B511" s="11"/>
      <c r="C511" s="11"/>
      <c r="D511" s="11"/>
      <c r="E511" s="11"/>
      <c r="F511" s="11"/>
      <c r="G511" s="34"/>
      <c r="H511" s="25"/>
      <c r="I511" s="40"/>
      <c r="J511" s="34"/>
      <c r="K511" s="45"/>
      <c r="L511" s="34"/>
      <c r="M511" s="34"/>
      <c r="N511" s="11"/>
      <c r="O511" s="11"/>
      <c r="P511" s="11"/>
      <c r="Q511" s="11"/>
      <c r="R511" s="11"/>
      <c r="S511" s="46"/>
      <c r="T511" s="44" t="str">
        <f aca="false">IF($B511="","",COUNTA($N511:$R511)-COUNTIF($N511:$R511,"Not Invited"))</f>
        <v/>
      </c>
      <c r="U511" s="44" t="str">
        <f aca="false">IF($B511="","",COUNTIF($N511:$R511,"Attended"))</f>
        <v/>
      </c>
      <c r="V511" s="47" t="str">
        <f aca="false">IF($B511="","",_xlfn.TEXTJOIN(", ",TRUE(),IF($N511="Attended",Setup!$D$15,""),IF($O511="Attended",Setup!$D$16,""),IF($P511="Attended",Setup!$D$17,""),IF($Q511="Attended",Setup!$D$18,""),IF($R511="Attended",Setup!$D$19,"")))</f>
        <v/>
      </c>
      <c r="W511" s="48" t="str">
        <f aca="true">IF(OR($B511="",NOT(ISNUMBER($H511))),"",TODAY()-$H511)</f>
        <v/>
      </c>
      <c r="X511" s="47" t="str">
        <f aca="false">IF($B511="","",IF($U511&gt;0,"Event attendee",IF($G511="Yes","Met (no event)",IF($T511&gt;0,"Invited only",IF(OR($L511="Yes",$M511="Yes"),"Contacted only","Not yet contacted")))))</f>
        <v/>
      </c>
      <c r="Y511" s="47" t="str">
        <f aca="false">IF($B511="","",COUNTIF(c_Firm,"&lt;"&amp;$D511)+COUNTIFS(c_Firm,$D511,c_Name,"&lt;"&amp;$B511)+COUNTIFS($D$2:$D511,$D511,$B$2:$B511,$B511))</f>
        <v/>
      </c>
      <c r="Z511" s="47" t="str">
        <f aca="false">IF($B511="","",IF(AND(OR(Contacts!$C$3="(All)",$D511=Contacts!$C$3),OR(Contacts!$E$3="(All)",$G511=Contacts!$E$3),OR(Contacts!$G$3="(All)",ISNUMBER(SEARCH(Contacts!$G$3,$V511))),OR(Contacts!$I$3="(All)",$X511=Contacts!$I$3),OR(Contacts!$K$3="",ISNUMBER(SEARCH(Contacts!$K$3,$B511&amp;" "&amp;$C511&amp;" "&amp;$D511&amp;" "&amp;$S511)))),1,0))</f>
        <v/>
      </c>
      <c r="AA511" s="47" t="str">
        <f aca="false">IF($Z511=1,COUNTIFS(c_Pass,1,c_Sort,"&lt;="&amp;$Y511),"")</f>
        <v/>
      </c>
      <c r="AB511" s="47" t="str">
        <f aca="false">IF(OR($G511&lt;&gt;"Yes",NOT(ISNUMBER($H511))),"",COUNTIFS(c_Met,"Yes",c_Date,"&lt;"&amp;$H511)+COUNTIFS($G$2:$G511,"Yes",$H$2:$H511,$H511))</f>
        <v/>
      </c>
    </row>
    <row r="512" customFormat="false" ht="15" hidden="false" customHeight="false" outlineLevel="0" collapsed="false">
      <c r="A512" s="44" t="str">
        <f aca="false">IF($B512="","",COUNTA($B$2:$B512))</f>
        <v/>
      </c>
      <c r="B512" s="11"/>
      <c r="C512" s="11"/>
      <c r="D512" s="11"/>
      <c r="E512" s="11"/>
      <c r="F512" s="11"/>
      <c r="G512" s="34"/>
      <c r="H512" s="25"/>
      <c r="I512" s="40"/>
      <c r="J512" s="34"/>
      <c r="K512" s="45"/>
      <c r="L512" s="34"/>
      <c r="M512" s="34"/>
      <c r="N512" s="11"/>
      <c r="O512" s="11"/>
      <c r="P512" s="11"/>
      <c r="Q512" s="11"/>
      <c r="R512" s="11"/>
      <c r="S512" s="46"/>
      <c r="T512" s="44" t="str">
        <f aca="false">IF($B512="","",COUNTA($N512:$R512)-COUNTIF($N512:$R512,"Not Invited"))</f>
        <v/>
      </c>
      <c r="U512" s="44" t="str">
        <f aca="false">IF($B512="","",COUNTIF($N512:$R512,"Attended"))</f>
        <v/>
      </c>
      <c r="V512" s="47" t="str">
        <f aca="false">IF($B512="","",_xlfn.TEXTJOIN(", ",TRUE(),IF($N512="Attended",Setup!$D$15,""),IF($O512="Attended",Setup!$D$16,""),IF($P512="Attended",Setup!$D$17,""),IF($Q512="Attended",Setup!$D$18,""),IF($R512="Attended",Setup!$D$19,"")))</f>
        <v/>
      </c>
      <c r="W512" s="48" t="str">
        <f aca="true">IF(OR($B512="",NOT(ISNUMBER($H512))),"",TODAY()-$H512)</f>
        <v/>
      </c>
      <c r="X512" s="47" t="str">
        <f aca="false">IF($B512="","",IF($U512&gt;0,"Event attendee",IF($G512="Yes","Met (no event)",IF($T512&gt;0,"Invited only",IF(OR($L512="Yes",$M512="Yes"),"Contacted only","Not yet contacted")))))</f>
        <v/>
      </c>
      <c r="Y512" s="47" t="str">
        <f aca="false">IF($B512="","",COUNTIF(c_Firm,"&lt;"&amp;$D512)+COUNTIFS(c_Firm,$D512,c_Name,"&lt;"&amp;$B512)+COUNTIFS($D$2:$D512,$D512,$B$2:$B512,$B512))</f>
        <v/>
      </c>
      <c r="Z512" s="47" t="str">
        <f aca="false">IF($B512="","",IF(AND(OR(Contacts!$C$3="(All)",$D512=Contacts!$C$3),OR(Contacts!$E$3="(All)",$G512=Contacts!$E$3),OR(Contacts!$G$3="(All)",ISNUMBER(SEARCH(Contacts!$G$3,$V512))),OR(Contacts!$I$3="(All)",$X512=Contacts!$I$3),OR(Contacts!$K$3="",ISNUMBER(SEARCH(Contacts!$K$3,$B512&amp;" "&amp;$C512&amp;" "&amp;$D512&amp;" "&amp;$S512)))),1,0))</f>
        <v/>
      </c>
      <c r="AA512" s="47" t="str">
        <f aca="false">IF($Z512=1,COUNTIFS(c_Pass,1,c_Sort,"&lt;="&amp;$Y512),"")</f>
        <v/>
      </c>
      <c r="AB512" s="47" t="str">
        <f aca="false">IF(OR($G512&lt;&gt;"Yes",NOT(ISNUMBER($H512))),"",COUNTIFS(c_Met,"Yes",c_Date,"&lt;"&amp;$H512)+COUNTIFS($G$2:$G512,"Yes",$H$2:$H512,$H512))</f>
        <v/>
      </c>
    </row>
    <row r="513" customFormat="false" ht="15" hidden="false" customHeight="false" outlineLevel="0" collapsed="false">
      <c r="A513" s="44" t="str">
        <f aca="false">IF($B513="","",COUNTA($B$2:$B513))</f>
        <v/>
      </c>
      <c r="B513" s="11"/>
      <c r="C513" s="11"/>
      <c r="D513" s="11"/>
      <c r="E513" s="11"/>
      <c r="F513" s="11"/>
      <c r="G513" s="34"/>
      <c r="H513" s="25"/>
      <c r="I513" s="40"/>
      <c r="J513" s="34"/>
      <c r="K513" s="45"/>
      <c r="L513" s="34"/>
      <c r="M513" s="34"/>
      <c r="N513" s="11"/>
      <c r="O513" s="11"/>
      <c r="P513" s="11"/>
      <c r="Q513" s="11"/>
      <c r="R513" s="11"/>
      <c r="S513" s="46"/>
      <c r="T513" s="44" t="str">
        <f aca="false">IF($B513="","",COUNTA($N513:$R513)-COUNTIF($N513:$R513,"Not Invited"))</f>
        <v/>
      </c>
      <c r="U513" s="44" t="str">
        <f aca="false">IF($B513="","",COUNTIF($N513:$R513,"Attended"))</f>
        <v/>
      </c>
      <c r="V513" s="47" t="str">
        <f aca="false">IF($B513="","",_xlfn.TEXTJOIN(", ",TRUE(),IF($N513="Attended",Setup!$D$15,""),IF($O513="Attended",Setup!$D$16,""),IF($P513="Attended",Setup!$D$17,""),IF($Q513="Attended",Setup!$D$18,""),IF($R513="Attended",Setup!$D$19,"")))</f>
        <v/>
      </c>
      <c r="W513" s="48" t="str">
        <f aca="true">IF(OR($B513="",NOT(ISNUMBER($H513))),"",TODAY()-$H513)</f>
        <v/>
      </c>
      <c r="X513" s="47" t="str">
        <f aca="false">IF($B513="","",IF($U513&gt;0,"Event attendee",IF($G513="Yes","Met (no event)",IF($T513&gt;0,"Invited only",IF(OR($L513="Yes",$M513="Yes"),"Contacted only","Not yet contacted")))))</f>
        <v/>
      </c>
      <c r="Y513" s="47" t="str">
        <f aca="false">IF($B513="","",COUNTIF(c_Firm,"&lt;"&amp;$D513)+COUNTIFS(c_Firm,$D513,c_Name,"&lt;"&amp;$B513)+COUNTIFS($D$2:$D513,$D513,$B$2:$B513,$B513))</f>
        <v/>
      </c>
      <c r="Z513" s="47" t="str">
        <f aca="false">IF($B513="","",IF(AND(OR(Contacts!$C$3="(All)",$D513=Contacts!$C$3),OR(Contacts!$E$3="(All)",$G513=Contacts!$E$3),OR(Contacts!$G$3="(All)",ISNUMBER(SEARCH(Contacts!$G$3,$V513))),OR(Contacts!$I$3="(All)",$X513=Contacts!$I$3),OR(Contacts!$K$3="",ISNUMBER(SEARCH(Contacts!$K$3,$B513&amp;" "&amp;$C513&amp;" "&amp;$D513&amp;" "&amp;$S513)))),1,0))</f>
        <v/>
      </c>
      <c r="AA513" s="47" t="str">
        <f aca="false">IF($Z513=1,COUNTIFS(c_Pass,1,c_Sort,"&lt;="&amp;$Y513),"")</f>
        <v/>
      </c>
      <c r="AB513" s="47" t="str">
        <f aca="false">IF(OR($G513&lt;&gt;"Yes",NOT(ISNUMBER($H513))),"",COUNTIFS(c_Met,"Yes",c_Date,"&lt;"&amp;$H513)+COUNTIFS($G$2:$G513,"Yes",$H$2:$H513,$H513))</f>
        <v/>
      </c>
    </row>
    <row r="514" customFormat="false" ht="15" hidden="false" customHeight="false" outlineLevel="0" collapsed="false">
      <c r="A514" s="44" t="str">
        <f aca="false">IF($B514="","",COUNTA($B$2:$B514))</f>
        <v/>
      </c>
      <c r="B514" s="11"/>
      <c r="C514" s="11"/>
      <c r="D514" s="11"/>
      <c r="E514" s="11"/>
      <c r="F514" s="11"/>
      <c r="G514" s="34"/>
      <c r="H514" s="25"/>
      <c r="I514" s="40"/>
      <c r="J514" s="34"/>
      <c r="K514" s="45"/>
      <c r="L514" s="34"/>
      <c r="M514" s="34"/>
      <c r="N514" s="11"/>
      <c r="O514" s="11"/>
      <c r="P514" s="11"/>
      <c r="Q514" s="11"/>
      <c r="R514" s="11"/>
      <c r="S514" s="46"/>
      <c r="T514" s="44" t="str">
        <f aca="false">IF($B514="","",COUNTA($N514:$R514)-COUNTIF($N514:$R514,"Not Invited"))</f>
        <v/>
      </c>
      <c r="U514" s="44" t="str">
        <f aca="false">IF($B514="","",COUNTIF($N514:$R514,"Attended"))</f>
        <v/>
      </c>
      <c r="V514" s="47" t="str">
        <f aca="false">IF($B514="","",_xlfn.TEXTJOIN(", ",TRUE(),IF($N514="Attended",Setup!$D$15,""),IF($O514="Attended",Setup!$D$16,""),IF($P514="Attended",Setup!$D$17,""),IF($Q514="Attended",Setup!$D$18,""),IF($R514="Attended",Setup!$D$19,"")))</f>
        <v/>
      </c>
      <c r="W514" s="48" t="str">
        <f aca="true">IF(OR($B514="",NOT(ISNUMBER($H514))),"",TODAY()-$H514)</f>
        <v/>
      </c>
      <c r="X514" s="47" t="str">
        <f aca="false">IF($B514="","",IF($U514&gt;0,"Event attendee",IF($G514="Yes","Met (no event)",IF($T514&gt;0,"Invited only",IF(OR($L514="Yes",$M514="Yes"),"Contacted only","Not yet contacted")))))</f>
        <v/>
      </c>
      <c r="Y514" s="47" t="str">
        <f aca="false">IF($B514="","",COUNTIF(c_Firm,"&lt;"&amp;$D514)+COUNTIFS(c_Firm,$D514,c_Name,"&lt;"&amp;$B514)+COUNTIFS($D$2:$D514,$D514,$B$2:$B514,$B514))</f>
        <v/>
      </c>
      <c r="Z514" s="47" t="str">
        <f aca="false">IF($B514="","",IF(AND(OR(Contacts!$C$3="(All)",$D514=Contacts!$C$3),OR(Contacts!$E$3="(All)",$G514=Contacts!$E$3),OR(Contacts!$G$3="(All)",ISNUMBER(SEARCH(Contacts!$G$3,$V514))),OR(Contacts!$I$3="(All)",$X514=Contacts!$I$3),OR(Contacts!$K$3="",ISNUMBER(SEARCH(Contacts!$K$3,$B514&amp;" "&amp;$C514&amp;" "&amp;$D514&amp;" "&amp;$S514)))),1,0))</f>
        <v/>
      </c>
      <c r="AA514" s="47" t="str">
        <f aca="false">IF($Z514=1,COUNTIFS(c_Pass,1,c_Sort,"&lt;="&amp;$Y514),"")</f>
        <v/>
      </c>
      <c r="AB514" s="47" t="str">
        <f aca="false">IF(OR($G514&lt;&gt;"Yes",NOT(ISNUMBER($H514))),"",COUNTIFS(c_Met,"Yes",c_Date,"&lt;"&amp;$H514)+COUNTIFS($G$2:$G514,"Yes",$H$2:$H514,$H514))</f>
        <v/>
      </c>
    </row>
    <row r="515" customFormat="false" ht="15" hidden="false" customHeight="false" outlineLevel="0" collapsed="false">
      <c r="A515" s="44" t="str">
        <f aca="false">IF($B515="","",COUNTA($B$2:$B515))</f>
        <v/>
      </c>
      <c r="B515" s="11"/>
      <c r="C515" s="11"/>
      <c r="D515" s="11"/>
      <c r="E515" s="11"/>
      <c r="F515" s="11"/>
      <c r="G515" s="34"/>
      <c r="H515" s="25"/>
      <c r="I515" s="40"/>
      <c r="J515" s="34"/>
      <c r="K515" s="45"/>
      <c r="L515" s="34"/>
      <c r="M515" s="34"/>
      <c r="N515" s="11"/>
      <c r="O515" s="11"/>
      <c r="P515" s="11"/>
      <c r="Q515" s="11"/>
      <c r="R515" s="11"/>
      <c r="S515" s="46"/>
      <c r="T515" s="44" t="str">
        <f aca="false">IF($B515="","",COUNTA($N515:$R515)-COUNTIF($N515:$R515,"Not Invited"))</f>
        <v/>
      </c>
      <c r="U515" s="44" t="str">
        <f aca="false">IF($B515="","",COUNTIF($N515:$R515,"Attended"))</f>
        <v/>
      </c>
      <c r="V515" s="47" t="str">
        <f aca="false">IF($B515="","",_xlfn.TEXTJOIN(", ",TRUE(),IF($N515="Attended",Setup!$D$15,""),IF($O515="Attended",Setup!$D$16,""),IF($P515="Attended",Setup!$D$17,""),IF($Q515="Attended",Setup!$D$18,""),IF($R515="Attended",Setup!$D$19,"")))</f>
        <v/>
      </c>
      <c r="W515" s="48" t="str">
        <f aca="true">IF(OR($B515="",NOT(ISNUMBER($H515))),"",TODAY()-$H515)</f>
        <v/>
      </c>
      <c r="X515" s="47" t="str">
        <f aca="false">IF($B515="","",IF($U515&gt;0,"Event attendee",IF($G515="Yes","Met (no event)",IF($T515&gt;0,"Invited only",IF(OR($L515="Yes",$M515="Yes"),"Contacted only","Not yet contacted")))))</f>
        <v/>
      </c>
      <c r="Y515" s="47" t="str">
        <f aca="false">IF($B515="","",COUNTIF(c_Firm,"&lt;"&amp;$D515)+COUNTIFS(c_Firm,$D515,c_Name,"&lt;"&amp;$B515)+COUNTIFS($D$2:$D515,$D515,$B$2:$B515,$B515))</f>
        <v/>
      </c>
      <c r="Z515" s="47" t="str">
        <f aca="false">IF($B515="","",IF(AND(OR(Contacts!$C$3="(All)",$D515=Contacts!$C$3),OR(Contacts!$E$3="(All)",$G515=Contacts!$E$3),OR(Contacts!$G$3="(All)",ISNUMBER(SEARCH(Contacts!$G$3,$V515))),OR(Contacts!$I$3="(All)",$X515=Contacts!$I$3),OR(Contacts!$K$3="",ISNUMBER(SEARCH(Contacts!$K$3,$B515&amp;" "&amp;$C515&amp;" "&amp;$D515&amp;" "&amp;$S515)))),1,0))</f>
        <v/>
      </c>
      <c r="AA515" s="47" t="str">
        <f aca="false">IF($Z515=1,COUNTIFS(c_Pass,1,c_Sort,"&lt;="&amp;$Y515),"")</f>
        <v/>
      </c>
      <c r="AB515" s="47" t="str">
        <f aca="false">IF(OR($G515&lt;&gt;"Yes",NOT(ISNUMBER($H515))),"",COUNTIFS(c_Met,"Yes",c_Date,"&lt;"&amp;$H515)+COUNTIFS($G$2:$G515,"Yes",$H$2:$H515,$H515))</f>
        <v/>
      </c>
    </row>
    <row r="516" customFormat="false" ht="15" hidden="false" customHeight="false" outlineLevel="0" collapsed="false">
      <c r="A516" s="44" t="str">
        <f aca="false">IF($B516="","",COUNTA($B$2:$B516))</f>
        <v/>
      </c>
      <c r="B516" s="11"/>
      <c r="C516" s="11"/>
      <c r="D516" s="11"/>
      <c r="E516" s="11"/>
      <c r="F516" s="11"/>
      <c r="G516" s="34"/>
      <c r="H516" s="25"/>
      <c r="I516" s="40"/>
      <c r="J516" s="34"/>
      <c r="K516" s="45"/>
      <c r="L516" s="34"/>
      <c r="M516" s="34"/>
      <c r="N516" s="11"/>
      <c r="O516" s="11"/>
      <c r="P516" s="11"/>
      <c r="Q516" s="11"/>
      <c r="R516" s="11"/>
      <c r="S516" s="46"/>
      <c r="T516" s="44" t="str">
        <f aca="false">IF($B516="","",COUNTA($N516:$R516)-COUNTIF($N516:$R516,"Not Invited"))</f>
        <v/>
      </c>
      <c r="U516" s="44" t="str">
        <f aca="false">IF($B516="","",COUNTIF($N516:$R516,"Attended"))</f>
        <v/>
      </c>
      <c r="V516" s="47" t="str">
        <f aca="false">IF($B516="","",_xlfn.TEXTJOIN(", ",TRUE(),IF($N516="Attended",Setup!$D$15,""),IF($O516="Attended",Setup!$D$16,""),IF($P516="Attended",Setup!$D$17,""),IF($Q516="Attended",Setup!$D$18,""),IF($R516="Attended",Setup!$D$19,"")))</f>
        <v/>
      </c>
      <c r="W516" s="48" t="str">
        <f aca="true">IF(OR($B516="",NOT(ISNUMBER($H516))),"",TODAY()-$H516)</f>
        <v/>
      </c>
      <c r="X516" s="47" t="str">
        <f aca="false">IF($B516="","",IF($U516&gt;0,"Event attendee",IF($G516="Yes","Met (no event)",IF($T516&gt;0,"Invited only",IF(OR($L516="Yes",$M516="Yes"),"Contacted only","Not yet contacted")))))</f>
        <v/>
      </c>
      <c r="Y516" s="47" t="str">
        <f aca="false">IF($B516="","",COUNTIF(c_Firm,"&lt;"&amp;$D516)+COUNTIFS(c_Firm,$D516,c_Name,"&lt;"&amp;$B516)+COUNTIFS($D$2:$D516,$D516,$B$2:$B516,$B516))</f>
        <v/>
      </c>
      <c r="Z516" s="47" t="str">
        <f aca="false">IF($B516="","",IF(AND(OR(Contacts!$C$3="(All)",$D516=Contacts!$C$3),OR(Contacts!$E$3="(All)",$G516=Contacts!$E$3),OR(Contacts!$G$3="(All)",ISNUMBER(SEARCH(Contacts!$G$3,$V516))),OR(Contacts!$I$3="(All)",$X516=Contacts!$I$3),OR(Contacts!$K$3="",ISNUMBER(SEARCH(Contacts!$K$3,$B516&amp;" "&amp;$C516&amp;" "&amp;$D516&amp;" "&amp;$S516)))),1,0))</f>
        <v/>
      </c>
      <c r="AA516" s="47" t="str">
        <f aca="false">IF($Z516=1,COUNTIFS(c_Pass,1,c_Sort,"&lt;="&amp;$Y516),"")</f>
        <v/>
      </c>
      <c r="AB516" s="47" t="str">
        <f aca="false">IF(OR($G516&lt;&gt;"Yes",NOT(ISNUMBER($H516))),"",COUNTIFS(c_Met,"Yes",c_Date,"&lt;"&amp;$H516)+COUNTIFS($G$2:$G516,"Yes",$H$2:$H516,$H516))</f>
        <v/>
      </c>
    </row>
    <row r="517" customFormat="false" ht="15" hidden="false" customHeight="false" outlineLevel="0" collapsed="false">
      <c r="A517" s="44" t="str">
        <f aca="false">IF($B517="","",COUNTA($B$2:$B517))</f>
        <v/>
      </c>
      <c r="B517" s="11"/>
      <c r="C517" s="11"/>
      <c r="D517" s="11"/>
      <c r="E517" s="11"/>
      <c r="F517" s="11"/>
      <c r="G517" s="34"/>
      <c r="H517" s="25"/>
      <c r="I517" s="40"/>
      <c r="J517" s="34"/>
      <c r="K517" s="45"/>
      <c r="L517" s="34"/>
      <c r="M517" s="34"/>
      <c r="N517" s="11"/>
      <c r="O517" s="11"/>
      <c r="P517" s="11"/>
      <c r="Q517" s="11"/>
      <c r="R517" s="11"/>
      <c r="S517" s="46"/>
      <c r="T517" s="44" t="str">
        <f aca="false">IF($B517="","",COUNTA($N517:$R517)-COUNTIF($N517:$R517,"Not Invited"))</f>
        <v/>
      </c>
      <c r="U517" s="44" t="str">
        <f aca="false">IF($B517="","",COUNTIF($N517:$R517,"Attended"))</f>
        <v/>
      </c>
      <c r="V517" s="47" t="str">
        <f aca="false">IF($B517="","",_xlfn.TEXTJOIN(", ",TRUE(),IF($N517="Attended",Setup!$D$15,""),IF($O517="Attended",Setup!$D$16,""),IF($P517="Attended",Setup!$D$17,""),IF($Q517="Attended",Setup!$D$18,""),IF($R517="Attended",Setup!$D$19,"")))</f>
        <v/>
      </c>
      <c r="W517" s="48" t="str">
        <f aca="true">IF(OR($B517="",NOT(ISNUMBER($H517))),"",TODAY()-$H517)</f>
        <v/>
      </c>
      <c r="X517" s="47" t="str">
        <f aca="false">IF($B517="","",IF($U517&gt;0,"Event attendee",IF($G517="Yes","Met (no event)",IF($T517&gt;0,"Invited only",IF(OR($L517="Yes",$M517="Yes"),"Contacted only","Not yet contacted")))))</f>
        <v/>
      </c>
      <c r="Y517" s="47" t="str">
        <f aca="false">IF($B517="","",COUNTIF(c_Firm,"&lt;"&amp;$D517)+COUNTIFS(c_Firm,$D517,c_Name,"&lt;"&amp;$B517)+COUNTIFS($D$2:$D517,$D517,$B$2:$B517,$B517))</f>
        <v/>
      </c>
      <c r="Z517" s="47" t="str">
        <f aca="false">IF($B517="","",IF(AND(OR(Contacts!$C$3="(All)",$D517=Contacts!$C$3),OR(Contacts!$E$3="(All)",$G517=Contacts!$E$3),OR(Contacts!$G$3="(All)",ISNUMBER(SEARCH(Contacts!$G$3,$V517))),OR(Contacts!$I$3="(All)",$X517=Contacts!$I$3),OR(Contacts!$K$3="",ISNUMBER(SEARCH(Contacts!$K$3,$B517&amp;" "&amp;$C517&amp;" "&amp;$D517&amp;" "&amp;$S517)))),1,0))</f>
        <v/>
      </c>
      <c r="AA517" s="47" t="str">
        <f aca="false">IF($Z517=1,COUNTIFS(c_Pass,1,c_Sort,"&lt;="&amp;$Y517),"")</f>
        <v/>
      </c>
      <c r="AB517" s="47" t="str">
        <f aca="false">IF(OR($G517&lt;&gt;"Yes",NOT(ISNUMBER($H517))),"",COUNTIFS(c_Met,"Yes",c_Date,"&lt;"&amp;$H517)+COUNTIFS($G$2:$G517,"Yes",$H$2:$H517,$H517))</f>
        <v/>
      </c>
    </row>
    <row r="518" customFormat="false" ht="15" hidden="false" customHeight="false" outlineLevel="0" collapsed="false">
      <c r="A518" s="44" t="str">
        <f aca="false">IF($B518="","",COUNTA($B$2:$B518))</f>
        <v/>
      </c>
      <c r="B518" s="11"/>
      <c r="C518" s="11"/>
      <c r="D518" s="11"/>
      <c r="E518" s="11"/>
      <c r="F518" s="11"/>
      <c r="G518" s="34"/>
      <c r="H518" s="25"/>
      <c r="I518" s="40"/>
      <c r="J518" s="34"/>
      <c r="K518" s="45"/>
      <c r="L518" s="34"/>
      <c r="M518" s="34"/>
      <c r="N518" s="11"/>
      <c r="O518" s="11"/>
      <c r="P518" s="11"/>
      <c r="Q518" s="11"/>
      <c r="R518" s="11"/>
      <c r="S518" s="46"/>
      <c r="T518" s="44" t="str">
        <f aca="false">IF($B518="","",COUNTA($N518:$R518)-COUNTIF($N518:$R518,"Not Invited"))</f>
        <v/>
      </c>
      <c r="U518" s="44" t="str">
        <f aca="false">IF($B518="","",COUNTIF($N518:$R518,"Attended"))</f>
        <v/>
      </c>
      <c r="V518" s="47" t="str">
        <f aca="false">IF($B518="","",_xlfn.TEXTJOIN(", ",TRUE(),IF($N518="Attended",Setup!$D$15,""),IF($O518="Attended",Setup!$D$16,""),IF($P518="Attended",Setup!$D$17,""),IF($Q518="Attended",Setup!$D$18,""),IF($R518="Attended",Setup!$D$19,"")))</f>
        <v/>
      </c>
      <c r="W518" s="48" t="str">
        <f aca="true">IF(OR($B518="",NOT(ISNUMBER($H518))),"",TODAY()-$H518)</f>
        <v/>
      </c>
      <c r="X518" s="47" t="str">
        <f aca="false">IF($B518="","",IF($U518&gt;0,"Event attendee",IF($G518="Yes","Met (no event)",IF($T518&gt;0,"Invited only",IF(OR($L518="Yes",$M518="Yes"),"Contacted only","Not yet contacted")))))</f>
        <v/>
      </c>
      <c r="Y518" s="47" t="str">
        <f aca="false">IF($B518="","",COUNTIF(c_Firm,"&lt;"&amp;$D518)+COUNTIFS(c_Firm,$D518,c_Name,"&lt;"&amp;$B518)+COUNTIFS($D$2:$D518,$D518,$B$2:$B518,$B518))</f>
        <v/>
      </c>
      <c r="Z518" s="47" t="str">
        <f aca="false">IF($B518="","",IF(AND(OR(Contacts!$C$3="(All)",$D518=Contacts!$C$3),OR(Contacts!$E$3="(All)",$G518=Contacts!$E$3),OR(Contacts!$G$3="(All)",ISNUMBER(SEARCH(Contacts!$G$3,$V518))),OR(Contacts!$I$3="(All)",$X518=Contacts!$I$3),OR(Contacts!$K$3="",ISNUMBER(SEARCH(Contacts!$K$3,$B518&amp;" "&amp;$C518&amp;" "&amp;$D518&amp;" "&amp;$S518)))),1,0))</f>
        <v/>
      </c>
      <c r="AA518" s="47" t="str">
        <f aca="false">IF($Z518=1,COUNTIFS(c_Pass,1,c_Sort,"&lt;="&amp;$Y518),"")</f>
        <v/>
      </c>
      <c r="AB518" s="47" t="str">
        <f aca="false">IF(OR($G518&lt;&gt;"Yes",NOT(ISNUMBER($H518))),"",COUNTIFS(c_Met,"Yes",c_Date,"&lt;"&amp;$H518)+COUNTIFS($G$2:$G518,"Yes",$H$2:$H518,$H518))</f>
        <v/>
      </c>
    </row>
    <row r="519" customFormat="false" ht="15" hidden="false" customHeight="false" outlineLevel="0" collapsed="false">
      <c r="A519" s="44" t="str">
        <f aca="false">IF($B519="","",COUNTA($B$2:$B519))</f>
        <v/>
      </c>
      <c r="B519" s="11"/>
      <c r="C519" s="11"/>
      <c r="D519" s="11"/>
      <c r="E519" s="11"/>
      <c r="F519" s="11"/>
      <c r="G519" s="34"/>
      <c r="H519" s="25"/>
      <c r="I519" s="40"/>
      <c r="J519" s="34"/>
      <c r="K519" s="45"/>
      <c r="L519" s="34"/>
      <c r="M519" s="34"/>
      <c r="N519" s="11"/>
      <c r="O519" s="11"/>
      <c r="P519" s="11"/>
      <c r="Q519" s="11"/>
      <c r="R519" s="11"/>
      <c r="S519" s="46"/>
      <c r="T519" s="44" t="str">
        <f aca="false">IF($B519="","",COUNTA($N519:$R519)-COUNTIF($N519:$R519,"Not Invited"))</f>
        <v/>
      </c>
      <c r="U519" s="44" t="str">
        <f aca="false">IF($B519="","",COUNTIF($N519:$R519,"Attended"))</f>
        <v/>
      </c>
      <c r="V519" s="47" t="str">
        <f aca="false">IF($B519="","",_xlfn.TEXTJOIN(", ",TRUE(),IF($N519="Attended",Setup!$D$15,""),IF($O519="Attended",Setup!$D$16,""),IF($P519="Attended",Setup!$D$17,""),IF($Q519="Attended",Setup!$D$18,""),IF($R519="Attended",Setup!$D$19,"")))</f>
        <v/>
      </c>
      <c r="W519" s="48" t="str">
        <f aca="true">IF(OR($B519="",NOT(ISNUMBER($H519))),"",TODAY()-$H519)</f>
        <v/>
      </c>
      <c r="X519" s="47" t="str">
        <f aca="false">IF($B519="","",IF($U519&gt;0,"Event attendee",IF($G519="Yes","Met (no event)",IF($T519&gt;0,"Invited only",IF(OR($L519="Yes",$M519="Yes"),"Contacted only","Not yet contacted")))))</f>
        <v/>
      </c>
      <c r="Y519" s="47" t="str">
        <f aca="false">IF($B519="","",COUNTIF(c_Firm,"&lt;"&amp;$D519)+COUNTIFS(c_Firm,$D519,c_Name,"&lt;"&amp;$B519)+COUNTIFS($D$2:$D519,$D519,$B$2:$B519,$B519))</f>
        <v/>
      </c>
      <c r="Z519" s="47" t="str">
        <f aca="false">IF($B519="","",IF(AND(OR(Contacts!$C$3="(All)",$D519=Contacts!$C$3),OR(Contacts!$E$3="(All)",$G519=Contacts!$E$3),OR(Contacts!$G$3="(All)",ISNUMBER(SEARCH(Contacts!$G$3,$V519))),OR(Contacts!$I$3="(All)",$X519=Contacts!$I$3),OR(Contacts!$K$3="",ISNUMBER(SEARCH(Contacts!$K$3,$B519&amp;" "&amp;$C519&amp;" "&amp;$D519&amp;" "&amp;$S519)))),1,0))</f>
        <v/>
      </c>
      <c r="AA519" s="47" t="str">
        <f aca="false">IF($Z519=1,COUNTIFS(c_Pass,1,c_Sort,"&lt;="&amp;$Y519),"")</f>
        <v/>
      </c>
      <c r="AB519" s="47" t="str">
        <f aca="false">IF(OR($G519&lt;&gt;"Yes",NOT(ISNUMBER($H519))),"",COUNTIFS(c_Met,"Yes",c_Date,"&lt;"&amp;$H519)+COUNTIFS($G$2:$G519,"Yes",$H$2:$H519,$H519))</f>
        <v/>
      </c>
    </row>
    <row r="520" customFormat="false" ht="15" hidden="false" customHeight="false" outlineLevel="0" collapsed="false">
      <c r="A520" s="44" t="str">
        <f aca="false">IF($B520="","",COUNTA($B$2:$B520))</f>
        <v/>
      </c>
      <c r="B520" s="11"/>
      <c r="C520" s="11"/>
      <c r="D520" s="11"/>
      <c r="E520" s="11"/>
      <c r="F520" s="11"/>
      <c r="G520" s="34"/>
      <c r="H520" s="25"/>
      <c r="I520" s="40"/>
      <c r="J520" s="34"/>
      <c r="K520" s="45"/>
      <c r="L520" s="34"/>
      <c r="M520" s="34"/>
      <c r="N520" s="11"/>
      <c r="O520" s="11"/>
      <c r="P520" s="11"/>
      <c r="Q520" s="11"/>
      <c r="R520" s="11"/>
      <c r="S520" s="46"/>
      <c r="T520" s="44" t="str">
        <f aca="false">IF($B520="","",COUNTA($N520:$R520)-COUNTIF($N520:$R520,"Not Invited"))</f>
        <v/>
      </c>
      <c r="U520" s="44" t="str">
        <f aca="false">IF($B520="","",COUNTIF($N520:$R520,"Attended"))</f>
        <v/>
      </c>
      <c r="V520" s="47" t="str">
        <f aca="false">IF($B520="","",_xlfn.TEXTJOIN(", ",TRUE(),IF($N520="Attended",Setup!$D$15,""),IF($O520="Attended",Setup!$D$16,""),IF($P520="Attended",Setup!$D$17,""),IF($Q520="Attended",Setup!$D$18,""),IF($R520="Attended",Setup!$D$19,"")))</f>
        <v/>
      </c>
      <c r="W520" s="48" t="str">
        <f aca="true">IF(OR($B520="",NOT(ISNUMBER($H520))),"",TODAY()-$H520)</f>
        <v/>
      </c>
      <c r="X520" s="47" t="str">
        <f aca="false">IF($B520="","",IF($U520&gt;0,"Event attendee",IF($G520="Yes","Met (no event)",IF($T520&gt;0,"Invited only",IF(OR($L520="Yes",$M520="Yes"),"Contacted only","Not yet contacted")))))</f>
        <v/>
      </c>
      <c r="Y520" s="47" t="str">
        <f aca="false">IF($B520="","",COUNTIF(c_Firm,"&lt;"&amp;$D520)+COUNTIFS(c_Firm,$D520,c_Name,"&lt;"&amp;$B520)+COUNTIFS($D$2:$D520,$D520,$B$2:$B520,$B520))</f>
        <v/>
      </c>
      <c r="Z520" s="47" t="str">
        <f aca="false">IF($B520="","",IF(AND(OR(Contacts!$C$3="(All)",$D520=Contacts!$C$3),OR(Contacts!$E$3="(All)",$G520=Contacts!$E$3),OR(Contacts!$G$3="(All)",ISNUMBER(SEARCH(Contacts!$G$3,$V520))),OR(Contacts!$I$3="(All)",$X520=Contacts!$I$3),OR(Contacts!$K$3="",ISNUMBER(SEARCH(Contacts!$K$3,$B520&amp;" "&amp;$C520&amp;" "&amp;$D520&amp;" "&amp;$S520)))),1,0))</f>
        <v/>
      </c>
      <c r="AA520" s="47" t="str">
        <f aca="false">IF($Z520=1,COUNTIFS(c_Pass,1,c_Sort,"&lt;="&amp;$Y520),"")</f>
        <v/>
      </c>
      <c r="AB520" s="47" t="str">
        <f aca="false">IF(OR($G520&lt;&gt;"Yes",NOT(ISNUMBER($H520))),"",COUNTIFS(c_Met,"Yes",c_Date,"&lt;"&amp;$H520)+COUNTIFS($G$2:$G520,"Yes",$H$2:$H520,$H520))</f>
        <v/>
      </c>
    </row>
    <row r="521" customFormat="false" ht="15" hidden="false" customHeight="false" outlineLevel="0" collapsed="false">
      <c r="A521" s="44" t="str">
        <f aca="false">IF($B521="","",COUNTA($B$2:$B521))</f>
        <v/>
      </c>
      <c r="B521" s="11"/>
      <c r="C521" s="11"/>
      <c r="D521" s="11"/>
      <c r="E521" s="11"/>
      <c r="F521" s="11"/>
      <c r="G521" s="34"/>
      <c r="H521" s="25"/>
      <c r="I521" s="40"/>
      <c r="J521" s="34"/>
      <c r="K521" s="45"/>
      <c r="L521" s="34"/>
      <c r="M521" s="34"/>
      <c r="N521" s="11"/>
      <c r="O521" s="11"/>
      <c r="P521" s="11"/>
      <c r="Q521" s="11"/>
      <c r="R521" s="11"/>
      <c r="S521" s="46"/>
      <c r="T521" s="44" t="str">
        <f aca="false">IF($B521="","",COUNTA($N521:$R521)-COUNTIF($N521:$R521,"Not Invited"))</f>
        <v/>
      </c>
      <c r="U521" s="44" t="str">
        <f aca="false">IF($B521="","",COUNTIF($N521:$R521,"Attended"))</f>
        <v/>
      </c>
      <c r="V521" s="47" t="str">
        <f aca="false">IF($B521="","",_xlfn.TEXTJOIN(", ",TRUE(),IF($N521="Attended",Setup!$D$15,""),IF($O521="Attended",Setup!$D$16,""),IF($P521="Attended",Setup!$D$17,""),IF($Q521="Attended",Setup!$D$18,""),IF($R521="Attended",Setup!$D$19,"")))</f>
        <v/>
      </c>
      <c r="W521" s="48" t="str">
        <f aca="true">IF(OR($B521="",NOT(ISNUMBER($H521))),"",TODAY()-$H521)</f>
        <v/>
      </c>
      <c r="X521" s="47" t="str">
        <f aca="false">IF($B521="","",IF($U521&gt;0,"Event attendee",IF($G521="Yes","Met (no event)",IF($T521&gt;0,"Invited only",IF(OR($L521="Yes",$M521="Yes"),"Contacted only","Not yet contacted")))))</f>
        <v/>
      </c>
      <c r="Y521" s="47" t="str">
        <f aca="false">IF($B521="","",COUNTIF(c_Firm,"&lt;"&amp;$D521)+COUNTIFS(c_Firm,$D521,c_Name,"&lt;"&amp;$B521)+COUNTIFS($D$2:$D521,$D521,$B$2:$B521,$B521))</f>
        <v/>
      </c>
      <c r="Z521" s="47" t="str">
        <f aca="false">IF($B521="","",IF(AND(OR(Contacts!$C$3="(All)",$D521=Contacts!$C$3),OR(Contacts!$E$3="(All)",$G521=Contacts!$E$3),OR(Contacts!$G$3="(All)",ISNUMBER(SEARCH(Contacts!$G$3,$V521))),OR(Contacts!$I$3="(All)",$X521=Contacts!$I$3),OR(Contacts!$K$3="",ISNUMBER(SEARCH(Contacts!$K$3,$B521&amp;" "&amp;$C521&amp;" "&amp;$D521&amp;" "&amp;$S521)))),1,0))</f>
        <v/>
      </c>
      <c r="AA521" s="47" t="str">
        <f aca="false">IF($Z521=1,COUNTIFS(c_Pass,1,c_Sort,"&lt;="&amp;$Y521),"")</f>
        <v/>
      </c>
      <c r="AB521" s="47" t="str">
        <f aca="false">IF(OR($G521&lt;&gt;"Yes",NOT(ISNUMBER($H521))),"",COUNTIFS(c_Met,"Yes",c_Date,"&lt;"&amp;$H521)+COUNTIFS($G$2:$G521,"Yes",$H$2:$H521,$H521))</f>
        <v/>
      </c>
    </row>
    <row r="522" customFormat="false" ht="15" hidden="false" customHeight="false" outlineLevel="0" collapsed="false">
      <c r="A522" s="44" t="str">
        <f aca="false">IF($B522="","",COUNTA($B$2:$B522))</f>
        <v/>
      </c>
      <c r="B522" s="11"/>
      <c r="C522" s="11"/>
      <c r="D522" s="11"/>
      <c r="E522" s="11"/>
      <c r="F522" s="11"/>
      <c r="G522" s="34"/>
      <c r="H522" s="25"/>
      <c r="I522" s="40"/>
      <c r="J522" s="34"/>
      <c r="K522" s="45"/>
      <c r="L522" s="34"/>
      <c r="M522" s="34"/>
      <c r="N522" s="11"/>
      <c r="O522" s="11"/>
      <c r="P522" s="11"/>
      <c r="Q522" s="11"/>
      <c r="R522" s="11"/>
      <c r="S522" s="46"/>
      <c r="T522" s="44" t="str">
        <f aca="false">IF($B522="","",COUNTA($N522:$R522)-COUNTIF($N522:$R522,"Not Invited"))</f>
        <v/>
      </c>
      <c r="U522" s="44" t="str">
        <f aca="false">IF($B522="","",COUNTIF($N522:$R522,"Attended"))</f>
        <v/>
      </c>
      <c r="V522" s="47" t="str">
        <f aca="false">IF($B522="","",_xlfn.TEXTJOIN(", ",TRUE(),IF($N522="Attended",Setup!$D$15,""),IF($O522="Attended",Setup!$D$16,""),IF($P522="Attended",Setup!$D$17,""),IF($Q522="Attended",Setup!$D$18,""),IF($R522="Attended",Setup!$D$19,"")))</f>
        <v/>
      </c>
      <c r="W522" s="48" t="str">
        <f aca="true">IF(OR($B522="",NOT(ISNUMBER($H522))),"",TODAY()-$H522)</f>
        <v/>
      </c>
      <c r="X522" s="47" t="str">
        <f aca="false">IF($B522="","",IF($U522&gt;0,"Event attendee",IF($G522="Yes","Met (no event)",IF($T522&gt;0,"Invited only",IF(OR($L522="Yes",$M522="Yes"),"Contacted only","Not yet contacted")))))</f>
        <v/>
      </c>
      <c r="Y522" s="47" t="str">
        <f aca="false">IF($B522="","",COUNTIF(c_Firm,"&lt;"&amp;$D522)+COUNTIFS(c_Firm,$D522,c_Name,"&lt;"&amp;$B522)+COUNTIFS($D$2:$D522,$D522,$B$2:$B522,$B522))</f>
        <v/>
      </c>
      <c r="Z522" s="47" t="str">
        <f aca="false">IF($B522="","",IF(AND(OR(Contacts!$C$3="(All)",$D522=Contacts!$C$3),OR(Contacts!$E$3="(All)",$G522=Contacts!$E$3),OR(Contacts!$G$3="(All)",ISNUMBER(SEARCH(Contacts!$G$3,$V522))),OR(Contacts!$I$3="(All)",$X522=Contacts!$I$3),OR(Contacts!$K$3="",ISNUMBER(SEARCH(Contacts!$K$3,$B522&amp;" "&amp;$C522&amp;" "&amp;$D522&amp;" "&amp;$S522)))),1,0))</f>
        <v/>
      </c>
      <c r="AA522" s="47" t="str">
        <f aca="false">IF($Z522=1,COUNTIFS(c_Pass,1,c_Sort,"&lt;="&amp;$Y522),"")</f>
        <v/>
      </c>
      <c r="AB522" s="47" t="str">
        <f aca="false">IF(OR($G522&lt;&gt;"Yes",NOT(ISNUMBER($H522))),"",COUNTIFS(c_Met,"Yes",c_Date,"&lt;"&amp;$H522)+COUNTIFS($G$2:$G522,"Yes",$H$2:$H522,$H522))</f>
        <v/>
      </c>
    </row>
    <row r="523" customFormat="false" ht="15" hidden="false" customHeight="false" outlineLevel="0" collapsed="false">
      <c r="A523" s="44" t="str">
        <f aca="false">IF($B523="","",COUNTA($B$2:$B523))</f>
        <v/>
      </c>
      <c r="B523" s="11"/>
      <c r="C523" s="11"/>
      <c r="D523" s="11"/>
      <c r="E523" s="11"/>
      <c r="F523" s="11"/>
      <c r="G523" s="34"/>
      <c r="H523" s="25"/>
      <c r="I523" s="40"/>
      <c r="J523" s="34"/>
      <c r="K523" s="45"/>
      <c r="L523" s="34"/>
      <c r="M523" s="34"/>
      <c r="N523" s="11"/>
      <c r="O523" s="11"/>
      <c r="P523" s="11"/>
      <c r="Q523" s="11"/>
      <c r="R523" s="11"/>
      <c r="S523" s="46"/>
      <c r="T523" s="44" t="str">
        <f aca="false">IF($B523="","",COUNTA($N523:$R523)-COUNTIF($N523:$R523,"Not Invited"))</f>
        <v/>
      </c>
      <c r="U523" s="44" t="str">
        <f aca="false">IF($B523="","",COUNTIF($N523:$R523,"Attended"))</f>
        <v/>
      </c>
      <c r="V523" s="47" t="str">
        <f aca="false">IF($B523="","",_xlfn.TEXTJOIN(", ",TRUE(),IF($N523="Attended",Setup!$D$15,""),IF($O523="Attended",Setup!$D$16,""),IF($P523="Attended",Setup!$D$17,""),IF($Q523="Attended",Setup!$D$18,""),IF($R523="Attended",Setup!$D$19,"")))</f>
        <v/>
      </c>
      <c r="W523" s="48" t="str">
        <f aca="true">IF(OR($B523="",NOT(ISNUMBER($H523))),"",TODAY()-$H523)</f>
        <v/>
      </c>
      <c r="X523" s="47" t="str">
        <f aca="false">IF($B523="","",IF($U523&gt;0,"Event attendee",IF($G523="Yes","Met (no event)",IF($T523&gt;0,"Invited only",IF(OR($L523="Yes",$M523="Yes"),"Contacted only","Not yet contacted")))))</f>
        <v/>
      </c>
      <c r="Y523" s="47" t="str">
        <f aca="false">IF($B523="","",COUNTIF(c_Firm,"&lt;"&amp;$D523)+COUNTIFS(c_Firm,$D523,c_Name,"&lt;"&amp;$B523)+COUNTIFS($D$2:$D523,$D523,$B$2:$B523,$B523))</f>
        <v/>
      </c>
      <c r="Z523" s="47" t="str">
        <f aca="false">IF($B523="","",IF(AND(OR(Contacts!$C$3="(All)",$D523=Contacts!$C$3),OR(Contacts!$E$3="(All)",$G523=Contacts!$E$3),OR(Contacts!$G$3="(All)",ISNUMBER(SEARCH(Contacts!$G$3,$V523))),OR(Contacts!$I$3="(All)",$X523=Contacts!$I$3),OR(Contacts!$K$3="",ISNUMBER(SEARCH(Contacts!$K$3,$B523&amp;" "&amp;$C523&amp;" "&amp;$D523&amp;" "&amp;$S523)))),1,0))</f>
        <v/>
      </c>
      <c r="AA523" s="47" t="str">
        <f aca="false">IF($Z523=1,COUNTIFS(c_Pass,1,c_Sort,"&lt;="&amp;$Y523),"")</f>
        <v/>
      </c>
      <c r="AB523" s="47" t="str">
        <f aca="false">IF(OR($G523&lt;&gt;"Yes",NOT(ISNUMBER($H523))),"",COUNTIFS(c_Met,"Yes",c_Date,"&lt;"&amp;$H523)+COUNTIFS($G$2:$G523,"Yes",$H$2:$H523,$H523))</f>
        <v/>
      </c>
    </row>
    <row r="524" customFormat="false" ht="15" hidden="false" customHeight="false" outlineLevel="0" collapsed="false">
      <c r="A524" s="44" t="str">
        <f aca="false">IF($B524="","",COUNTA($B$2:$B524))</f>
        <v/>
      </c>
      <c r="B524" s="11"/>
      <c r="C524" s="11"/>
      <c r="D524" s="11"/>
      <c r="E524" s="11"/>
      <c r="F524" s="11"/>
      <c r="G524" s="34"/>
      <c r="H524" s="25"/>
      <c r="I524" s="40"/>
      <c r="J524" s="34"/>
      <c r="K524" s="45"/>
      <c r="L524" s="34"/>
      <c r="M524" s="34"/>
      <c r="N524" s="11"/>
      <c r="O524" s="11"/>
      <c r="P524" s="11"/>
      <c r="Q524" s="11"/>
      <c r="R524" s="11"/>
      <c r="S524" s="46"/>
      <c r="T524" s="44" t="str">
        <f aca="false">IF($B524="","",COUNTA($N524:$R524)-COUNTIF($N524:$R524,"Not Invited"))</f>
        <v/>
      </c>
      <c r="U524" s="44" t="str">
        <f aca="false">IF($B524="","",COUNTIF($N524:$R524,"Attended"))</f>
        <v/>
      </c>
      <c r="V524" s="47" t="str">
        <f aca="false">IF($B524="","",_xlfn.TEXTJOIN(", ",TRUE(),IF($N524="Attended",Setup!$D$15,""),IF($O524="Attended",Setup!$D$16,""),IF($P524="Attended",Setup!$D$17,""),IF($Q524="Attended",Setup!$D$18,""),IF($R524="Attended",Setup!$D$19,"")))</f>
        <v/>
      </c>
      <c r="W524" s="48" t="str">
        <f aca="true">IF(OR($B524="",NOT(ISNUMBER($H524))),"",TODAY()-$H524)</f>
        <v/>
      </c>
      <c r="X524" s="47" t="str">
        <f aca="false">IF($B524="","",IF($U524&gt;0,"Event attendee",IF($G524="Yes","Met (no event)",IF($T524&gt;0,"Invited only",IF(OR($L524="Yes",$M524="Yes"),"Contacted only","Not yet contacted")))))</f>
        <v/>
      </c>
      <c r="Y524" s="47" t="str">
        <f aca="false">IF($B524="","",COUNTIF(c_Firm,"&lt;"&amp;$D524)+COUNTIFS(c_Firm,$D524,c_Name,"&lt;"&amp;$B524)+COUNTIFS($D$2:$D524,$D524,$B$2:$B524,$B524))</f>
        <v/>
      </c>
      <c r="Z524" s="47" t="str">
        <f aca="false">IF($B524="","",IF(AND(OR(Contacts!$C$3="(All)",$D524=Contacts!$C$3),OR(Contacts!$E$3="(All)",$G524=Contacts!$E$3),OR(Contacts!$G$3="(All)",ISNUMBER(SEARCH(Contacts!$G$3,$V524))),OR(Contacts!$I$3="(All)",$X524=Contacts!$I$3),OR(Contacts!$K$3="",ISNUMBER(SEARCH(Contacts!$K$3,$B524&amp;" "&amp;$C524&amp;" "&amp;$D524&amp;" "&amp;$S524)))),1,0))</f>
        <v/>
      </c>
      <c r="AA524" s="47" t="str">
        <f aca="false">IF($Z524=1,COUNTIFS(c_Pass,1,c_Sort,"&lt;="&amp;$Y524),"")</f>
        <v/>
      </c>
      <c r="AB524" s="47" t="str">
        <f aca="false">IF(OR($G524&lt;&gt;"Yes",NOT(ISNUMBER($H524))),"",COUNTIFS(c_Met,"Yes",c_Date,"&lt;"&amp;$H524)+COUNTIFS($G$2:$G524,"Yes",$H$2:$H524,$H524))</f>
        <v/>
      </c>
    </row>
    <row r="525" customFormat="false" ht="15" hidden="false" customHeight="false" outlineLevel="0" collapsed="false">
      <c r="A525" s="44" t="str">
        <f aca="false">IF($B525="","",COUNTA($B$2:$B525))</f>
        <v/>
      </c>
      <c r="B525" s="11"/>
      <c r="C525" s="11"/>
      <c r="D525" s="11"/>
      <c r="E525" s="11"/>
      <c r="F525" s="11"/>
      <c r="G525" s="34"/>
      <c r="H525" s="25"/>
      <c r="I525" s="40"/>
      <c r="J525" s="34"/>
      <c r="K525" s="45"/>
      <c r="L525" s="34"/>
      <c r="M525" s="34"/>
      <c r="N525" s="11"/>
      <c r="O525" s="11"/>
      <c r="P525" s="11"/>
      <c r="Q525" s="11"/>
      <c r="R525" s="11"/>
      <c r="S525" s="46"/>
      <c r="T525" s="44" t="str">
        <f aca="false">IF($B525="","",COUNTA($N525:$R525)-COUNTIF($N525:$R525,"Not Invited"))</f>
        <v/>
      </c>
      <c r="U525" s="44" t="str">
        <f aca="false">IF($B525="","",COUNTIF($N525:$R525,"Attended"))</f>
        <v/>
      </c>
      <c r="V525" s="47" t="str">
        <f aca="false">IF($B525="","",_xlfn.TEXTJOIN(", ",TRUE(),IF($N525="Attended",Setup!$D$15,""),IF($O525="Attended",Setup!$D$16,""),IF($P525="Attended",Setup!$D$17,""),IF($Q525="Attended",Setup!$D$18,""),IF($R525="Attended",Setup!$D$19,"")))</f>
        <v/>
      </c>
      <c r="W525" s="48" t="str">
        <f aca="true">IF(OR($B525="",NOT(ISNUMBER($H525))),"",TODAY()-$H525)</f>
        <v/>
      </c>
      <c r="X525" s="47" t="str">
        <f aca="false">IF($B525="","",IF($U525&gt;0,"Event attendee",IF($G525="Yes","Met (no event)",IF($T525&gt;0,"Invited only",IF(OR($L525="Yes",$M525="Yes"),"Contacted only","Not yet contacted")))))</f>
        <v/>
      </c>
      <c r="Y525" s="47" t="str">
        <f aca="false">IF($B525="","",COUNTIF(c_Firm,"&lt;"&amp;$D525)+COUNTIFS(c_Firm,$D525,c_Name,"&lt;"&amp;$B525)+COUNTIFS($D$2:$D525,$D525,$B$2:$B525,$B525))</f>
        <v/>
      </c>
      <c r="Z525" s="47" t="str">
        <f aca="false">IF($B525="","",IF(AND(OR(Contacts!$C$3="(All)",$D525=Contacts!$C$3),OR(Contacts!$E$3="(All)",$G525=Contacts!$E$3),OR(Contacts!$G$3="(All)",ISNUMBER(SEARCH(Contacts!$G$3,$V525))),OR(Contacts!$I$3="(All)",$X525=Contacts!$I$3),OR(Contacts!$K$3="",ISNUMBER(SEARCH(Contacts!$K$3,$B525&amp;" "&amp;$C525&amp;" "&amp;$D525&amp;" "&amp;$S525)))),1,0))</f>
        <v/>
      </c>
      <c r="AA525" s="47" t="str">
        <f aca="false">IF($Z525=1,COUNTIFS(c_Pass,1,c_Sort,"&lt;="&amp;$Y525),"")</f>
        <v/>
      </c>
      <c r="AB525" s="47" t="str">
        <f aca="false">IF(OR($G525&lt;&gt;"Yes",NOT(ISNUMBER($H525))),"",COUNTIFS(c_Met,"Yes",c_Date,"&lt;"&amp;$H525)+COUNTIFS($G$2:$G525,"Yes",$H$2:$H525,$H525))</f>
        <v/>
      </c>
    </row>
    <row r="526" customFormat="false" ht="15" hidden="false" customHeight="false" outlineLevel="0" collapsed="false">
      <c r="A526" s="44" t="str">
        <f aca="false">IF($B526="","",COUNTA($B$2:$B526))</f>
        <v/>
      </c>
      <c r="B526" s="11"/>
      <c r="C526" s="11"/>
      <c r="D526" s="11"/>
      <c r="E526" s="11"/>
      <c r="F526" s="11"/>
      <c r="G526" s="34"/>
      <c r="H526" s="25"/>
      <c r="I526" s="40"/>
      <c r="J526" s="34"/>
      <c r="K526" s="45"/>
      <c r="L526" s="34"/>
      <c r="M526" s="34"/>
      <c r="N526" s="11"/>
      <c r="O526" s="11"/>
      <c r="P526" s="11"/>
      <c r="Q526" s="11"/>
      <c r="R526" s="11"/>
      <c r="S526" s="46"/>
      <c r="T526" s="44" t="str">
        <f aca="false">IF($B526="","",COUNTA($N526:$R526)-COUNTIF($N526:$R526,"Not Invited"))</f>
        <v/>
      </c>
      <c r="U526" s="44" t="str">
        <f aca="false">IF($B526="","",COUNTIF($N526:$R526,"Attended"))</f>
        <v/>
      </c>
      <c r="V526" s="47" t="str">
        <f aca="false">IF($B526="","",_xlfn.TEXTJOIN(", ",TRUE(),IF($N526="Attended",Setup!$D$15,""),IF($O526="Attended",Setup!$D$16,""),IF($P526="Attended",Setup!$D$17,""),IF($Q526="Attended",Setup!$D$18,""),IF($R526="Attended",Setup!$D$19,"")))</f>
        <v/>
      </c>
      <c r="W526" s="48" t="str">
        <f aca="true">IF(OR($B526="",NOT(ISNUMBER($H526))),"",TODAY()-$H526)</f>
        <v/>
      </c>
      <c r="X526" s="47" t="str">
        <f aca="false">IF($B526="","",IF($U526&gt;0,"Event attendee",IF($G526="Yes","Met (no event)",IF($T526&gt;0,"Invited only",IF(OR($L526="Yes",$M526="Yes"),"Contacted only","Not yet contacted")))))</f>
        <v/>
      </c>
      <c r="Y526" s="47" t="str">
        <f aca="false">IF($B526="","",COUNTIF(c_Firm,"&lt;"&amp;$D526)+COUNTIFS(c_Firm,$D526,c_Name,"&lt;"&amp;$B526)+COUNTIFS($D$2:$D526,$D526,$B$2:$B526,$B526))</f>
        <v/>
      </c>
      <c r="Z526" s="47" t="str">
        <f aca="false">IF($B526="","",IF(AND(OR(Contacts!$C$3="(All)",$D526=Contacts!$C$3),OR(Contacts!$E$3="(All)",$G526=Contacts!$E$3),OR(Contacts!$G$3="(All)",ISNUMBER(SEARCH(Contacts!$G$3,$V526))),OR(Contacts!$I$3="(All)",$X526=Contacts!$I$3),OR(Contacts!$K$3="",ISNUMBER(SEARCH(Contacts!$K$3,$B526&amp;" "&amp;$C526&amp;" "&amp;$D526&amp;" "&amp;$S526)))),1,0))</f>
        <v/>
      </c>
      <c r="AA526" s="47" t="str">
        <f aca="false">IF($Z526=1,COUNTIFS(c_Pass,1,c_Sort,"&lt;="&amp;$Y526),"")</f>
        <v/>
      </c>
      <c r="AB526" s="47" t="str">
        <f aca="false">IF(OR($G526&lt;&gt;"Yes",NOT(ISNUMBER($H526))),"",COUNTIFS(c_Met,"Yes",c_Date,"&lt;"&amp;$H526)+COUNTIFS($G$2:$G526,"Yes",$H$2:$H526,$H526))</f>
        <v/>
      </c>
    </row>
    <row r="527" customFormat="false" ht="15" hidden="false" customHeight="false" outlineLevel="0" collapsed="false">
      <c r="A527" s="44" t="str">
        <f aca="false">IF($B527="","",COUNTA($B$2:$B527))</f>
        <v/>
      </c>
      <c r="B527" s="11"/>
      <c r="C527" s="11"/>
      <c r="D527" s="11"/>
      <c r="E527" s="11"/>
      <c r="F527" s="11"/>
      <c r="G527" s="34"/>
      <c r="H527" s="25"/>
      <c r="I527" s="40"/>
      <c r="J527" s="34"/>
      <c r="K527" s="45"/>
      <c r="L527" s="34"/>
      <c r="M527" s="34"/>
      <c r="N527" s="11"/>
      <c r="O527" s="11"/>
      <c r="P527" s="11"/>
      <c r="Q527" s="11"/>
      <c r="R527" s="11"/>
      <c r="S527" s="46"/>
      <c r="T527" s="44" t="str">
        <f aca="false">IF($B527="","",COUNTA($N527:$R527)-COUNTIF($N527:$R527,"Not Invited"))</f>
        <v/>
      </c>
      <c r="U527" s="44" t="str">
        <f aca="false">IF($B527="","",COUNTIF($N527:$R527,"Attended"))</f>
        <v/>
      </c>
      <c r="V527" s="47" t="str">
        <f aca="false">IF($B527="","",_xlfn.TEXTJOIN(", ",TRUE(),IF($N527="Attended",Setup!$D$15,""),IF($O527="Attended",Setup!$D$16,""),IF($P527="Attended",Setup!$D$17,""),IF($Q527="Attended",Setup!$D$18,""),IF($R527="Attended",Setup!$D$19,"")))</f>
        <v/>
      </c>
      <c r="W527" s="48" t="str">
        <f aca="true">IF(OR($B527="",NOT(ISNUMBER($H527))),"",TODAY()-$H527)</f>
        <v/>
      </c>
      <c r="X527" s="47" t="str">
        <f aca="false">IF($B527="","",IF($U527&gt;0,"Event attendee",IF($G527="Yes","Met (no event)",IF($T527&gt;0,"Invited only",IF(OR($L527="Yes",$M527="Yes"),"Contacted only","Not yet contacted")))))</f>
        <v/>
      </c>
      <c r="Y527" s="47" t="str">
        <f aca="false">IF($B527="","",COUNTIF(c_Firm,"&lt;"&amp;$D527)+COUNTIFS(c_Firm,$D527,c_Name,"&lt;"&amp;$B527)+COUNTIFS($D$2:$D527,$D527,$B$2:$B527,$B527))</f>
        <v/>
      </c>
      <c r="Z527" s="47" t="str">
        <f aca="false">IF($B527="","",IF(AND(OR(Contacts!$C$3="(All)",$D527=Contacts!$C$3),OR(Contacts!$E$3="(All)",$G527=Contacts!$E$3),OR(Contacts!$G$3="(All)",ISNUMBER(SEARCH(Contacts!$G$3,$V527))),OR(Contacts!$I$3="(All)",$X527=Contacts!$I$3),OR(Contacts!$K$3="",ISNUMBER(SEARCH(Contacts!$K$3,$B527&amp;" "&amp;$C527&amp;" "&amp;$D527&amp;" "&amp;$S527)))),1,0))</f>
        <v/>
      </c>
      <c r="AA527" s="47" t="str">
        <f aca="false">IF($Z527=1,COUNTIFS(c_Pass,1,c_Sort,"&lt;="&amp;$Y527),"")</f>
        <v/>
      </c>
      <c r="AB527" s="47" t="str">
        <f aca="false">IF(OR($G527&lt;&gt;"Yes",NOT(ISNUMBER($H527))),"",COUNTIFS(c_Met,"Yes",c_Date,"&lt;"&amp;$H527)+COUNTIFS($G$2:$G527,"Yes",$H$2:$H527,$H527))</f>
        <v/>
      </c>
    </row>
    <row r="528" customFormat="false" ht="15" hidden="false" customHeight="false" outlineLevel="0" collapsed="false">
      <c r="A528" s="44" t="str">
        <f aca="false">IF($B528="","",COUNTA($B$2:$B528))</f>
        <v/>
      </c>
      <c r="B528" s="11"/>
      <c r="C528" s="11"/>
      <c r="D528" s="11"/>
      <c r="E528" s="11"/>
      <c r="F528" s="11"/>
      <c r="G528" s="34"/>
      <c r="H528" s="25"/>
      <c r="I528" s="40"/>
      <c r="J528" s="34"/>
      <c r="K528" s="45"/>
      <c r="L528" s="34"/>
      <c r="M528" s="34"/>
      <c r="N528" s="11"/>
      <c r="O528" s="11"/>
      <c r="P528" s="11"/>
      <c r="Q528" s="11"/>
      <c r="R528" s="11"/>
      <c r="S528" s="46"/>
      <c r="T528" s="44" t="str">
        <f aca="false">IF($B528="","",COUNTA($N528:$R528)-COUNTIF($N528:$R528,"Not Invited"))</f>
        <v/>
      </c>
      <c r="U528" s="44" t="str">
        <f aca="false">IF($B528="","",COUNTIF($N528:$R528,"Attended"))</f>
        <v/>
      </c>
      <c r="V528" s="47" t="str">
        <f aca="false">IF($B528="","",_xlfn.TEXTJOIN(", ",TRUE(),IF($N528="Attended",Setup!$D$15,""),IF($O528="Attended",Setup!$D$16,""),IF($P528="Attended",Setup!$D$17,""),IF($Q528="Attended",Setup!$D$18,""),IF($R528="Attended",Setup!$D$19,"")))</f>
        <v/>
      </c>
      <c r="W528" s="48" t="str">
        <f aca="true">IF(OR($B528="",NOT(ISNUMBER($H528))),"",TODAY()-$H528)</f>
        <v/>
      </c>
      <c r="X528" s="47" t="str">
        <f aca="false">IF($B528="","",IF($U528&gt;0,"Event attendee",IF($G528="Yes","Met (no event)",IF($T528&gt;0,"Invited only",IF(OR($L528="Yes",$M528="Yes"),"Contacted only","Not yet contacted")))))</f>
        <v/>
      </c>
      <c r="Y528" s="47" t="str">
        <f aca="false">IF($B528="","",COUNTIF(c_Firm,"&lt;"&amp;$D528)+COUNTIFS(c_Firm,$D528,c_Name,"&lt;"&amp;$B528)+COUNTIFS($D$2:$D528,$D528,$B$2:$B528,$B528))</f>
        <v/>
      </c>
      <c r="Z528" s="47" t="str">
        <f aca="false">IF($B528="","",IF(AND(OR(Contacts!$C$3="(All)",$D528=Contacts!$C$3),OR(Contacts!$E$3="(All)",$G528=Contacts!$E$3),OR(Contacts!$G$3="(All)",ISNUMBER(SEARCH(Contacts!$G$3,$V528))),OR(Contacts!$I$3="(All)",$X528=Contacts!$I$3),OR(Contacts!$K$3="",ISNUMBER(SEARCH(Contacts!$K$3,$B528&amp;" "&amp;$C528&amp;" "&amp;$D528&amp;" "&amp;$S528)))),1,0))</f>
        <v/>
      </c>
      <c r="AA528" s="47" t="str">
        <f aca="false">IF($Z528=1,COUNTIFS(c_Pass,1,c_Sort,"&lt;="&amp;$Y528),"")</f>
        <v/>
      </c>
      <c r="AB528" s="47" t="str">
        <f aca="false">IF(OR($G528&lt;&gt;"Yes",NOT(ISNUMBER($H528))),"",COUNTIFS(c_Met,"Yes",c_Date,"&lt;"&amp;$H528)+COUNTIFS($G$2:$G528,"Yes",$H$2:$H528,$H528))</f>
        <v/>
      </c>
    </row>
    <row r="529" customFormat="false" ht="15" hidden="false" customHeight="false" outlineLevel="0" collapsed="false">
      <c r="A529" s="44" t="str">
        <f aca="false">IF($B529="","",COUNTA($B$2:$B529))</f>
        <v/>
      </c>
      <c r="B529" s="11"/>
      <c r="C529" s="11"/>
      <c r="D529" s="11"/>
      <c r="E529" s="11"/>
      <c r="F529" s="11"/>
      <c r="G529" s="34"/>
      <c r="H529" s="25"/>
      <c r="I529" s="40"/>
      <c r="J529" s="34"/>
      <c r="K529" s="45"/>
      <c r="L529" s="34"/>
      <c r="M529" s="34"/>
      <c r="N529" s="11"/>
      <c r="O529" s="11"/>
      <c r="P529" s="11"/>
      <c r="Q529" s="11"/>
      <c r="R529" s="11"/>
      <c r="S529" s="46"/>
      <c r="T529" s="44" t="str">
        <f aca="false">IF($B529="","",COUNTA($N529:$R529)-COUNTIF($N529:$R529,"Not Invited"))</f>
        <v/>
      </c>
      <c r="U529" s="44" t="str">
        <f aca="false">IF($B529="","",COUNTIF($N529:$R529,"Attended"))</f>
        <v/>
      </c>
      <c r="V529" s="47" t="str">
        <f aca="false">IF($B529="","",_xlfn.TEXTJOIN(", ",TRUE(),IF($N529="Attended",Setup!$D$15,""),IF($O529="Attended",Setup!$D$16,""),IF($P529="Attended",Setup!$D$17,""),IF($Q529="Attended",Setup!$D$18,""),IF($R529="Attended",Setup!$D$19,"")))</f>
        <v/>
      </c>
      <c r="W529" s="48" t="str">
        <f aca="true">IF(OR($B529="",NOT(ISNUMBER($H529))),"",TODAY()-$H529)</f>
        <v/>
      </c>
      <c r="X529" s="47" t="str">
        <f aca="false">IF($B529="","",IF($U529&gt;0,"Event attendee",IF($G529="Yes","Met (no event)",IF($T529&gt;0,"Invited only",IF(OR($L529="Yes",$M529="Yes"),"Contacted only","Not yet contacted")))))</f>
        <v/>
      </c>
      <c r="Y529" s="47" t="str">
        <f aca="false">IF($B529="","",COUNTIF(c_Firm,"&lt;"&amp;$D529)+COUNTIFS(c_Firm,$D529,c_Name,"&lt;"&amp;$B529)+COUNTIFS($D$2:$D529,$D529,$B$2:$B529,$B529))</f>
        <v/>
      </c>
      <c r="Z529" s="47" t="str">
        <f aca="false">IF($B529="","",IF(AND(OR(Contacts!$C$3="(All)",$D529=Contacts!$C$3),OR(Contacts!$E$3="(All)",$G529=Contacts!$E$3),OR(Contacts!$G$3="(All)",ISNUMBER(SEARCH(Contacts!$G$3,$V529))),OR(Contacts!$I$3="(All)",$X529=Contacts!$I$3),OR(Contacts!$K$3="",ISNUMBER(SEARCH(Contacts!$K$3,$B529&amp;" "&amp;$C529&amp;" "&amp;$D529&amp;" "&amp;$S529)))),1,0))</f>
        <v/>
      </c>
      <c r="AA529" s="47" t="str">
        <f aca="false">IF($Z529=1,COUNTIFS(c_Pass,1,c_Sort,"&lt;="&amp;$Y529),"")</f>
        <v/>
      </c>
      <c r="AB529" s="47" t="str">
        <f aca="false">IF(OR($G529&lt;&gt;"Yes",NOT(ISNUMBER($H529))),"",COUNTIFS(c_Met,"Yes",c_Date,"&lt;"&amp;$H529)+COUNTIFS($G$2:$G529,"Yes",$H$2:$H529,$H529))</f>
        <v/>
      </c>
    </row>
    <row r="530" customFormat="false" ht="15" hidden="false" customHeight="false" outlineLevel="0" collapsed="false">
      <c r="A530" s="44" t="str">
        <f aca="false">IF($B530="","",COUNTA($B$2:$B530))</f>
        <v/>
      </c>
      <c r="B530" s="11"/>
      <c r="C530" s="11"/>
      <c r="D530" s="11"/>
      <c r="E530" s="11"/>
      <c r="F530" s="11"/>
      <c r="G530" s="34"/>
      <c r="H530" s="25"/>
      <c r="I530" s="40"/>
      <c r="J530" s="34"/>
      <c r="K530" s="45"/>
      <c r="L530" s="34"/>
      <c r="M530" s="34"/>
      <c r="N530" s="11"/>
      <c r="O530" s="11"/>
      <c r="P530" s="11"/>
      <c r="Q530" s="11"/>
      <c r="R530" s="11"/>
      <c r="S530" s="46"/>
      <c r="T530" s="44" t="str">
        <f aca="false">IF($B530="","",COUNTA($N530:$R530)-COUNTIF($N530:$R530,"Not Invited"))</f>
        <v/>
      </c>
      <c r="U530" s="44" t="str">
        <f aca="false">IF($B530="","",COUNTIF($N530:$R530,"Attended"))</f>
        <v/>
      </c>
      <c r="V530" s="47" t="str">
        <f aca="false">IF($B530="","",_xlfn.TEXTJOIN(", ",TRUE(),IF($N530="Attended",Setup!$D$15,""),IF($O530="Attended",Setup!$D$16,""),IF($P530="Attended",Setup!$D$17,""),IF($Q530="Attended",Setup!$D$18,""),IF($R530="Attended",Setup!$D$19,"")))</f>
        <v/>
      </c>
      <c r="W530" s="48" t="str">
        <f aca="true">IF(OR($B530="",NOT(ISNUMBER($H530))),"",TODAY()-$H530)</f>
        <v/>
      </c>
      <c r="X530" s="47" t="str">
        <f aca="false">IF($B530="","",IF($U530&gt;0,"Event attendee",IF($G530="Yes","Met (no event)",IF($T530&gt;0,"Invited only",IF(OR($L530="Yes",$M530="Yes"),"Contacted only","Not yet contacted")))))</f>
        <v/>
      </c>
      <c r="Y530" s="47" t="str">
        <f aca="false">IF($B530="","",COUNTIF(c_Firm,"&lt;"&amp;$D530)+COUNTIFS(c_Firm,$D530,c_Name,"&lt;"&amp;$B530)+COUNTIFS($D$2:$D530,$D530,$B$2:$B530,$B530))</f>
        <v/>
      </c>
      <c r="Z530" s="47" t="str">
        <f aca="false">IF($B530="","",IF(AND(OR(Contacts!$C$3="(All)",$D530=Contacts!$C$3),OR(Contacts!$E$3="(All)",$G530=Contacts!$E$3),OR(Contacts!$G$3="(All)",ISNUMBER(SEARCH(Contacts!$G$3,$V530))),OR(Contacts!$I$3="(All)",$X530=Contacts!$I$3),OR(Contacts!$K$3="",ISNUMBER(SEARCH(Contacts!$K$3,$B530&amp;" "&amp;$C530&amp;" "&amp;$D530&amp;" "&amp;$S530)))),1,0))</f>
        <v/>
      </c>
      <c r="AA530" s="47" t="str">
        <f aca="false">IF($Z530=1,COUNTIFS(c_Pass,1,c_Sort,"&lt;="&amp;$Y530),"")</f>
        <v/>
      </c>
      <c r="AB530" s="47" t="str">
        <f aca="false">IF(OR($G530&lt;&gt;"Yes",NOT(ISNUMBER($H530))),"",COUNTIFS(c_Met,"Yes",c_Date,"&lt;"&amp;$H530)+COUNTIFS($G$2:$G530,"Yes",$H$2:$H530,$H530))</f>
        <v/>
      </c>
    </row>
    <row r="531" customFormat="false" ht="15" hidden="false" customHeight="false" outlineLevel="0" collapsed="false">
      <c r="A531" s="44" t="str">
        <f aca="false">IF($B531="","",COUNTA($B$2:$B531))</f>
        <v/>
      </c>
      <c r="B531" s="11"/>
      <c r="C531" s="11"/>
      <c r="D531" s="11"/>
      <c r="E531" s="11"/>
      <c r="F531" s="11"/>
      <c r="G531" s="34"/>
      <c r="H531" s="25"/>
      <c r="I531" s="40"/>
      <c r="J531" s="34"/>
      <c r="K531" s="45"/>
      <c r="L531" s="34"/>
      <c r="M531" s="34"/>
      <c r="N531" s="11"/>
      <c r="O531" s="11"/>
      <c r="P531" s="11"/>
      <c r="Q531" s="11"/>
      <c r="R531" s="11"/>
      <c r="S531" s="46"/>
      <c r="T531" s="44" t="str">
        <f aca="false">IF($B531="","",COUNTA($N531:$R531)-COUNTIF($N531:$R531,"Not Invited"))</f>
        <v/>
      </c>
      <c r="U531" s="44" t="str">
        <f aca="false">IF($B531="","",COUNTIF($N531:$R531,"Attended"))</f>
        <v/>
      </c>
      <c r="V531" s="47" t="str">
        <f aca="false">IF($B531="","",_xlfn.TEXTJOIN(", ",TRUE(),IF($N531="Attended",Setup!$D$15,""),IF($O531="Attended",Setup!$D$16,""),IF($P531="Attended",Setup!$D$17,""),IF($Q531="Attended",Setup!$D$18,""),IF($R531="Attended",Setup!$D$19,"")))</f>
        <v/>
      </c>
      <c r="W531" s="48" t="str">
        <f aca="true">IF(OR($B531="",NOT(ISNUMBER($H531))),"",TODAY()-$H531)</f>
        <v/>
      </c>
      <c r="X531" s="47" t="str">
        <f aca="false">IF($B531="","",IF($U531&gt;0,"Event attendee",IF($G531="Yes","Met (no event)",IF($T531&gt;0,"Invited only",IF(OR($L531="Yes",$M531="Yes"),"Contacted only","Not yet contacted")))))</f>
        <v/>
      </c>
      <c r="Y531" s="47" t="str">
        <f aca="false">IF($B531="","",COUNTIF(c_Firm,"&lt;"&amp;$D531)+COUNTIFS(c_Firm,$D531,c_Name,"&lt;"&amp;$B531)+COUNTIFS($D$2:$D531,$D531,$B$2:$B531,$B531))</f>
        <v/>
      </c>
      <c r="Z531" s="47" t="str">
        <f aca="false">IF($B531="","",IF(AND(OR(Contacts!$C$3="(All)",$D531=Contacts!$C$3),OR(Contacts!$E$3="(All)",$G531=Contacts!$E$3),OR(Contacts!$G$3="(All)",ISNUMBER(SEARCH(Contacts!$G$3,$V531))),OR(Contacts!$I$3="(All)",$X531=Contacts!$I$3),OR(Contacts!$K$3="",ISNUMBER(SEARCH(Contacts!$K$3,$B531&amp;" "&amp;$C531&amp;" "&amp;$D531&amp;" "&amp;$S531)))),1,0))</f>
        <v/>
      </c>
      <c r="AA531" s="47" t="str">
        <f aca="false">IF($Z531=1,COUNTIFS(c_Pass,1,c_Sort,"&lt;="&amp;$Y531),"")</f>
        <v/>
      </c>
      <c r="AB531" s="47" t="str">
        <f aca="false">IF(OR($G531&lt;&gt;"Yes",NOT(ISNUMBER($H531))),"",COUNTIFS(c_Met,"Yes",c_Date,"&lt;"&amp;$H531)+COUNTIFS($G$2:$G531,"Yes",$H$2:$H531,$H531))</f>
        <v/>
      </c>
    </row>
    <row r="532" customFormat="false" ht="15" hidden="false" customHeight="false" outlineLevel="0" collapsed="false">
      <c r="A532" s="44" t="str">
        <f aca="false">IF($B532="","",COUNTA($B$2:$B532))</f>
        <v/>
      </c>
      <c r="B532" s="11"/>
      <c r="C532" s="11"/>
      <c r="D532" s="11"/>
      <c r="E532" s="11"/>
      <c r="F532" s="11"/>
      <c r="G532" s="34"/>
      <c r="H532" s="25"/>
      <c r="I532" s="40"/>
      <c r="J532" s="34"/>
      <c r="K532" s="45"/>
      <c r="L532" s="34"/>
      <c r="M532" s="34"/>
      <c r="N532" s="11"/>
      <c r="O532" s="11"/>
      <c r="P532" s="11"/>
      <c r="Q532" s="11"/>
      <c r="R532" s="11"/>
      <c r="S532" s="46"/>
      <c r="T532" s="44" t="str">
        <f aca="false">IF($B532="","",COUNTA($N532:$R532)-COUNTIF($N532:$R532,"Not Invited"))</f>
        <v/>
      </c>
      <c r="U532" s="44" t="str">
        <f aca="false">IF($B532="","",COUNTIF($N532:$R532,"Attended"))</f>
        <v/>
      </c>
      <c r="V532" s="47" t="str">
        <f aca="false">IF($B532="","",_xlfn.TEXTJOIN(", ",TRUE(),IF($N532="Attended",Setup!$D$15,""),IF($O532="Attended",Setup!$D$16,""),IF($P532="Attended",Setup!$D$17,""),IF($Q532="Attended",Setup!$D$18,""),IF($R532="Attended",Setup!$D$19,"")))</f>
        <v/>
      </c>
      <c r="W532" s="48" t="str">
        <f aca="true">IF(OR($B532="",NOT(ISNUMBER($H532))),"",TODAY()-$H532)</f>
        <v/>
      </c>
      <c r="X532" s="47" t="str">
        <f aca="false">IF($B532="","",IF($U532&gt;0,"Event attendee",IF($G532="Yes","Met (no event)",IF($T532&gt;0,"Invited only",IF(OR($L532="Yes",$M532="Yes"),"Contacted only","Not yet contacted")))))</f>
        <v/>
      </c>
      <c r="Y532" s="47" t="str">
        <f aca="false">IF($B532="","",COUNTIF(c_Firm,"&lt;"&amp;$D532)+COUNTIFS(c_Firm,$D532,c_Name,"&lt;"&amp;$B532)+COUNTIFS($D$2:$D532,$D532,$B$2:$B532,$B532))</f>
        <v/>
      </c>
      <c r="Z532" s="47" t="str">
        <f aca="false">IF($B532="","",IF(AND(OR(Contacts!$C$3="(All)",$D532=Contacts!$C$3),OR(Contacts!$E$3="(All)",$G532=Contacts!$E$3),OR(Contacts!$G$3="(All)",ISNUMBER(SEARCH(Contacts!$G$3,$V532))),OR(Contacts!$I$3="(All)",$X532=Contacts!$I$3),OR(Contacts!$K$3="",ISNUMBER(SEARCH(Contacts!$K$3,$B532&amp;" "&amp;$C532&amp;" "&amp;$D532&amp;" "&amp;$S532)))),1,0))</f>
        <v/>
      </c>
      <c r="AA532" s="47" t="str">
        <f aca="false">IF($Z532=1,COUNTIFS(c_Pass,1,c_Sort,"&lt;="&amp;$Y532),"")</f>
        <v/>
      </c>
      <c r="AB532" s="47" t="str">
        <f aca="false">IF(OR($G532&lt;&gt;"Yes",NOT(ISNUMBER($H532))),"",COUNTIFS(c_Met,"Yes",c_Date,"&lt;"&amp;$H532)+COUNTIFS($G$2:$G532,"Yes",$H$2:$H532,$H532))</f>
        <v/>
      </c>
    </row>
    <row r="533" customFormat="false" ht="15" hidden="false" customHeight="false" outlineLevel="0" collapsed="false">
      <c r="A533" s="44" t="str">
        <f aca="false">IF($B533="","",COUNTA($B$2:$B533))</f>
        <v/>
      </c>
      <c r="B533" s="11"/>
      <c r="C533" s="11"/>
      <c r="D533" s="11"/>
      <c r="E533" s="11"/>
      <c r="F533" s="11"/>
      <c r="G533" s="34"/>
      <c r="H533" s="25"/>
      <c r="I533" s="40"/>
      <c r="J533" s="34"/>
      <c r="K533" s="45"/>
      <c r="L533" s="34"/>
      <c r="M533" s="34"/>
      <c r="N533" s="11"/>
      <c r="O533" s="11"/>
      <c r="P533" s="11"/>
      <c r="Q533" s="11"/>
      <c r="R533" s="11"/>
      <c r="S533" s="46"/>
      <c r="T533" s="44" t="str">
        <f aca="false">IF($B533="","",COUNTA($N533:$R533)-COUNTIF($N533:$R533,"Not Invited"))</f>
        <v/>
      </c>
      <c r="U533" s="44" t="str">
        <f aca="false">IF($B533="","",COUNTIF($N533:$R533,"Attended"))</f>
        <v/>
      </c>
      <c r="V533" s="47" t="str">
        <f aca="false">IF($B533="","",_xlfn.TEXTJOIN(", ",TRUE(),IF($N533="Attended",Setup!$D$15,""),IF($O533="Attended",Setup!$D$16,""),IF($P533="Attended",Setup!$D$17,""),IF($Q533="Attended",Setup!$D$18,""),IF($R533="Attended",Setup!$D$19,"")))</f>
        <v/>
      </c>
      <c r="W533" s="48" t="str">
        <f aca="true">IF(OR($B533="",NOT(ISNUMBER($H533))),"",TODAY()-$H533)</f>
        <v/>
      </c>
      <c r="X533" s="47" t="str">
        <f aca="false">IF($B533="","",IF($U533&gt;0,"Event attendee",IF($G533="Yes","Met (no event)",IF($T533&gt;0,"Invited only",IF(OR($L533="Yes",$M533="Yes"),"Contacted only","Not yet contacted")))))</f>
        <v/>
      </c>
      <c r="Y533" s="47" t="str">
        <f aca="false">IF($B533="","",COUNTIF(c_Firm,"&lt;"&amp;$D533)+COUNTIFS(c_Firm,$D533,c_Name,"&lt;"&amp;$B533)+COUNTIFS($D$2:$D533,$D533,$B$2:$B533,$B533))</f>
        <v/>
      </c>
      <c r="Z533" s="47" t="str">
        <f aca="false">IF($B533="","",IF(AND(OR(Contacts!$C$3="(All)",$D533=Contacts!$C$3),OR(Contacts!$E$3="(All)",$G533=Contacts!$E$3),OR(Contacts!$G$3="(All)",ISNUMBER(SEARCH(Contacts!$G$3,$V533))),OR(Contacts!$I$3="(All)",$X533=Contacts!$I$3),OR(Contacts!$K$3="",ISNUMBER(SEARCH(Contacts!$K$3,$B533&amp;" "&amp;$C533&amp;" "&amp;$D533&amp;" "&amp;$S533)))),1,0))</f>
        <v/>
      </c>
      <c r="AA533" s="47" t="str">
        <f aca="false">IF($Z533=1,COUNTIFS(c_Pass,1,c_Sort,"&lt;="&amp;$Y533),"")</f>
        <v/>
      </c>
      <c r="AB533" s="47" t="str">
        <f aca="false">IF(OR($G533&lt;&gt;"Yes",NOT(ISNUMBER($H533))),"",COUNTIFS(c_Met,"Yes",c_Date,"&lt;"&amp;$H533)+COUNTIFS($G$2:$G533,"Yes",$H$2:$H533,$H533))</f>
        <v/>
      </c>
    </row>
    <row r="534" customFormat="false" ht="15" hidden="false" customHeight="false" outlineLevel="0" collapsed="false">
      <c r="A534" s="44" t="str">
        <f aca="false">IF($B534="","",COUNTA($B$2:$B534))</f>
        <v/>
      </c>
      <c r="B534" s="11"/>
      <c r="C534" s="11"/>
      <c r="D534" s="11"/>
      <c r="E534" s="11"/>
      <c r="F534" s="11"/>
      <c r="G534" s="34"/>
      <c r="H534" s="25"/>
      <c r="I534" s="40"/>
      <c r="J534" s="34"/>
      <c r="K534" s="45"/>
      <c r="L534" s="34"/>
      <c r="M534" s="34"/>
      <c r="N534" s="11"/>
      <c r="O534" s="11"/>
      <c r="P534" s="11"/>
      <c r="Q534" s="11"/>
      <c r="R534" s="11"/>
      <c r="S534" s="46"/>
      <c r="T534" s="44" t="str">
        <f aca="false">IF($B534="","",COUNTA($N534:$R534)-COUNTIF($N534:$R534,"Not Invited"))</f>
        <v/>
      </c>
      <c r="U534" s="44" t="str">
        <f aca="false">IF($B534="","",COUNTIF($N534:$R534,"Attended"))</f>
        <v/>
      </c>
      <c r="V534" s="47" t="str">
        <f aca="false">IF($B534="","",_xlfn.TEXTJOIN(", ",TRUE(),IF($N534="Attended",Setup!$D$15,""),IF($O534="Attended",Setup!$D$16,""),IF($P534="Attended",Setup!$D$17,""),IF($Q534="Attended",Setup!$D$18,""),IF($R534="Attended",Setup!$D$19,"")))</f>
        <v/>
      </c>
      <c r="W534" s="48" t="str">
        <f aca="true">IF(OR($B534="",NOT(ISNUMBER($H534))),"",TODAY()-$H534)</f>
        <v/>
      </c>
      <c r="X534" s="47" t="str">
        <f aca="false">IF($B534="","",IF($U534&gt;0,"Event attendee",IF($G534="Yes","Met (no event)",IF($T534&gt;0,"Invited only",IF(OR($L534="Yes",$M534="Yes"),"Contacted only","Not yet contacted")))))</f>
        <v/>
      </c>
      <c r="Y534" s="47" t="str">
        <f aca="false">IF($B534="","",COUNTIF(c_Firm,"&lt;"&amp;$D534)+COUNTIFS(c_Firm,$D534,c_Name,"&lt;"&amp;$B534)+COUNTIFS($D$2:$D534,$D534,$B$2:$B534,$B534))</f>
        <v/>
      </c>
      <c r="Z534" s="47" t="str">
        <f aca="false">IF($B534="","",IF(AND(OR(Contacts!$C$3="(All)",$D534=Contacts!$C$3),OR(Contacts!$E$3="(All)",$G534=Contacts!$E$3),OR(Contacts!$G$3="(All)",ISNUMBER(SEARCH(Contacts!$G$3,$V534))),OR(Contacts!$I$3="(All)",$X534=Contacts!$I$3),OR(Contacts!$K$3="",ISNUMBER(SEARCH(Contacts!$K$3,$B534&amp;" "&amp;$C534&amp;" "&amp;$D534&amp;" "&amp;$S534)))),1,0))</f>
        <v/>
      </c>
      <c r="AA534" s="47" t="str">
        <f aca="false">IF($Z534=1,COUNTIFS(c_Pass,1,c_Sort,"&lt;="&amp;$Y534),"")</f>
        <v/>
      </c>
      <c r="AB534" s="47" t="str">
        <f aca="false">IF(OR($G534&lt;&gt;"Yes",NOT(ISNUMBER($H534))),"",COUNTIFS(c_Met,"Yes",c_Date,"&lt;"&amp;$H534)+COUNTIFS($G$2:$G534,"Yes",$H$2:$H534,$H534))</f>
        <v/>
      </c>
    </row>
    <row r="535" customFormat="false" ht="15" hidden="false" customHeight="false" outlineLevel="0" collapsed="false">
      <c r="A535" s="44" t="str">
        <f aca="false">IF($B535="","",COUNTA($B$2:$B535))</f>
        <v/>
      </c>
      <c r="B535" s="11"/>
      <c r="C535" s="11"/>
      <c r="D535" s="11"/>
      <c r="E535" s="11"/>
      <c r="F535" s="11"/>
      <c r="G535" s="34"/>
      <c r="H535" s="25"/>
      <c r="I535" s="40"/>
      <c r="J535" s="34"/>
      <c r="K535" s="45"/>
      <c r="L535" s="34"/>
      <c r="M535" s="34"/>
      <c r="N535" s="11"/>
      <c r="O535" s="11"/>
      <c r="P535" s="11"/>
      <c r="Q535" s="11"/>
      <c r="R535" s="11"/>
      <c r="S535" s="46"/>
      <c r="T535" s="44" t="str">
        <f aca="false">IF($B535="","",COUNTA($N535:$R535)-COUNTIF($N535:$R535,"Not Invited"))</f>
        <v/>
      </c>
      <c r="U535" s="44" t="str">
        <f aca="false">IF($B535="","",COUNTIF($N535:$R535,"Attended"))</f>
        <v/>
      </c>
      <c r="V535" s="47" t="str">
        <f aca="false">IF($B535="","",_xlfn.TEXTJOIN(", ",TRUE(),IF($N535="Attended",Setup!$D$15,""),IF($O535="Attended",Setup!$D$16,""),IF($P535="Attended",Setup!$D$17,""),IF($Q535="Attended",Setup!$D$18,""),IF($R535="Attended",Setup!$D$19,"")))</f>
        <v/>
      </c>
      <c r="W535" s="48" t="str">
        <f aca="true">IF(OR($B535="",NOT(ISNUMBER($H535))),"",TODAY()-$H535)</f>
        <v/>
      </c>
      <c r="X535" s="47" t="str">
        <f aca="false">IF($B535="","",IF($U535&gt;0,"Event attendee",IF($G535="Yes","Met (no event)",IF($T535&gt;0,"Invited only",IF(OR($L535="Yes",$M535="Yes"),"Contacted only","Not yet contacted")))))</f>
        <v/>
      </c>
      <c r="Y535" s="47" t="str">
        <f aca="false">IF($B535="","",COUNTIF(c_Firm,"&lt;"&amp;$D535)+COUNTIFS(c_Firm,$D535,c_Name,"&lt;"&amp;$B535)+COUNTIFS($D$2:$D535,$D535,$B$2:$B535,$B535))</f>
        <v/>
      </c>
      <c r="Z535" s="47" t="str">
        <f aca="false">IF($B535="","",IF(AND(OR(Contacts!$C$3="(All)",$D535=Contacts!$C$3),OR(Contacts!$E$3="(All)",$G535=Contacts!$E$3),OR(Contacts!$G$3="(All)",ISNUMBER(SEARCH(Contacts!$G$3,$V535))),OR(Contacts!$I$3="(All)",$X535=Contacts!$I$3),OR(Contacts!$K$3="",ISNUMBER(SEARCH(Contacts!$K$3,$B535&amp;" "&amp;$C535&amp;" "&amp;$D535&amp;" "&amp;$S535)))),1,0))</f>
        <v/>
      </c>
      <c r="AA535" s="47" t="str">
        <f aca="false">IF($Z535=1,COUNTIFS(c_Pass,1,c_Sort,"&lt;="&amp;$Y535),"")</f>
        <v/>
      </c>
      <c r="AB535" s="47" t="str">
        <f aca="false">IF(OR($G535&lt;&gt;"Yes",NOT(ISNUMBER($H535))),"",COUNTIFS(c_Met,"Yes",c_Date,"&lt;"&amp;$H535)+COUNTIFS($G$2:$G535,"Yes",$H$2:$H535,$H535))</f>
        <v/>
      </c>
    </row>
    <row r="536" customFormat="false" ht="15" hidden="false" customHeight="false" outlineLevel="0" collapsed="false">
      <c r="A536" s="44" t="str">
        <f aca="false">IF($B536="","",COUNTA($B$2:$B536))</f>
        <v/>
      </c>
      <c r="B536" s="11"/>
      <c r="C536" s="11"/>
      <c r="D536" s="11"/>
      <c r="E536" s="11"/>
      <c r="F536" s="11"/>
      <c r="G536" s="34"/>
      <c r="H536" s="25"/>
      <c r="I536" s="40"/>
      <c r="J536" s="34"/>
      <c r="K536" s="45"/>
      <c r="L536" s="34"/>
      <c r="M536" s="34"/>
      <c r="N536" s="11"/>
      <c r="O536" s="11"/>
      <c r="P536" s="11"/>
      <c r="Q536" s="11"/>
      <c r="R536" s="11"/>
      <c r="S536" s="46"/>
      <c r="T536" s="44" t="str">
        <f aca="false">IF($B536="","",COUNTA($N536:$R536)-COUNTIF($N536:$R536,"Not Invited"))</f>
        <v/>
      </c>
      <c r="U536" s="44" t="str">
        <f aca="false">IF($B536="","",COUNTIF($N536:$R536,"Attended"))</f>
        <v/>
      </c>
      <c r="V536" s="47" t="str">
        <f aca="false">IF($B536="","",_xlfn.TEXTJOIN(", ",TRUE(),IF($N536="Attended",Setup!$D$15,""),IF($O536="Attended",Setup!$D$16,""),IF($P536="Attended",Setup!$D$17,""),IF($Q536="Attended",Setup!$D$18,""),IF($R536="Attended",Setup!$D$19,"")))</f>
        <v/>
      </c>
      <c r="W536" s="48" t="str">
        <f aca="true">IF(OR($B536="",NOT(ISNUMBER($H536))),"",TODAY()-$H536)</f>
        <v/>
      </c>
      <c r="X536" s="47" t="str">
        <f aca="false">IF($B536="","",IF($U536&gt;0,"Event attendee",IF($G536="Yes","Met (no event)",IF($T536&gt;0,"Invited only",IF(OR($L536="Yes",$M536="Yes"),"Contacted only","Not yet contacted")))))</f>
        <v/>
      </c>
      <c r="Y536" s="47" t="str">
        <f aca="false">IF($B536="","",COUNTIF(c_Firm,"&lt;"&amp;$D536)+COUNTIFS(c_Firm,$D536,c_Name,"&lt;"&amp;$B536)+COUNTIFS($D$2:$D536,$D536,$B$2:$B536,$B536))</f>
        <v/>
      </c>
      <c r="Z536" s="47" t="str">
        <f aca="false">IF($B536="","",IF(AND(OR(Contacts!$C$3="(All)",$D536=Contacts!$C$3),OR(Contacts!$E$3="(All)",$G536=Contacts!$E$3),OR(Contacts!$G$3="(All)",ISNUMBER(SEARCH(Contacts!$G$3,$V536))),OR(Contacts!$I$3="(All)",$X536=Contacts!$I$3),OR(Contacts!$K$3="",ISNUMBER(SEARCH(Contacts!$K$3,$B536&amp;" "&amp;$C536&amp;" "&amp;$D536&amp;" "&amp;$S536)))),1,0))</f>
        <v/>
      </c>
      <c r="AA536" s="47" t="str">
        <f aca="false">IF($Z536=1,COUNTIFS(c_Pass,1,c_Sort,"&lt;="&amp;$Y536),"")</f>
        <v/>
      </c>
      <c r="AB536" s="47" t="str">
        <f aca="false">IF(OR($G536&lt;&gt;"Yes",NOT(ISNUMBER($H536))),"",COUNTIFS(c_Met,"Yes",c_Date,"&lt;"&amp;$H536)+COUNTIFS($G$2:$G536,"Yes",$H$2:$H536,$H536))</f>
        <v/>
      </c>
    </row>
    <row r="537" customFormat="false" ht="15" hidden="false" customHeight="false" outlineLevel="0" collapsed="false">
      <c r="A537" s="44" t="str">
        <f aca="false">IF($B537="","",COUNTA($B$2:$B537))</f>
        <v/>
      </c>
      <c r="B537" s="11"/>
      <c r="C537" s="11"/>
      <c r="D537" s="11"/>
      <c r="E537" s="11"/>
      <c r="F537" s="11"/>
      <c r="G537" s="34"/>
      <c r="H537" s="25"/>
      <c r="I537" s="40"/>
      <c r="J537" s="34"/>
      <c r="K537" s="45"/>
      <c r="L537" s="34"/>
      <c r="M537" s="34"/>
      <c r="N537" s="11"/>
      <c r="O537" s="11"/>
      <c r="P537" s="11"/>
      <c r="Q537" s="11"/>
      <c r="R537" s="11"/>
      <c r="S537" s="46"/>
      <c r="T537" s="44" t="str">
        <f aca="false">IF($B537="","",COUNTA($N537:$R537)-COUNTIF($N537:$R537,"Not Invited"))</f>
        <v/>
      </c>
      <c r="U537" s="44" t="str">
        <f aca="false">IF($B537="","",COUNTIF($N537:$R537,"Attended"))</f>
        <v/>
      </c>
      <c r="V537" s="47" t="str">
        <f aca="false">IF($B537="","",_xlfn.TEXTJOIN(", ",TRUE(),IF($N537="Attended",Setup!$D$15,""),IF($O537="Attended",Setup!$D$16,""),IF($P537="Attended",Setup!$D$17,""),IF($Q537="Attended",Setup!$D$18,""),IF($R537="Attended",Setup!$D$19,"")))</f>
        <v/>
      </c>
      <c r="W537" s="48" t="str">
        <f aca="true">IF(OR($B537="",NOT(ISNUMBER($H537))),"",TODAY()-$H537)</f>
        <v/>
      </c>
      <c r="X537" s="47" t="str">
        <f aca="false">IF($B537="","",IF($U537&gt;0,"Event attendee",IF($G537="Yes","Met (no event)",IF($T537&gt;0,"Invited only",IF(OR($L537="Yes",$M537="Yes"),"Contacted only","Not yet contacted")))))</f>
        <v/>
      </c>
      <c r="Y537" s="47" t="str">
        <f aca="false">IF($B537="","",COUNTIF(c_Firm,"&lt;"&amp;$D537)+COUNTIFS(c_Firm,$D537,c_Name,"&lt;"&amp;$B537)+COUNTIFS($D$2:$D537,$D537,$B$2:$B537,$B537))</f>
        <v/>
      </c>
      <c r="Z537" s="47" t="str">
        <f aca="false">IF($B537="","",IF(AND(OR(Contacts!$C$3="(All)",$D537=Contacts!$C$3),OR(Contacts!$E$3="(All)",$G537=Contacts!$E$3),OR(Contacts!$G$3="(All)",ISNUMBER(SEARCH(Contacts!$G$3,$V537))),OR(Contacts!$I$3="(All)",$X537=Contacts!$I$3),OR(Contacts!$K$3="",ISNUMBER(SEARCH(Contacts!$K$3,$B537&amp;" "&amp;$C537&amp;" "&amp;$D537&amp;" "&amp;$S537)))),1,0))</f>
        <v/>
      </c>
      <c r="AA537" s="47" t="str">
        <f aca="false">IF($Z537=1,COUNTIFS(c_Pass,1,c_Sort,"&lt;="&amp;$Y537),"")</f>
        <v/>
      </c>
      <c r="AB537" s="47" t="str">
        <f aca="false">IF(OR($G537&lt;&gt;"Yes",NOT(ISNUMBER($H537))),"",COUNTIFS(c_Met,"Yes",c_Date,"&lt;"&amp;$H537)+COUNTIFS($G$2:$G537,"Yes",$H$2:$H537,$H537))</f>
        <v/>
      </c>
    </row>
    <row r="538" customFormat="false" ht="15" hidden="false" customHeight="false" outlineLevel="0" collapsed="false">
      <c r="A538" s="44" t="str">
        <f aca="false">IF($B538="","",COUNTA($B$2:$B538))</f>
        <v/>
      </c>
      <c r="B538" s="11"/>
      <c r="C538" s="11"/>
      <c r="D538" s="11"/>
      <c r="E538" s="11"/>
      <c r="F538" s="11"/>
      <c r="G538" s="34"/>
      <c r="H538" s="25"/>
      <c r="I538" s="40"/>
      <c r="J538" s="34"/>
      <c r="K538" s="45"/>
      <c r="L538" s="34"/>
      <c r="M538" s="34"/>
      <c r="N538" s="11"/>
      <c r="O538" s="11"/>
      <c r="P538" s="11"/>
      <c r="Q538" s="11"/>
      <c r="R538" s="11"/>
      <c r="S538" s="46"/>
      <c r="T538" s="44" t="str">
        <f aca="false">IF($B538="","",COUNTA($N538:$R538)-COUNTIF($N538:$R538,"Not Invited"))</f>
        <v/>
      </c>
      <c r="U538" s="44" t="str">
        <f aca="false">IF($B538="","",COUNTIF($N538:$R538,"Attended"))</f>
        <v/>
      </c>
      <c r="V538" s="47" t="str">
        <f aca="false">IF($B538="","",_xlfn.TEXTJOIN(", ",TRUE(),IF($N538="Attended",Setup!$D$15,""),IF($O538="Attended",Setup!$D$16,""),IF($P538="Attended",Setup!$D$17,""),IF($Q538="Attended",Setup!$D$18,""),IF($R538="Attended",Setup!$D$19,"")))</f>
        <v/>
      </c>
      <c r="W538" s="48" t="str">
        <f aca="true">IF(OR($B538="",NOT(ISNUMBER($H538))),"",TODAY()-$H538)</f>
        <v/>
      </c>
      <c r="X538" s="47" t="str">
        <f aca="false">IF($B538="","",IF($U538&gt;0,"Event attendee",IF($G538="Yes","Met (no event)",IF($T538&gt;0,"Invited only",IF(OR($L538="Yes",$M538="Yes"),"Contacted only","Not yet contacted")))))</f>
        <v/>
      </c>
      <c r="Y538" s="47" t="str">
        <f aca="false">IF($B538="","",COUNTIF(c_Firm,"&lt;"&amp;$D538)+COUNTIFS(c_Firm,$D538,c_Name,"&lt;"&amp;$B538)+COUNTIFS($D$2:$D538,$D538,$B$2:$B538,$B538))</f>
        <v/>
      </c>
      <c r="Z538" s="47" t="str">
        <f aca="false">IF($B538="","",IF(AND(OR(Contacts!$C$3="(All)",$D538=Contacts!$C$3),OR(Contacts!$E$3="(All)",$G538=Contacts!$E$3),OR(Contacts!$G$3="(All)",ISNUMBER(SEARCH(Contacts!$G$3,$V538))),OR(Contacts!$I$3="(All)",$X538=Contacts!$I$3),OR(Contacts!$K$3="",ISNUMBER(SEARCH(Contacts!$K$3,$B538&amp;" "&amp;$C538&amp;" "&amp;$D538&amp;" "&amp;$S538)))),1,0))</f>
        <v/>
      </c>
      <c r="AA538" s="47" t="str">
        <f aca="false">IF($Z538=1,COUNTIFS(c_Pass,1,c_Sort,"&lt;="&amp;$Y538),"")</f>
        <v/>
      </c>
      <c r="AB538" s="47" t="str">
        <f aca="false">IF(OR($G538&lt;&gt;"Yes",NOT(ISNUMBER($H538))),"",COUNTIFS(c_Met,"Yes",c_Date,"&lt;"&amp;$H538)+COUNTIFS($G$2:$G538,"Yes",$H$2:$H538,$H538))</f>
        <v/>
      </c>
    </row>
    <row r="539" customFormat="false" ht="15" hidden="false" customHeight="false" outlineLevel="0" collapsed="false">
      <c r="A539" s="44" t="str">
        <f aca="false">IF($B539="","",COUNTA($B$2:$B539))</f>
        <v/>
      </c>
      <c r="B539" s="11"/>
      <c r="C539" s="11"/>
      <c r="D539" s="11"/>
      <c r="E539" s="11"/>
      <c r="F539" s="11"/>
      <c r="G539" s="34"/>
      <c r="H539" s="25"/>
      <c r="I539" s="40"/>
      <c r="J539" s="34"/>
      <c r="K539" s="45"/>
      <c r="L539" s="34"/>
      <c r="M539" s="34"/>
      <c r="N539" s="11"/>
      <c r="O539" s="11"/>
      <c r="P539" s="11"/>
      <c r="Q539" s="11"/>
      <c r="R539" s="11"/>
      <c r="S539" s="46"/>
      <c r="T539" s="44" t="str">
        <f aca="false">IF($B539="","",COUNTA($N539:$R539)-COUNTIF($N539:$R539,"Not Invited"))</f>
        <v/>
      </c>
      <c r="U539" s="44" t="str">
        <f aca="false">IF($B539="","",COUNTIF($N539:$R539,"Attended"))</f>
        <v/>
      </c>
      <c r="V539" s="47" t="str">
        <f aca="false">IF($B539="","",_xlfn.TEXTJOIN(", ",TRUE(),IF($N539="Attended",Setup!$D$15,""),IF($O539="Attended",Setup!$D$16,""),IF($P539="Attended",Setup!$D$17,""),IF($Q539="Attended",Setup!$D$18,""),IF($R539="Attended",Setup!$D$19,"")))</f>
        <v/>
      </c>
      <c r="W539" s="48" t="str">
        <f aca="true">IF(OR($B539="",NOT(ISNUMBER($H539))),"",TODAY()-$H539)</f>
        <v/>
      </c>
      <c r="X539" s="47" t="str">
        <f aca="false">IF($B539="","",IF($U539&gt;0,"Event attendee",IF($G539="Yes","Met (no event)",IF($T539&gt;0,"Invited only",IF(OR($L539="Yes",$M539="Yes"),"Contacted only","Not yet contacted")))))</f>
        <v/>
      </c>
      <c r="Y539" s="47" t="str">
        <f aca="false">IF($B539="","",COUNTIF(c_Firm,"&lt;"&amp;$D539)+COUNTIFS(c_Firm,$D539,c_Name,"&lt;"&amp;$B539)+COUNTIFS($D$2:$D539,$D539,$B$2:$B539,$B539))</f>
        <v/>
      </c>
      <c r="Z539" s="47" t="str">
        <f aca="false">IF($B539="","",IF(AND(OR(Contacts!$C$3="(All)",$D539=Contacts!$C$3),OR(Contacts!$E$3="(All)",$G539=Contacts!$E$3),OR(Contacts!$G$3="(All)",ISNUMBER(SEARCH(Contacts!$G$3,$V539))),OR(Contacts!$I$3="(All)",$X539=Contacts!$I$3),OR(Contacts!$K$3="",ISNUMBER(SEARCH(Contacts!$K$3,$B539&amp;" "&amp;$C539&amp;" "&amp;$D539&amp;" "&amp;$S539)))),1,0))</f>
        <v/>
      </c>
      <c r="AA539" s="47" t="str">
        <f aca="false">IF($Z539=1,COUNTIFS(c_Pass,1,c_Sort,"&lt;="&amp;$Y539),"")</f>
        <v/>
      </c>
      <c r="AB539" s="47" t="str">
        <f aca="false">IF(OR($G539&lt;&gt;"Yes",NOT(ISNUMBER($H539))),"",COUNTIFS(c_Met,"Yes",c_Date,"&lt;"&amp;$H539)+COUNTIFS($G$2:$G539,"Yes",$H$2:$H539,$H539))</f>
        <v/>
      </c>
    </row>
    <row r="540" customFormat="false" ht="15" hidden="false" customHeight="false" outlineLevel="0" collapsed="false">
      <c r="A540" s="44" t="str">
        <f aca="false">IF($B540="","",COUNTA($B$2:$B540))</f>
        <v/>
      </c>
      <c r="B540" s="11"/>
      <c r="C540" s="11"/>
      <c r="D540" s="11"/>
      <c r="E540" s="11"/>
      <c r="F540" s="11"/>
      <c r="G540" s="34"/>
      <c r="H540" s="25"/>
      <c r="I540" s="40"/>
      <c r="J540" s="34"/>
      <c r="K540" s="45"/>
      <c r="L540" s="34"/>
      <c r="M540" s="34"/>
      <c r="N540" s="11"/>
      <c r="O540" s="11"/>
      <c r="P540" s="11"/>
      <c r="Q540" s="11"/>
      <c r="R540" s="11"/>
      <c r="S540" s="46"/>
      <c r="T540" s="44" t="str">
        <f aca="false">IF($B540="","",COUNTA($N540:$R540)-COUNTIF($N540:$R540,"Not Invited"))</f>
        <v/>
      </c>
      <c r="U540" s="44" t="str">
        <f aca="false">IF($B540="","",COUNTIF($N540:$R540,"Attended"))</f>
        <v/>
      </c>
      <c r="V540" s="47" t="str">
        <f aca="false">IF($B540="","",_xlfn.TEXTJOIN(", ",TRUE(),IF($N540="Attended",Setup!$D$15,""),IF($O540="Attended",Setup!$D$16,""),IF($P540="Attended",Setup!$D$17,""),IF($Q540="Attended",Setup!$D$18,""),IF($R540="Attended",Setup!$D$19,"")))</f>
        <v/>
      </c>
      <c r="W540" s="48" t="str">
        <f aca="true">IF(OR($B540="",NOT(ISNUMBER($H540))),"",TODAY()-$H540)</f>
        <v/>
      </c>
      <c r="X540" s="47" t="str">
        <f aca="false">IF($B540="","",IF($U540&gt;0,"Event attendee",IF($G540="Yes","Met (no event)",IF($T540&gt;0,"Invited only",IF(OR($L540="Yes",$M540="Yes"),"Contacted only","Not yet contacted")))))</f>
        <v/>
      </c>
      <c r="Y540" s="47" t="str">
        <f aca="false">IF($B540="","",COUNTIF(c_Firm,"&lt;"&amp;$D540)+COUNTIFS(c_Firm,$D540,c_Name,"&lt;"&amp;$B540)+COUNTIFS($D$2:$D540,$D540,$B$2:$B540,$B540))</f>
        <v/>
      </c>
      <c r="Z540" s="47" t="str">
        <f aca="false">IF($B540="","",IF(AND(OR(Contacts!$C$3="(All)",$D540=Contacts!$C$3),OR(Contacts!$E$3="(All)",$G540=Contacts!$E$3),OR(Contacts!$G$3="(All)",ISNUMBER(SEARCH(Contacts!$G$3,$V540))),OR(Contacts!$I$3="(All)",$X540=Contacts!$I$3),OR(Contacts!$K$3="",ISNUMBER(SEARCH(Contacts!$K$3,$B540&amp;" "&amp;$C540&amp;" "&amp;$D540&amp;" "&amp;$S540)))),1,0))</f>
        <v/>
      </c>
      <c r="AA540" s="47" t="str">
        <f aca="false">IF($Z540=1,COUNTIFS(c_Pass,1,c_Sort,"&lt;="&amp;$Y540),"")</f>
        <v/>
      </c>
      <c r="AB540" s="47" t="str">
        <f aca="false">IF(OR($G540&lt;&gt;"Yes",NOT(ISNUMBER($H540))),"",COUNTIFS(c_Met,"Yes",c_Date,"&lt;"&amp;$H540)+COUNTIFS($G$2:$G540,"Yes",$H$2:$H540,$H540))</f>
        <v/>
      </c>
    </row>
    <row r="541" customFormat="false" ht="15" hidden="false" customHeight="false" outlineLevel="0" collapsed="false">
      <c r="A541" s="44" t="str">
        <f aca="false">IF($B541="","",COUNTA($B$2:$B541))</f>
        <v/>
      </c>
      <c r="B541" s="11"/>
      <c r="C541" s="11"/>
      <c r="D541" s="11"/>
      <c r="E541" s="11"/>
      <c r="F541" s="11"/>
      <c r="G541" s="34"/>
      <c r="H541" s="25"/>
      <c r="I541" s="40"/>
      <c r="J541" s="34"/>
      <c r="K541" s="45"/>
      <c r="L541" s="34"/>
      <c r="M541" s="34"/>
      <c r="N541" s="11"/>
      <c r="O541" s="11"/>
      <c r="P541" s="11"/>
      <c r="Q541" s="11"/>
      <c r="R541" s="11"/>
      <c r="S541" s="46"/>
      <c r="T541" s="44" t="str">
        <f aca="false">IF($B541="","",COUNTA($N541:$R541)-COUNTIF($N541:$R541,"Not Invited"))</f>
        <v/>
      </c>
      <c r="U541" s="44" t="str">
        <f aca="false">IF($B541="","",COUNTIF($N541:$R541,"Attended"))</f>
        <v/>
      </c>
      <c r="V541" s="47" t="str">
        <f aca="false">IF($B541="","",_xlfn.TEXTJOIN(", ",TRUE(),IF($N541="Attended",Setup!$D$15,""),IF($O541="Attended",Setup!$D$16,""),IF($P541="Attended",Setup!$D$17,""),IF($Q541="Attended",Setup!$D$18,""),IF($R541="Attended",Setup!$D$19,"")))</f>
        <v/>
      </c>
      <c r="W541" s="48" t="str">
        <f aca="true">IF(OR($B541="",NOT(ISNUMBER($H541))),"",TODAY()-$H541)</f>
        <v/>
      </c>
      <c r="X541" s="47" t="str">
        <f aca="false">IF($B541="","",IF($U541&gt;0,"Event attendee",IF($G541="Yes","Met (no event)",IF($T541&gt;0,"Invited only",IF(OR($L541="Yes",$M541="Yes"),"Contacted only","Not yet contacted")))))</f>
        <v/>
      </c>
      <c r="Y541" s="47" t="str">
        <f aca="false">IF($B541="","",COUNTIF(c_Firm,"&lt;"&amp;$D541)+COUNTIFS(c_Firm,$D541,c_Name,"&lt;"&amp;$B541)+COUNTIFS($D$2:$D541,$D541,$B$2:$B541,$B541))</f>
        <v/>
      </c>
      <c r="Z541" s="47" t="str">
        <f aca="false">IF($B541="","",IF(AND(OR(Contacts!$C$3="(All)",$D541=Contacts!$C$3),OR(Contacts!$E$3="(All)",$G541=Contacts!$E$3),OR(Contacts!$G$3="(All)",ISNUMBER(SEARCH(Contacts!$G$3,$V541))),OR(Contacts!$I$3="(All)",$X541=Contacts!$I$3),OR(Contacts!$K$3="",ISNUMBER(SEARCH(Contacts!$K$3,$B541&amp;" "&amp;$C541&amp;" "&amp;$D541&amp;" "&amp;$S541)))),1,0))</f>
        <v/>
      </c>
      <c r="AA541" s="47" t="str">
        <f aca="false">IF($Z541=1,COUNTIFS(c_Pass,1,c_Sort,"&lt;="&amp;$Y541),"")</f>
        <v/>
      </c>
      <c r="AB541" s="47" t="str">
        <f aca="false">IF(OR($G541&lt;&gt;"Yes",NOT(ISNUMBER($H541))),"",COUNTIFS(c_Met,"Yes",c_Date,"&lt;"&amp;$H541)+COUNTIFS($G$2:$G541,"Yes",$H$2:$H541,$H541))</f>
        <v/>
      </c>
    </row>
    <row r="542" customFormat="false" ht="15" hidden="false" customHeight="false" outlineLevel="0" collapsed="false">
      <c r="A542" s="44" t="str">
        <f aca="false">IF($B542="","",COUNTA($B$2:$B542))</f>
        <v/>
      </c>
      <c r="B542" s="11"/>
      <c r="C542" s="11"/>
      <c r="D542" s="11"/>
      <c r="E542" s="11"/>
      <c r="F542" s="11"/>
      <c r="G542" s="34"/>
      <c r="H542" s="25"/>
      <c r="I542" s="40"/>
      <c r="J542" s="34"/>
      <c r="K542" s="45"/>
      <c r="L542" s="34"/>
      <c r="M542" s="34"/>
      <c r="N542" s="11"/>
      <c r="O542" s="11"/>
      <c r="P542" s="11"/>
      <c r="Q542" s="11"/>
      <c r="R542" s="11"/>
      <c r="S542" s="46"/>
      <c r="T542" s="44" t="str">
        <f aca="false">IF($B542="","",COUNTA($N542:$R542)-COUNTIF($N542:$R542,"Not Invited"))</f>
        <v/>
      </c>
      <c r="U542" s="44" t="str">
        <f aca="false">IF($B542="","",COUNTIF($N542:$R542,"Attended"))</f>
        <v/>
      </c>
      <c r="V542" s="47" t="str">
        <f aca="false">IF($B542="","",_xlfn.TEXTJOIN(", ",TRUE(),IF($N542="Attended",Setup!$D$15,""),IF($O542="Attended",Setup!$D$16,""),IF($P542="Attended",Setup!$D$17,""),IF($Q542="Attended",Setup!$D$18,""),IF($R542="Attended",Setup!$D$19,"")))</f>
        <v/>
      </c>
      <c r="W542" s="48" t="str">
        <f aca="true">IF(OR($B542="",NOT(ISNUMBER($H542))),"",TODAY()-$H542)</f>
        <v/>
      </c>
      <c r="X542" s="47" t="str">
        <f aca="false">IF($B542="","",IF($U542&gt;0,"Event attendee",IF($G542="Yes","Met (no event)",IF($T542&gt;0,"Invited only",IF(OR($L542="Yes",$M542="Yes"),"Contacted only","Not yet contacted")))))</f>
        <v/>
      </c>
      <c r="Y542" s="47" t="str">
        <f aca="false">IF($B542="","",COUNTIF(c_Firm,"&lt;"&amp;$D542)+COUNTIFS(c_Firm,$D542,c_Name,"&lt;"&amp;$B542)+COUNTIFS($D$2:$D542,$D542,$B$2:$B542,$B542))</f>
        <v/>
      </c>
      <c r="Z542" s="47" t="str">
        <f aca="false">IF($B542="","",IF(AND(OR(Contacts!$C$3="(All)",$D542=Contacts!$C$3),OR(Contacts!$E$3="(All)",$G542=Contacts!$E$3),OR(Contacts!$G$3="(All)",ISNUMBER(SEARCH(Contacts!$G$3,$V542))),OR(Contacts!$I$3="(All)",$X542=Contacts!$I$3),OR(Contacts!$K$3="",ISNUMBER(SEARCH(Contacts!$K$3,$B542&amp;" "&amp;$C542&amp;" "&amp;$D542&amp;" "&amp;$S542)))),1,0))</f>
        <v/>
      </c>
      <c r="AA542" s="47" t="str">
        <f aca="false">IF($Z542=1,COUNTIFS(c_Pass,1,c_Sort,"&lt;="&amp;$Y542),"")</f>
        <v/>
      </c>
      <c r="AB542" s="47" t="str">
        <f aca="false">IF(OR($G542&lt;&gt;"Yes",NOT(ISNUMBER($H542))),"",COUNTIFS(c_Met,"Yes",c_Date,"&lt;"&amp;$H542)+COUNTIFS($G$2:$G542,"Yes",$H$2:$H542,$H542))</f>
        <v/>
      </c>
    </row>
    <row r="543" customFormat="false" ht="15" hidden="false" customHeight="false" outlineLevel="0" collapsed="false">
      <c r="A543" s="44" t="str">
        <f aca="false">IF($B543="","",COUNTA($B$2:$B543))</f>
        <v/>
      </c>
      <c r="B543" s="11"/>
      <c r="C543" s="11"/>
      <c r="D543" s="11"/>
      <c r="E543" s="11"/>
      <c r="F543" s="11"/>
      <c r="G543" s="34"/>
      <c r="H543" s="25"/>
      <c r="I543" s="40"/>
      <c r="J543" s="34"/>
      <c r="K543" s="45"/>
      <c r="L543" s="34"/>
      <c r="M543" s="34"/>
      <c r="N543" s="11"/>
      <c r="O543" s="11"/>
      <c r="P543" s="11"/>
      <c r="Q543" s="11"/>
      <c r="R543" s="11"/>
      <c r="S543" s="46"/>
      <c r="T543" s="44" t="str">
        <f aca="false">IF($B543="","",COUNTA($N543:$R543)-COUNTIF($N543:$R543,"Not Invited"))</f>
        <v/>
      </c>
      <c r="U543" s="44" t="str">
        <f aca="false">IF($B543="","",COUNTIF($N543:$R543,"Attended"))</f>
        <v/>
      </c>
      <c r="V543" s="47" t="str">
        <f aca="false">IF($B543="","",_xlfn.TEXTJOIN(", ",TRUE(),IF($N543="Attended",Setup!$D$15,""),IF($O543="Attended",Setup!$D$16,""),IF($P543="Attended",Setup!$D$17,""),IF($Q543="Attended",Setup!$D$18,""),IF($R543="Attended",Setup!$D$19,"")))</f>
        <v/>
      </c>
      <c r="W543" s="48" t="str">
        <f aca="true">IF(OR($B543="",NOT(ISNUMBER($H543))),"",TODAY()-$H543)</f>
        <v/>
      </c>
      <c r="X543" s="47" t="str">
        <f aca="false">IF($B543="","",IF($U543&gt;0,"Event attendee",IF($G543="Yes","Met (no event)",IF($T543&gt;0,"Invited only",IF(OR($L543="Yes",$M543="Yes"),"Contacted only","Not yet contacted")))))</f>
        <v/>
      </c>
      <c r="Y543" s="47" t="str">
        <f aca="false">IF($B543="","",COUNTIF(c_Firm,"&lt;"&amp;$D543)+COUNTIFS(c_Firm,$D543,c_Name,"&lt;"&amp;$B543)+COUNTIFS($D$2:$D543,$D543,$B$2:$B543,$B543))</f>
        <v/>
      </c>
      <c r="Z543" s="47" t="str">
        <f aca="false">IF($B543="","",IF(AND(OR(Contacts!$C$3="(All)",$D543=Contacts!$C$3),OR(Contacts!$E$3="(All)",$G543=Contacts!$E$3),OR(Contacts!$G$3="(All)",ISNUMBER(SEARCH(Contacts!$G$3,$V543))),OR(Contacts!$I$3="(All)",$X543=Contacts!$I$3),OR(Contacts!$K$3="",ISNUMBER(SEARCH(Contacts!$K$3,$B543&amp;" "&amp;$C543&amp;" "&amp;$D543&amp;" "&amp;$S543)))),1,0))</f>
        <v/>
      </c>
      <c r="AA543" s="47" t="str">
        <f aca="false">IF($Z543=1,COUNTIFS(c_Pass,1,c_Sort,"&lt;="&amp;$Y543),"")</f>
        <v/>
      </c>
      <c r="AB543" s="47" t="str">
        <f aca="false">IF(OR($G543&lt;&gt;"Yes",NOT(ISNUMBER($H543))),"",COUNTIFS(c_Met,"Yes",c_Date,"&lt;"&amp;$H543)+COUNTIFS($G$2:$G543,"Yes",$H$2:$H543,$H543))</f>
        <v/>
      </c>
    </row>
    <row r="544" customFormat="false" ht="15" hidden="false" customHeight="false" outlineLevel="0" collapsed="false">
      <c r="A544" s="44" t="str">
        <f aca="false">IF($B544="","",COUNTA($B$2:$B544))</f>
        <v/>
      </c>
      <c r="B544" s="11"/>
      <c r="C544" s="11"/>
      <c r="D544" s="11"/>
      <c r="E544" s="11"/>
      <c r="F544" s="11"/>
      <c r="G544" s="34"/>
      <c r="H544" s="25"/>
      <c r="I544" s="40"/>
      <c r="J544" s="34"/>
      <c r="K544" s="45"/>
      <c r="L544" s="34"/>
      <c r="M544" s="34"/>
      <c r="N544" s="11"/>
      <c r="O544" s="11"/>
      <c r="P544" s="11"/>
      <c r="Q544" s="11"/>
      <c r="R544" s="11"/>
      <c r="S544" s="46"/>
      <c r="T544" s="44" t="str">
        <f aca="false">IF($B544="","",COUNTA($N544:$R544)-COUNTIF($N544:$R544,"Not Invited"))</f>
        <v/>
      </c>
      <c r="U544" s="44" t="str">
        <f aca="false">IF($B544="","",COUNTIF($N544:$R544,"Attended"))</f>
        <v/>
      </c>
      <c r="V544" s="47" t="str">
        <f aca="false">IF($B544="","",_xlfn.TEXTJOIN(", ",TRUE(),IF($N544="Attended",Setup!$D$15,""),IF($O544="Attended",Setup!$D$16,""),IF($P544="Attended",Setup!$D$17,""),IF($Q544="Attended",Setup!$D$18,""),IF($R544="Attended",Setup!$D$19,"")))</f>
        <v/>
      </c>
      <c r="W544" s="48" t="str">
        <f aca="true">IF(OR($B544="",NOT(ISNUMBER($H544))),"",TODAY()-$H544)</f>
        <v/>
      </c>
      <c r="X544" s="47" t="str">
        <f aca="false">IF($B544="","",IF($U544&gt;0,"Event attendee",IF($G544="Yes","Met (no event)",IF($T544&gt;0,"Invited only",IF(OR($L544="Yes",$M544="Yes"),"Contacted only","Not yet contacted")))))</f>
        <v/>
      </c>
      <c r="Y544" s="47" t="str">
        <f aca="false">IF($B544="","",COUNTIF(c_Firm,"&lt;"&amp;$D544)+COUNTIFS(c_Firm,$D544,c_Name,"&lt;"&amp;$B544)+COUNTIFS($D$2:$D544,$D544,$B$2:$B544,$B544))</f>
        <v/>
      </c>
      <c r="Z544" s="47" t="str">
        <f aca="false">IF($B544="","",IF(AND(OR(Contacts!$C$3="(All)",$D544=Contacts!$C$3),OR(Contacts!$E$3="(All)",$G544=Contacts!$E$3),OR(Contacts!$G$3="(All)",ISNUMBER(SEARCH(Contacts!$G$3,$V544))),OR(Contacts!$I$3="(All)",$X544=Contacts!$I$3),OR(Contacts!$K$3="",ISNUMBER(SEARCH(Contacts!$K$3,$B544&amp;" "&amp;$C544&amp;" "&amp;$D544&amp;" "&amp;$S544)))),1,0))</f>
        <v/>
      </c>
      <c r="AA544" s="47" t="str">
        <f aca="false">IF($Z544=1,COUNTIFS(c_Pass,1,c_Sort,"&lt;="&amp;$Y544),"")</f>
        <v/>
      </c>
      <c r="AB544" s="47" t="str">
        <f aca="false">IF(OR($G544&lt;&gt;"Yes",NOT(ISNUMBER($H544))),"",COUNTIFS(c_Met,"Yes",c_Date,"&lt;"&amp;$H544)+COUNTIFS($G$2:$G544,"Yes",$H$2:$H544,$H544))</f>
        <v/>
      </c>
    </row>
    <row r="545" customFormat="false" ht="15" hidden="false" customHeight="false" outlineLevel="0" collapsed="false">
      <c r="A545" s="44" t="str">
        <f aca="false">IF($B545="","",COUNTA($B$2:$B545))</f>
        <v/>
      </c>
      <c r="B545" s="11"/>
      <c r="C545" s="11"/>
      <c r="D545" s="11"/>
      <c r="E545" s="11"/>
      <c r="F545" s="11"/>
      <c r="G545" s="34"/>
      <c r="H545" s="25"/>
      <c r="I545" s="40"/>
      <c r="J545" s="34"/>
      <c r="K545" s="45"/>
      <c r="L545" s="34"/>
      <c r="M545" s="34"/>
      <c r="N545" s="11"/>
      <c r="O545" s="11"/>
      <c r="P545" s="11"/>
      <c r="Q545" s="11"/>
      <c r="R545" s="11"/>
      <c r="S545" s="46"/>
      <c r="T545" s="44" t="str">
        <f aca="false">IF($B545="","",COUNTA($N545:$R545)-COUNTIF($N545:$R545,"Not Invited"))</f>
        <v/>
      </c>
      <c r="U545" s="44" t="str">
        <f aca="false">IF($B545="","",COUNTIF($N545:$R545,"Attended"))</f>
        <v/>
      </c>
      <c r="V545" s="47" t="str">
        <f aca="false">IF($B545="","",_xlfn.TEXTJOIN(", ",TRUE(),IF($N545="Attended",Setup!$D$15,""),IF($O545="Attended",Setup!$D$16,""),IF($P545="Attended",Setup!$D$17,""),IF($Q545="Attended",Setup!$D$18,""),IF($R545="Attended",Setup!$D$19,"")))</f>
        <v/>
      </c>
      <c r="W545" s="48" t="str">
        <f aca="true">IF(OR($B545="",NOT(ISNUMBER($H545))),"",TODAY()-$H545)</f>
        <v/>
      </c>
      <c r="X545" s="47" t="str">
        <f aca="false">IF($B545="","",IF($U545&gt;0,"Event attendee",IF($G545="Yes","Met (no event)",IF($T545&gt;0,"Invited only",IF(OR($L545="Yes",$M545="Yes"),"Contacted only","Not yet contacted")))))</f>
        <v/>
      </c>
      <c r="Y545" s="47" t="str">
        <f aca="false">IF($B545="","",COUNTIF(c_Firm,"&lt;"&amp;$D545)+COUNTIFS(c_Firm,$D545,c_Name,"&lt;"&amp;$B545)+COUNTIFS($D$2:$D545,$D545,$B$2:$B545,$B545))</f>
        <v/>
      </c>
      <c r="Z545" s="47" t="str">
        <f aca="false">IF($B545="","",IF(AND(OR(Contacts!$C$3="(All)",$D545=Contacts!$C$3),OR(Contacts!$E$3="(All)",$G545=Contacts!$E$3),OR(Contacts!$G$3="(All)",ISNUMBER(SEARCH(Contacts!$G$3,$V545))),OR(Contacts!$I$3="(All)",$X545=Contacts!$I$3),OR(Contacts!$K$3="",ISNUMBER(SEARCH(Contacts!$K$3,$B545&amp;" "&amp;$C545&amp;" "&amp;$D545&amp;" "&amp;$S545)))),1,0))</f>
        <v/>
      </c>
      <c r="AA545" s="47" t="str">
        <f aca="false">IF($Z545=1,COUNTIFS(c_Pass,1,c_Sort,"&lt;="&amp;$Y545),"")</f>
        <v/>
      </c>
      <c r="AB545" s="47" t="str">
        <f aca="false">IF(OR($G545&lt;&gt;"Yes",NOT(ISNUMBER($H545))),"",COUNTIFS(c_Met,"Yes",c_Date,"&lt;"&amp;$H545)+COUNTIFS($G$2:$G545,"Yes",$H$2:$H545,$H545))</f>
        <v/>
      </c>
    </row>
    <row r="546" customFormat="false" ht="15" hidden="false" customHeight="false" outlineLevel="0" collapsed="false">
      <c r="A546" s="44" t="str">
        <f aca="false">IF($B546="","",COUNTA($B$2:$B546))</f>
        <v/>
      </c>
      <c r="B546" s="11"/>
      <c r="C546" s="11"/>
      <c r="D546" s="11"/>
      <c r="E546" s="11"/>
      <c r="F546" s="11"/>
      <c r="G546" s="34"/>
      <c r="H546" s="25"/>
      <c r="I546" s="40"/>
      <c r="J546" s="34"/>
      <c r="K546" s="45"/>
      <c r="L546" s="34"/>
      <c r="M546" s="34"/>
      <c r="N546" s="11"/>
      <c r="O546" s="11"/>
      <c r="P546" s="11"/>
      <c r="Q546" s="11"/>
      <c r="R546" s="11"/>
      <c r="S546" s="46"/>
      <c r="T546" s="44" t="str">
        <f aca="false">IF($B546="","",COUNTA($N546:$R546)-COUNTIF($N546:$R546,"Not Invited"))</f>
        <v/>
      </c>
      <c r="U546" s="44" t="str">
        <f aca="false">IF($B546="","",COUNTIF($N546:$R546,"Attended"))</f>
        <v/>
      </c>
      <c r="V546" s="47" t="str">
        <f aca="false">IF($B546="","",_xlfn.TEXTJOIN(", ",TRUE(),IF($N546="Attended",Setup!$D$15,""),IF($O546="Attended",Setup!$D$16,""),IF($P546="Attended",Setup!$D$17,""),IF($Q546="Attended",Setup!$D$18,""),IF($R546="Attended",Setup!$D$19,"")))</f>
        <v/>
      </c>
      <c r="W546" s="48" t="str">
        <f aca="true">IF(OR($B546="",NOT(ISNUMBER($H546))),"",TODAY()-$H546)</f>
        <v/>
      </c>
      <c r="X546" s="47" t="str">
        <f aca="false">IF($B546="","",IF($U546&gt;0,"Event attendee",IF($G546="Yes","Met (no event)",IF($T546&gt;0,"Invited only",IF(OR($L546="Yes",$M546="Yes"),"Contacted only","Not yet contacted")))))</f>
        <v/>
      </c>
      <c r="Y546" s="47" t="str">
        <f aca="false">IF($B546="","",COUNTIF(c_Firm,"&lt;"&amp;$D546)+COUNTIFS(c_Firm,$D546,c_Name,"&lt;"&amp;$B546)+COUNTIFS($D$2:$D546,$D546,$B$2:$B546,$B546))</f>
        <v/>
      </c>
      <c r="Z546" s="47" t="str">
        <f aca="false">IF($B546="","",IF(AND(OR(Contacts!$C$3="(All)",$D546=Contacts!$C$3),OR(Contacts!$E$3="(All)",$G546=Contacts!$E$3),OR(Contacts!$G$3="(All)",ISNUMBER(SEARCH(Contacts!$G$3,$V546))),OR(Contacts!$I$3="(All)",$X546=Contacts!$I$3),OR(Contacts!$K$3="",ISNUMBER(SEARCH(Contacts!$K$3,$B546&amp;" "&amp;$C546&amp;" "&amp;$D546&amp;" "&amp;$S546)))),1,0))</f>
        <v/>
      </c>
      <c r="AA546" s="47" t="str">
        <f aca="false">IF($Z546=1,COUNTIFS(c_Pass,1,c_Sort,"&lt;="&amp;$Y546),"")</f>
        <v/>
      </c>
      <c r="AB546" s="47" t="str">
        <f aca="false">IF(OR($G546&lt;&gt;"Yes",NOT(ISNUMBER($H546))),"",COUNTIFS(c_Met,"Yes",c_Date,"&lt;"&amp;$H546)+COUNTIFS($G$2:$G546,"Yes",$H$2:$H546,$H546))</f>
        <v/>
      </c>
    </row>
    <row r="547" customFormat="false" ht="15" hidden="false" customHeight="false" outlineLevel="0" collapsed="false">
      <c r="A547" s="44" t="str">
        <f aca="false">IF($B547="","",COUNTA($B$2:$B547))</f>
        <v/>
      </c>
      <c r="B547" s="11"/>
      <c r="C547" s="11"/>
      <c r="D547" s="11"/>
      <c r="E547" s="11"/>
      <c r="F547" s="11"/>
      <c r="G547" s="34"/>
      <c r="H547" s="25"/>
      <c r="I547" s="40"/>
      <c r="J547" s="34"/>
      <c r="K547" s="45"/>
      <c r="L547" s="34"/>
      <c r="M547" s="34"/>
      <c r="N547" s="11"/>
      <c r="O547" s="11"/>
      <c r="P547" s="11"/>
      <c r="Q547" s="11"/>
      <c r="R547" s="11"/>
      <c r="S547" s="46"/>
      <c r="T547" s="44" t="str">
        <f aca="false">IF($B547="","",COUNTA($N547:$R547)-COUNTIF($N547:$R547,"Not Invited"))</f>
        <v/>
      </c>
      <c r="U547" s="44" t="str">
        <f aca="false">IF($B547="","",COUNTIF($N547:$R547,"Attended"))</f>
        <v/>
      </c>
      <c r="V547" s="47" t="str">
        <f aca="false">IF($B547="","",_xlfn.TEXTJOIN(", ",TRUE(),IF($N547="Attended",Setup!$D$15,""),IF($O547="Attended",Setup!$D$16,""),IF($P547="Attended",Setup!$D$17,""),IF($Q547="Attended",Setup!$D$18,""),IF($R547="Attended",Setup!$D$19,"")))</f>
        <v/>
      </c>
      <c r="W547" s="48" t="str">
        <f aca="true">IF(OR($B547="",NOT(ISNUMBER($H547))),"",TODAY()-$H547)</f>
        <v/>
      </c>
      <c r="X547" s="47" t="str">
        <f aca="false">IF($B547="","",IF($U547&gt;0,"Event attendee",IF($G547="Yes","Met (no event)",IF($T547&gt;0,"Invited only",IF(OR($L547="Yes",$M547="Yes"),"Contacted only","Not yet contacted")))))</f>
        <v/>
      </c>
      <c r="Y547" s="47" t="str">
        <f aca="false">IF($B547="","",COUNTIF(c_Firm,"&lt;"&amp;$D547)+COUNTIFS(c_Firm,$D547,c_Name,"&lt;"&amp;$B547)+COUNTIFS($D$2:$D547,$D547,$B$2:$B547,$B547))</f>
        <v/>
      </c>
      <c r="Z547" s="47" t="str">
        <f aca="false">IF($B547="","",IF(AND(OR(Contacts!$C$3="(All)",$D547=Contacts!$C$3),OR(Contacts!$E$3="(All)",$G547=Contacts!$E$3),OR(Contacts!$G$3="(All)",ISNUMBER(SEARCH(Contacts!$G$3,$V547))),OR(Contacts!$I$3="(All)",$X547=Contacts!$I$3),OR(Contacts!$K$3="",ISNUMBER(SEARCH(Contacts!$K$3,$B547&amp;" "&amp;$C547&amp;" "&amp;$D547&amp;" "&amp;$S547)))),1,0))</f>
        <v/>
      </c>
      <c r="AA547" s="47" t="str">
        <f aca="false">IF($Z547=1,COUNTIFS(c_Pass,1,c_Sort,"&lt;="&amp;$Y547),"")</f>
        <v/>
      </c>
      <c r="AB547" s="47" t="str">
        <f aca="false">IF(OR($G547&lt;&gt;"Yes",NOT(ISNUMBER($H547))),"",COUNTIFS(c_Met,"Yes",c_Date,"&lt;"&amp;$H547)+COUNTIFS($G$2:$G547,"Yes",$H$2:$H547,$H547))</f>
        <v/>
      </c>
    </row>
    <row r="548" customFormat="false" ht="15" hidden="false" customHeight="false" outlineLevel="0" collapsed="false">
      <c r="A548" s="44" t="str">
        <f aca="false">IF($B548="","",COUNTA($B$2:$B548))</f>
        <v/>
      </c>
      <c r="B548" s="11"/>
      <c r="C548" s="11"/>
      <c r="D548" s="11"/>
      <c r="E548" s="11"/>
      <c r="F548" s="11"/>
      <c r="G548" s="34"/>
      <c r="H548" s="25"/>
      <c r="I548" s="40"/>
      <c r="J548" s="34"/>
      <c r="K548" s="45"/>
      <c r="L548" s="34"/>
      <c r="M548" s="34"/>
      <c r="N548" s="11"/>
      <c r="O548" s="11"/>
      <c r="P548" s="11"/>
      <c r="Q548" s="11"/>
      <c r="R548" s="11"/>
      <c r="S548" s="46"/>
      <c r="T548" s="44" t="str">
        <f aca="false">IF($B548="","",COUNTA($N548:$R548)-COUNTIF($N548:$R548,"Not Invited"))</f>
        <v/>
      </c>
      <c r="U548" s="44" t="str">
        <f aca="false">IF($B548="","",COUNTIF($N548:$R548,"Attended"))</f>
        <v/>
      </c>
      <c r="V548" s="47" t="str">
        <f aca="false">IF($B548="","",_xlfn.TEXTJOIN(", ",TRUE(),IF($N548="Attended",Setup!$D$15,""),IF($O548="Attended",Setup!$D$16,""),IF($P548="Attended",Setup!$D$17,""),IF($Q548="Attended",Setup!$D$18,""),IF($R548="Attended",Setup!$D$19,"")))</f>
        <v/>
      </c>
      <c r="W548" s="48" t="str">
        <f aca="true">IF(OR($B548="",NOT(ISNUMBER($H548))),"",TODAY()-$H548)</f>
        <v/>
      </c>
      <c r="X548" s="47" t="str">
        <f aca="false">IF($B548="","",IF($U548&gt;0,"Event attendee",IF($G548="Yes","Met (no event)",IF($T548&gt;0,"Invited only",IF(OR($L548="Yes",$M548="Yes"),"Contacted only","Not yet contacted")))))</f>
        <v/>
      </c>
      <c r="Y548" s="47" t="str">
        <f aca="false">IF($B548="","",COUNTIF(c_Firm,"&lt;"&amp;$D548)+COUNTIFS(c_Firm,$D548,c_Name,"&lt;"&amp;$B548)+COUNTIFS($D$2:$D548,$D548,$B$2:$B548,$B548))</f>
        <v/>
      </c>
      <c r="Z548" s="47" t="str">
        <f aca="false">IF($B548="","",IF(AND(OR(Contacts!$C$3="(All)",$D548=Contacts!$C$3),OR(Contacts!$E$3="(All)",$G548=Contacts!$E$3),OR(Contacts!$G$3="(All)",ISNUMBER(SEARCH(Contacts!$G$3,$V548))),OR(Contacts!$I$3="(All)",$X548=Contacts!$I$3),OR(Contacts!$K$3="",ISNUMBER(SEARCH(Contacts!$K$3,$B548&amp;" "&amp;$C548&amp;" "&amp;$D548&amp;" "&amp;$S548)))),1,0))</f>
        <v/>
      </c>
      <c r="AA548" s="47" t="str">
        <f aca="false">IF($Z548=1,COUNTIFS(c_Pass,1,c_Sort,"&lt;="&amp;$Y548),"")</f>
        <v/>
      </c>
      <c r="AB548" s="47" t="str">
        <f aca="false">IF(OR($G548&lt;&gt;"Yes",NOT(ISNUMBER($H548))),"",COUNTIFS(c_Met,"Yes",c_Date,"&lt;"&amp;$H548)+COUNTIFS($G$2:$G548,"Yes",$H$2:$H548,$H548))</f>
        <v/>
      </c>
    </row>
    <row r="549" customFormat="false" ht="15" hidden="false" customHeight="false" outlineLevel="0" collapsed="false">
      <c r="A549" s="44" t="str">
        <f aca="false">IF($B549="","",COUNTA($B$2:$B549))</f>
        <v/>
      </c>
      <c r="B549" s="11"/>
      <c r="C549" s="11"/>
      <c r="D549" s="11"/>
      <c r="E549" s="11"/>
      <c r="F549" s="11"/>
      <c r="G549" s="34"/>
      <c r="H549" s="25"/>
      <c r="I549" s="40"/>
      <c r="J549" s="34"/>
      <c r="K549" s="45"/>
      <c r="L549" s="34"/>
      <c r="M549" s="34"/>
      <c r="N549" s="11"/>
      <c r="O549" s="11"/>
      <c r="P549" s="11"/>
      <c r="Q549" s="11"/>
      <c r="R549" s="11"/>
      <c r="S549" s="46"/>
      <c r="T549" s="44" t="str">
        <f aca="false">IF($B549="","",COUNTA($N549:$R549)-COUNTIF($N549:$R549,"Not Invited"))</f>
        <v/>
      </c>
      <c r="U549" s="44" t="str">
        <f aca="false">IF($B549="","",COUNTIF($N549:$R549,"Attended"))</f>
        <v/>
      </c>
      <c r="V549" s="47" t="str">
        <f aca="false">IF($B549="","",_xlfn.TEXTJOIN(", ",TRUE(),IF($N549="Attended",Setup!$D$15,""),IF($O549="Attended",Setup!$D$16,""),IF($P549="Attended",Setup!$D$17,""),IF($Q549="Attended",Setup!$D$18,""),IF($R549="Attended",Setup!$D$19,"")))</f>
        <v/>
      </c>
      <c r="W549" s="48" t="str">
        <f aca="true">IF(OR($B549="",NOT(ISNUMBER($H549))),"",TODAY()-$H549)</f>
        <v/>
      </c>
      <c r="X549" s="47" t="str">
        <f aca="false">IF($B549="","",IF($U549&gt;0,"Event attendee",IF($G549="Yes","Met (no event)",IF($T549&gt;0,"Invited only",IF(OR($L549="Yes",$M549="Yes"),"Contacted only","Not yet contacted")))))</f>
        <v/>
      </c>
      <c r="Y549" s="47" t="str">
        <f aca="false">IF($B549="","",COUNTIF(c_Firm,"&lt;"&amp;$D549)+COUNTIFS(c_Firm,$D549,c_Name,"&lt;"&amp;$B549)+COUNTIFS($D$2:$D549,$D549,$B$2:$B549,$B549))</f>
        <v/>
      </c>
      <c r="Z549" s="47" t="str">
        <f aca="false">IF($B549="","",IF(AND(OR(Contacts!$C$3="(All)",$D549=Contacts!$C$3),OR(Contacts!$E$3="(All)",$G549=Contacts!$E$3),OR(Contacts!$G$3="(All)",ISNUMBER(SEARCH(Contacts!$G$3,$V549))),OR(Contacts!$I$3="(All)",$X549=Contacts!$I$3),OR(Contacts!$K$3="",ISNUMBER(SEARCH(Contacts!$K$3,$B549&amp;" "&amp;$C549&amp;" "&amp;$D549&amp;" "&amp;$S549)))),1,0))</f>
        <v/>
      </c>
      <c r="AA549" s="47" t="str">
        <f aca="false">IF($Z549=1,COUNTIFS(c_Pass,1,c_Sort,"&lt;="&amp;$Y549),"")</f>
        <v/>
      </c>
      <c r="AB549" s="47" t="str">
        <f aca="false">IF(OR($G549&lt;&gt;"Yes",NOT(ISNUMBER($H549))),"",COUNTIFS(c_Met,"Yes",c_Date,"&lt;"&amp;$H549)+COUNTIFS($G$2:$G549,"Yes",$H$2:$H549,$H549))</f>
        <v/>
      </c>
    </row>
    <row r="550" customFormat="false" ht="15" hidden="false" customHeight="false" outlineLevel="0" collapsed="false">
      <c r="A550" s="44" t="str">
        <f aca="false">IF($B550="","",COUNTA($B$2:$B550))</f>
        <v/>
      </c>
      <c r="B550" s="11"/>
      <c r="C550" s="11"/>
      <c r="D550" s="11"/>
      <c r="E550" s="11"/>
      <c r="F550" s="11"/>
      <c r="G550" s="34"/>
      <c r="H550" s="25"/>
      <c r="I550" s="40"/>
      <c r="J550" s="34"/>
      <c r="K550" s="45"/>
      <c r="L550" s="34"/>
      <c r="M550" s="34"/>
      <c r="N550" s="11"/>
      <c r="O550" s="11"/>
      <c r="P550" s="11"/>
      <c r="Q550" s="11"/>
      <c r="R550" s="11"/>
      <c r="S550" s="46"/>
      <c r="T550" s="44" t="str">
        <f aca="false">IF($B550="","",COUNTA($N550:$R550)-COUNTIF($N550:$R550,"Not Invited"))</f>
        <v/>
      </c>
      <c r="U550" s="44" t="str">
        <f aca="false">IF($B550="","",COUNTIF($N550:$R550,"Attended"))</f>
        <v/>
      </c>
      <c r="V550" s="47" t="str">
        <f aca="false">IF($B550="","",_xlfn.TEXTJOIN(", ",TRUE(),IF($N550="Attended",Setup!$D$15,""),IF($O550="Attended",Setup!$D$16,""),IF($P550="Attended",Setup!$D$17,""),IF($Q550="Attended",Setup!$D$18,""),IF($R550="Attended",Setup!$D$19,"")))</f>
        <v/>
      </c>
      <c r="W550" s="48" t="str">
        <f aca="true">IF(OR($B550="",NOT(ISNUMBER($H550))),"",TODAY()-$H550)</f>
        <v/>
      </c>
      <c r="X550" s="47" t="str">
        <f aca="false">IF($B550="","",IF($U550&gt;0,"Event attendee",IF($G550="Yes","Met (no event)",IF($T550&gt;0,"Invited only",IF(OR($L550="Yes",$M550="Yes"),"Contacted only","Not yet contacted")))))</f>
        <v/>
      </c>
      <c r="Y550" s="47" t="str">
        <f aca="false">IF($B550="","",COUNTIF(c_Firm,"&lt;"&amp;$D550)+COUNTIFS(c_Firm,$D550,c_Name,"&lt;"&amp;$B550)+COUNTIFS($D$2:$D550,$D550,$B$2:$B550,$B550))</f>
        <v/>
      </c>
      <c r="Z550" s="47" t="str">
        <f aca="false">IF($B550="","",IF(AND(OR(Contacts!$C$3="(All)",$D550=Contacts!$C$3),OR(Contacts!$E$3="(All)",$G550=Contacts!$E$3),OR(Contacts!$G$3="(All)",ISNUMBER(SEARCH(Contacts!$G$3,$V550))),OR(Contacts!$I$3="(All)",$X550=Contacts!$I$3),OR(Contacts!$K$3="",ISNUMBER(SEARCH(Contacts!$K$3,$B550&amp;" "&amp;$C550&amp;" "&amp;$D550&amp;" "&amp;$S550)))),1,0))</f>
        <v/>
      </c>
      <c r="AA550" s="47" t="str">
        <f aca="false">IF($Z550=1,COUNTIFS(c_Pass,1,c_Sort,"&lt;="&amp;$Y550),"")</f>
        <v/>
      </c>
      <c r="AB550" s="47" t="str">
        <f aca="false">IF(OR($G550&lt;&gt;"Yes",NOT(ISNUMBER($H550))),"",COUNTIFS(c_Met,"Yes",c_Date,"&lt;"&amp;$H550)+COUNTIFS($G$2:$G550,"Yes",$H$2:$H550,$H550))</f>
        <v/>
      </c>
    </row>
    <row r="551" customFormat="false" ht="15" hidden="false" customHeight="false" outlineLevel="0" collapsed="false">
      <c r="A551" s="44" t="str">
        <f aca="false">IF($B551="","",COUNTA($B$2:$B551))</f>
        <v/>
      </c>
      <c r="B551" s="11"/>
      <c r="C551" s="11"/>
      <c r="D551" s="11"/>
      <c r="E551" s="11"/>
      <c r="F551" s="11"/>
      <c r="G551" s="34"/>
      <c r="H551" s="25"/>
      <c r="I551" s="40"/>
      <c r="J551" s="34"/>
      <c r="K551" s="45"/>
      <c r="L551" s="34"/>
      <c r="M551" s="34"/>
      <c r="N551" s="11"/>
      <c r="O551" s="11"/>
      <c r="P551" s="11"/>
      <c r="Q551" s="11"/>
      <c r="R551" s="11"/>
      <c r="S551" s="46"/>
      <c r="T551" s="44" t="str">
        <f aca="false">IF($B551="","",COUNTA($N551:$R551)-COUNTIF($N551:$R551,"Not Invited"))</f>
        <v/>
      </c>
      <c r="U551" s="44" t="str">
        <f aca="false">IF($B551="","",COUNTIF($N551:$R551,"Attended"))</f>
        <v/>
      </c>
      <c r="V551" s="47" t="str">
        <f aca="false">IF($B551="","",_xlfn.TEXTJOIN(", ",TRUE(),IF($N551="Attended",Setup!$D$15,""),IF($O551="Attended",Setup!$D$16,""),IF($P551="Attended",Setup!$D$17,""),IF($Q551="Attended",Setup!$D$18,""),IF($R551="Attended",Setup!$D$19,"")))</f>
        <v/>
      </c>
      <c r="W551" s="48" t="str">
        <f aca="true">IF(OR($B551="",NOT(ISNUMBER($H551))),"",TODAY()-$H551)</f>
        <v/>
      </c>
      <c r="X551" s="47" t="str">
        <f aca="false">IF($B551="","",IF($U551&gt;0,"Event attendee",IF($G551="Yes","Met (no event)",IF($T551&gt;0,"Invited only",IF(OR($L551="Yes",$M551="Yes"),"Contacted only","Not yet contacted")))))</f>
        <v/>
      </c>
      <c r="Y551" s="47" t="str">
        <f aca="false">IF($B551="","",COUNTIF(c_Firm,"&lt;"&amp;$D551)+COUNTIFS(c_Firm,$D551,c_Name,"&lt;"&amp;$B551)+COUNTIFS($D$2:$D551,$D551,$B$2:$B551,$B551))</f>
        <v/>
      </c>
      <c r="Z551" s="47" t="str">
        <f aca="false">IF($B551="","",IF(AND(OR(Contacts!$C$3="(All)",$D551=Contacts!$C$3),OR(Contacts!$E$3="(All)",$G551=Contacts!$E$3),OR(Contacts!$G$3="(All)",ISNUMBER(SEARCH(Contacts!$G$3,$V551))),OR(Contacts!$I$3="(All)",$X551=Contacts!$I$3),OR(Contacts!$K$3="",ISNUMBER(SEARCH(Contacts!$K$3,$B551&amp;" "&amp;$C551&amp;" "&amp;$D551&amp;" "&amp;$S551)))),1,0))</f>
        <v/>
      </c>
      <c r="AA551" s="47" t="str">
        <f aca="false">IF($Z551=1,COUNTIFS(c_Pass,1,c_Sort,"&lt;="&amp;$Y551),"")</f>
        <v/>
      </c>
      <c r="AB551" s="47" t="str">
        <f aca="false">IF(OR($G551&lt;&gt;"Yes",NOT(ISNUMBER($H551))),"",COUNTIFS(c_Met,"Yes",c_Date,"&lt;"&amp;$H551)+COUNTIFS($G$2:$G551,"Yes",$H$2:$H551,$H551))</f>
        <v/>
      </c>
    </row>
    <row r="552" customFormat="false" ht="15" hidden="false" customHeight="false" outlineLevel="0" collapsed="false">
      <c r="A552" s="44" t="str">
        <f aca="false">IF($B552="","",COUNTA($B$2:$B552))</f>
        <v/>
      </c>
      <c r="B552" s="11"/>
      <c r="C552" s="11"/>
      <c r="D552" s="11"/>
      <c r="E552" s="11"/>
      <c r="F552" s="11"/>
      <c r="G552" s="34"/>
      <c r="H552" s="25"/>
      <c r="I552" s="40"/>
      <c r="J552" s="34"/>
      <c r="K552" s="45"/>
      <c r="L552" s="34"/>
      <c r="M552" s="34"/>
      <c r="N552" s="11"/>
      <c r="O552" s="11"/>
      <c r="P552" s="11"/>
      <c r="Q552" s="11"/>
      <c r="R552" s="11"/>
      <c r="S552" s="46"/>
      <c r="T552" s="44" t="str">
        <f aca="false">IF($B552="","",COUNTA($N552:$R552)-COUNTIF($N552:$R552,"Not Invited"))</f>
        <v/>
      </c>
      <c r="U552" s="44" t="str">
        <f aca="false">IF($B552="","",COUNTIF($N552:$R552,"Attended"))</f>
        <v/>
      </c>
      <c r="V552" s="47" t="str">
        <f aca="false">IF($B552="","",_xlfn.TEXTJOIN(", ",TRUE(),IF($N552="Attended",Setup!$D$15,""),IF($O552="Attended",Setup!$D$16,""),IF($P552="Attended",Setup!$D$17,""),IF($Q552="Attended",Setup!$D$18,""),IF($R552="Attended",Setup!$D$19,"")))</f>
        <v/>
      </c>
      <c r="W552" s="48" t="str">
        <f aca="true">IF(OR($B552="",NOT(ISNUMBER($H552))),"",TODAY()-$H552)</f>
        <v/>
      </c>
      <c r="X552" s="47" t="str">
        <f aca="false">IF($B552="","",IF($U552&gt;0,"Event attendee",IF($G552="Yes","Met (no event)",IF($T552&gt;0,"Invited only",IF(OR($L552="Yes",$M552="Yes"),"Contacted only","Not yet contacted")))))</f>
        <v/>
      </c>
      <c r="Y552" s="47" t="str">
        <f aca="false">IF($B552="","",COUNTIF(c_Firm,"&lt;"&amp;$D552)+COUNTIFS(c_Firm,$D552,c_Name,"&lt;"&amp;$B552)+COUNTIFS($D$2:$D552,$D552,$B$2:$B552,$B552))</f>
        <v/>
      </c>
      <c r="Z552" s="47" t="str">
        <f aca="false">IF($B552="","",IF(AND(OR(Contacts!$C$3="(All)",$D552=Contacts!$C$3),OR(Contacts!$E$3="(All)",$G552=Contacts!$E$3),OR(Contacts!$G$3="(All)",ISNUMBER(SEARCH(Contacts!$G$3,$V552))),OR(Contacts!$I$3="(All)",$X552=Contacts!$I$3),OR(Contacts!$K$3="",ISNUMBER(SEARCH(Contacts!$K$3,$B552&amp;" "&amp;$C552&amp;" "&amp;$D552&amp;" "&amp;$S552)))),1,0))</f>
        <v/>
      </c>
      <c r="AA552" s="47" t="str">
        <f aca="false">IF($Z552=1,COUNTIFS(c_Pass,1,c_Sort,"&lt;="&amp;$Y552),"")</f>
        <v/>
      </c>
      <c r="AB552" s="47" t="str">
        <f aca="false">IF(OR($G552&lt;&gt;"Yes",NOT(ISNUMBER($H552))),"",COUNTIFS(c_Met,"Yes",c_Date,"&lt;"&amp;$H552)+COUNTIFS($G$2:$G552,"Yes",$H$2:$H552,$H552))</f>
        <v/>
      </c>
    </row>
    <row r="553" customFormat="false" ht="15" hidden="false" customHeight="false" outlineLevel="0" collapsed="false">
      <c r="A553" s="44" t="str">
        <f aca="false">IF($B553="","",COUNTA($B$2:$B553))</f>
        <v/>
      </c>
      <c r="B553" s="11"/>
      <c r="C553" s="11"/>
      <c r="D553" s="11"/>
      <c r="E553" s="11"/>
      <c r="F553" s="11"/>
      <c r="G553" s="34"/>
      <c r="H553" s="25"/>
      <c r="I553" s="40"/>
      <c r="J553" s="34"/>
      <c r="K553" s="45"/>
      <c r="L553" s="34"/>
      <c r="M553" s="34"/>
      <c r="N553" s="11"/>
      <c r="O553" s="11"/>
      <c r="P553" s="11"/>
      <c r="Q553" s="11"/>
      <c r="R553" s="11"/>
      <c r="S553" s="46"/>
      <c r="T553" s="44" t="str">
        <f aca="false">IF($B553="","",COUNTA($N553:$R553)-COUNTIF($N553:$R553,"Not Invited"))</f>
        <v/>
      </c>
      <c r="U553" s="44" t="str">
        <f aca="false">IF($B553="","",COUNTIF($N553:$R553,"Attended"))</f>
        <v/>
      </c>
      <c r="V553" s="47" t="str">
        <f aca="false">IF($B553="","",_xlfn.TEXTJOIN(", ",TRUE(),IF($N553="Attended",Setup!$D$15,""),IF($O553="Attended",Setup!$D$16,""),IF($P553="Attended",Setup!$D$17,""),IF($Q553="Attended",Setup!$D$18,""),IF($R553="Attended",Setup!$D$19,"")))</f>
        <v/>
      </c>
      <c r="W553" s="48" t="str">
        <f aca="true">IF(OR($B553="",NOT(ISNUMBER($H553))),"",TODAY()-$H553)</f>
        <v/>
      </c>
      <c r="X553" s="47" t="str">
        <f aca="false">IF($B553="","",IF($U553&gt;0,"Event attendee",IF($G553="Yes","Met (no event)",IF($T553&gt;0,"Invited only",IF(OR($L553="Yes",$M553="Yes"),"Contacted only","Not yet contacted")))))</f>
        <v/>
      </c>
      <c r="Y553" s="47" t="str">
        <f aca="false">IF($B553="","",COUNTIF(c_Firm,"&lt;"&amp;$D553)+COUNTIFS(c_Firm,$D553,c_Name,"&lt;"&amp;$B553)+COUNTIFS($D$2:$D553,$D553,$B$2:$B553,$B553))</f>
        <v/>
      </c>
      <c r="Z553" s="47" t="str">
        <f aca="false">IF($B553="","",IF(AND(OR(Contacts!$C$3="(All)",$D553=Contacts!$C$3),OR(Contacts!$E$3="(All)",$G553=Contacts!$E$3),OR(Contacts!$G$3="(All)",ISNUMBER(SEARCH(Contacts!$G$3,$V553))),OR(Contacts!$I$3="(All)",$X553=Contacts!$I$3),OR(Contacts!$K$3="",ISNUMBER(SEARCH(Contacts!$K$3,$B553&amp;" "&amp;$C553&amp;" "&amp;$D553&amp;" "&amp;$S553)))),1,0))</f>
        <v/>
      </c>
      <c r="AA553" s="47" t="str">
        <f aca="false">IF($Z553=1,COUNTIFS(c_Pass,1,c_Sort,"&lt;="&amp;$Y553),"")</f>
        <v/>
      </c>
      <c r="AB553" s="47" t="str">
        <f aca="false">IF(OR($G553&lt;&gt;"Yes",NOT(ISNUMBER($H553))),"",COUNTIFS(c_Met,"Yes",c_Date,"&lt;"&amp;$H553)+COUNTIFS($G$2:$G553,"Yes",$H$2:$H553,$H553))</f>
        <v/>
      </c>
    </row>
    <row r="554" customFormat="false" ht="15" hidden="false" customHeight="false" outlineLevel="0" collapsed="false">
      <c r="A554" s="44" t="str">
        <f aca="false">IF($B554="","",COUNTA($B$2:$B554))</f>
        <v/>
      </c>
      <c r="B554" s="11"/>
      <c r="C554" s="11"/>
      <c r="D554" s="11"/>
      <c r="E554" s="11"/>
      <c r="F554" s="11"/>
      <c r="G554" s="34"/>
      <c r="H554" s="25"/>
      <c r="I554" s="40"/>
      <c r="J554" s="34"/>
      <c r="K554" s="45"/>
      <c r="L554" s="34"/>
      <c r="M554" s="34"/>
      <c r="N554" s="11"/>
      <c r="O554" s="11"/>
      <c r="P554" s="11"/>
      <c r="Q554" s="11"/>
      <c r="R554" s="11"/>
      <c r="S554" s="46"/>
      <c r="T554" s="44" t="str">
        <f aca="false">IF($B554="","",COUNTA($N554:$R554)-COUNTIF($N554:$R554,"Not Invited"))</f>
        <v/>
      </c>
      <c r="U554" s="44" t="str">
        <f aca="false">IF($B554="","",COUNTIF($N554:$R554,"Attended"))</f>
        <v/>
      </c>
      <c r="V554" s="47" t="str">
        <f aca="false">IF($B554="","",_xlfn.TEXTJOIN(", ",TRUE(),IF($N554="Attended",Setup!$D$15,""),IF($O554="Attended",Setup!$D$16,""),IF($P554="Attended",Setup!$D$17,""),IF($Q554="Attended",Setup!$D$18,""),IF($R554="Attended",Setup!$D$19,"")))</f>
        <v/>
      </c>
      <c r="W554" s="48" t="str">
        <f aca="true">IF(OR($B554="",NOT(ISNUMBER($H554))),"",TODAY()-$H554)</f>
        <v/>
      </c>
      <c r="X554" s="47" t="str">
        <f aca="false">IF($B554="","",IF($U554&gt;0,"Event attendee",IF($G554="Yes","Met (no event)",IF($T554&gt;0,"Invited only",IF(OR($L554="Yes",$M554="Yes"),"Contacted only","Not yet contacted")))))</f>
        <v/>
      </c>
      <c r="Y554" s="47" t="str">
        <f aca="false">IF($B554="","",COUNTIF(c_Firm,"&lt;"&amp;$D554)+COUNTIFS(c_Firm,$D554,c_Name,"&lt;"&amp;$B554)+COUNTIFS($D$2:$D554,$D554,$B$2:$B554,$B554))</f>
        <v/>
      </c>
      <c r="Z554" s="47" t="str">
        <f aca="false">IF($B554="","",IF(AND(OR(Contacts!$C$3="(All)",$D554=Contacts!$C$3),OR(Contacts!$E$3="(All)",$G554=Contacts!$E$3),OR(Contacts!$G$3="(All)",ISNUMBER(SEARCH(Contacts!$G$3,$V554))),OR(Contacts!$I$3="(All)",$X554=Contacts!$I$3),OR(Contacts!$K$3="",ISNUMBER(SEARCH(Contacts!$K$3,$B554&amp;" "&amp;$C554&amp;" "&amp;$D554&amp;" "&amp;$S554)))),1,0))</f>
        <v/>
      </c>
      <c r="AA554" s="47" t="str">
        <f aca="false">IF($Z554=1,COUNTIFS(c_Pass,1,c_Sort,"&lt;="&amp;$Y554),"")</f>
        <v/>
      </c>
      <c r="AB554" s="47" t="str">
        <f aca="false">IF(OR($G554&lt;&gt;"Yes",NOT(ISNUMBER($H554))),"",COUNTIFS(c_Met,"Yes",c_Date,"&lt;"&amp;$H554)+COUNTIFS($G$2:$G554,"Yes",$H$2:$H554,$H554))</f>
        <v/>
      </c>
    </row>
    <row r="555" customFormat="false" ht="15" hidden="false" customHeight="false" outlineLevel="0" collapsed="false">
      <c r="A555" s="44" t="str">
        <f aca="false">IF($B555="","",COUNTA($B$2:$B555))</f>
        <v/>
      </c>
      <c r="B555" s="11"/>
      <c r="C555" s="11"/>
      <c r="D555" s="11"/>
      <c r="E555" s="11"/>
      <c r="F555" s="11"/>
      <c r="G555" s="34"/>
      <c r="H555" s="25"/>
      <c r="I555" s="40"/>
      <c r="J555" s="34"/>
      <c r="K555" s="45"/>
      <c r="L555" s="34"/>
      <c r="M555" s="34"/>
      <c r="N555" s="11"/>
      <c r="O555" s="11"/>
      <c r="P555" s="11"/>
      <c r="Q555" s="11"/>
      <c r="R555" s="11"/>
      <c r="S555" s="46"/>
      <c r="T555" s="44" t="str">
        <f aca="false">IF($B555="","",COUNTA($N555:$R555)-COUNTIF($N555:$R555,"Not Invited"))</f>
        <v/>
      </c>
      <c r="U555" s="44" t="str">
        <f aca="false">IF($B555="","",COUNTIF($N555:$R555,"Attended"))</f>
        <v/>
      </c>
      <c r="V555" s="47" t="str">
        <f aca="false">IF($B555="","",_xlfn.TEXTJOIN(", ",TRUE(),IF($N555="Attended",Setup!$D$15,""),IF($O555="Attended",Setup!$D$16,""),IF($P555="Attended",Setup!$D$17,""),IF($Q555="Attended",Setup!$D$18,""),IF($R555="Attended",Setup!$D$19,"")))</f>
        <v/>
      </c>
      <c r="W555" s="48" t="str">
        <f aca="true">IF(OR($B555="",NOT(ISNUMBER($H555))),"",TODAY()-$H555)</f>
        <v/>
      </c>
      <c r="X555" s="47" t="str">
        <f aca="false">IF($B555="","",IF($U555&gt;0,"Event attendee",IF($G555="Yes","Met (no event)",IF($T555&gt;0,"Invited only",IF(OR($L555="Yes",$M555="Yes"),"Contacted only","Not yet contacted")))))</f>
        <v/>
      </c>
      <c r="Y555" s="47" t="str">
        <f aca="false">IF($B555="","",COUNTIF(c_Firm,"&lt;"&amp;$D555)+COUNTIFS(c_Firm,$D555,c_Name,"&lt;"&amp;$B555)+COUNTIFS($D$2:$D555,$D555,$B$2:$B555,$B555))</f>
        <v/>
      </c>
      <c r="Z555" s="47" t="str">
        <f aca="false">IF($B555="","",IF(AND(OR(Contacts!$C$3="(All)",$D555=Contacts!$C$3),OR(Contacts!$E$3="(All)",$G555=Contacts!$E$3),OR(Contacts!$G$3="(All)",ISNUMBER(SEARCH(Contacts!$G$3,$V555))),OR(Contacts!$I$3="(All)",$X555=Contacts!$I$3),OR(Contacts!$K$3="",ISNUMBER(SEARCH(Contacts!$K$3,$B555&amp;" "&amp;$C555&amp;" "&amp;$D555&amp;" "&amp;$S555)))),1,0))</f>
        <v/>
      </c>
      <c r="AA555" s="47" t="str">
        <f aca="false">IF($Z555=1,COUNTIFS(c_Pass,1,c_Sort,"&lt;="&amp;$Y555),"")</f>
        <v/>
      </c>
      <c r="AB555" s="47" t="str">
        <f aca="false">IF(OR($G555&lt;&gt;"Yes",NOT(ISNUMBER($H555))),"",COUNTIFS(c_Met,"Yes",c_Date,"&lt;"&amp;$H555)+COUNTIFS($G$2:$G555,"Yes",$H$2:$H555,$H555))</f>
        <v/>
      </c>
    </row>
    <row r="556" customFormat="false" ht="15" hidden="false" customHeight="false" outlineLevel="0" collapsed="false">
      <c r="A556" s="44" t="str">
        <f aca="false">IF($B556="","",COUNTA($B$2:$B556))</f>
        <v/>
      </c>
      <c r="B556" s="11"/>
      <c r="C556" s="11"/>
      <c r="D556" s="11"/>
      <c r="E556" s="11"/>
      <c r="F556" s="11"/>
      <c r="G556" s="34"/>
      <c r="H556" s="25"/>
      <c r="I556" s="40"/>
      <c r="J556" s="34"/>
      <c r="K556" s="45"/>
      <c r="L556" s="34"/>
      <c r="M556" s="34"/>
      <c r="N556" s="11"/>
      <c r="O556" s="11"/>
      <c r="P556" s="11"/>
      <c r="Q556" s="11"/>
      <c r="R556" s="11"/>
      <c r="S556" s="46"/>
      <c r="T556" s="44" t="str">
        <f aca="false">IF($B556="","",COUNTA($N556:$R556)-COUNTIF($N556:$R556,"Not Invited"))</f>
        <v/>
      </c>
      <c r="U556" s="44" t="str">
        <f aca="false">IF($B556="","",COUNTIF($N556:$R556,"Attended"))</f>
        <v/>
      </c>
      <c r="V556" s="47" t="str">
        <f aca="false">IF($B556="","",_xlfn.TEXTJOIN(", ",TRUE(),IF($N556="Attended",Setup!$D$15,""),IF($O556="Attended",Setup!$D$16,""),IF($P556="Attended",Setup!$D$17,""),IF($Q556="Attended",Setup!$D$18,""),IF($R556="Attended",Setup!$D$19,"")))</f>
        <v/>
      </c>
      <c r="W556" s="48" t="str">
        <f aca="true">IF(OR($B556="",NOT(ISNUMBER($H556))),"",TODAY()-$H556)</f>
        <v/>
      </c>
      <c r="X556" s="47" t="str">
        <f aca="false">IF($B556="","",IF($U556&gt;0,"Event attendee",IF($G556="Yes","Met (no event)",IF($T556&gt;0,"Invited only",IF(OR($L556="Yes",$M556="Yes"),"Contacted only","Not yet contacted")))))</f>
        <v/>
      </c>
      <c r="Y556" s="47" t="str">
        <f aca="false">IF($B556="","",COUNTIF(c_Firm,"&lt;"&amp;$D556)+COUNTIFS(c_Firm,$D556,c_Name,"&lt;"&amp;$B556)+COUNTIFS($D$2:$D556,$D556,$B$2:$B556,$B556))</f>
        <v/>
      </c>
      <c r="Z556" s="47" t="str">
        <f aca="false">IF($B556="","",IF(AND(OR(Contacts!$C$3="(All)",$D556=Contacts!$C$3),OR(Contacts!$E$3="(All)",$G556=Contacts!$E$3),OR(Contacts!$G$3="(All)",ISNUMBER(SEARCH(Contacts!$G$3,$V556))),OR(Contacts!$I$3="(All)",$X556=Contacts!$I$3),OR(Contacts!$K$3="",ISNUMBER(SEARCH(Contacts!$K$3,$B556&amp;" "&amp;$C556&amp;" "&amp;$D556&amp;" "&amp;$S556)))),1,0))</f>
        <v/>
      </c>
      <c r="AA556" s="47" t="str">
        <f aca="false">IF($Z556=1,COUNTIFS(c_Pass,1,c_Sort,"&lt;="&amp;$Y556),"")</f>
        <v/>
      </c>
      <c r="AB556" s="47" t="str">
        <f aca="false">IF(OR($G556&lt;&gt;"Yes",NOT(ISNUMBER($H556))),"",COUNTIFS(c_Met,"Yes",c_Date,"&lt;"&amp;$H556)+COUNTIFS($G$2:$G556,"Yes",$H$2:$H556,$H556))</f>
        <v/>
      </c>
    </row>
    <row r="557" customFormat="false" ht="15" hidden="false" customHeight="false" outlineLevel="0" collapsed="false">
      <c r="A557" s="44" t="str">
        <f aca="false">IF($B557="","",COUNTA($B$2:$B557))</f>
        <v/>
      </c>
      <c r="B557" s="11"/>
      <c r="C557" s="11"/>
      <c r="D557" s="11"/>
      <c r="E557" s="11"/>
      <c r="F557" s="11"/>
      <c r="G557" s="34"/>
      <c r="H557" s="25"/>
      <c r="I557" s="40"/>
      <c r="J557" s="34"/>
      <c r="K557" s="45"/>
      <c r="L557" s="34"/>
      <c r="M557" s="34"/>
      <c r="N557" s="11"/>
      <c r="O557" s="11"/>
      <c r="P557" s="11"/>
      <c r="Q557" s="11"/>
      <c r="R557" s="11"/>
      <c r="S557" s="46"/>
      <c r="T557" s="44" t="str">
        <f aca="false">IF($B557="","",COUNTA($N557:$R557)-COUNTIF($N557:$R557,"Not Invited"))</f>
        <v/>
      </c>
      <c r="U557" s="44" t="str">
        <f aca="false">IF($B557="","",COUNTIF($N557:$R557,"Attended"))</f>
        <v/>
      </c>
      <c r="V557" s="47" t="str">
        <f aca="false">IF($B557="","",_xlfn.TEXTJOIN(", ",TRUE(),IF($N557="Attended",Setup!$D$15,""),IF($O557="Attended",Setup!$D$16,""),IF($P557="Attended",Setup!$D$17,""),IF($Q557="Attended",Setup!$D$18,""),IF($R557="Attended",Setup!$D$19,"")))</f>
        <v/>
      </c>
      <c r="W557" s="48" t="str">
        <f aca="true">IF(OR($B557="",NOT(ISNUMBER($H557))),"",TODAY()-$H557)</f>
        <v/>
      </c>
      <c r="X557" s="47" t="str">
        <f aca="false">IF($B557="","",IF($U557&gt;0,"Event attendee",IF($G557="Yes","Met (no event)",IF($T557&gt;0,"Invited only",IF(OR($L557="Yes",$M557="Yes"),"Contacted only","Not yet contacted")))))</f>
        <v/>
      </c>
      <c r="Y557" s="47" t="str">
        <f aca="false">IF($B557="","",COUNTIF(c_Firm,"&lt;"&amp;$D557)+COUNTIFS(c_Firm,$D557,c_Name,"&lt;"&amp;$B557)+COUNTIFS($D$2:$D557,$D557,$B$2:$B557,$B557))</f>
        <v/>
      </c>
      <c r="Z557" s="47" t="str">
        <f aca="false">IF($B557="","",IF(AND(OR(Contacts!$C$3="(All)",$D557=Contacts!$C$3),OR(Contacts!$E$3="(All)",$G557=Contacts!$E$3),OR(Contacts!$G$3="(All)",ISNUMBER(SEARCH(Contacts!$G$3,$V557))),OR(Contacts!$I$3="(All)",$X557=Contacts!$I$3),OR(Contacts!$K$3="",ISNUMBER(SEARCH(Contacts!$K$3,$B557&amp;" "&amp;$C557&amp;" "&amp;$D557&amp;" "&amp;$S557)))),1,0))</f>
        <v/>
      </c>
      <c r="AA557" s="47" t="str">
        <f aca="false">IF($Z557=1,COUNTIFS(c_Pass,1,c_Sort,"&lt;="&amp;$Y557),"")</f>
        <v/>
      </c>
      <c r="AB557" s="47" t="str">
        <f aca="false">IF(OR($G557&lt;&gt;"Yes",NOT(ISNUMBER($H557))),"",COUNTIFS(c_Met,"Yes",c_Date,"&lt;"&amp;$H557)+COUNTIFS($G$2:$G557,"Yes",$H$2:$H557,$H557))</f>
        <v/>
      </c>
    </row>
    <row r="558" customFormat="false" ht="15" hidden="false" customHeight="false" outlineLevel="0" collapsed="false">
      <c r="A558" s="44" t="str">
        <f aca="false">IF($B558="","",COUNTA($B$2:$B558))</f>
        <v/>
      </c>
      <c r="B558" s="11"/>
      <c r="C558" s="11"/>
      <c r="D558" s="11"/>
      <c r="E558" s="11"/>
      <c r="F558" s="11"/>
      <c r="G558" s="34"/>
      <c r="H558" s="25"/>
      <c r="I558" s="40"/>
      <c r="J558" s="34"/>
      <c r="K558" s="45"/>
      <c r="L558" s="34"/>
      <c r="M558" s="34"/>
      <c r="N558" s="11"/>
      <c r="O558" s="11"/>
      <c r="P558" s="11"/>
      <c r="Q558" s="11"/>
      <c r="R558" s="11"/>
      <c r="S558" s="46"/>
      <c r="T558" s="44" t="str">
        <f aca="false">IF($B558="","",COUNTA($N558:$R558)-COUNTIF($N558:$R558,"Not Invited"))</f>
        <v/>
      </c>
      <c r="U558" s="44" t="str">
        <f aca="false">IF($B558="","",COUNTIF($N558:$R558,"Attended"))</f>
        <v/>
      </c>
      <c r="V558" s="47" t="str">
        <f aca="false">IF($B558="","",_xlfn.TEXTJOIN(", ",TRUE(),IF($N558="Attended",Setup!$D$15,""),IF($O558="Attended",Setup!$D$16,""),IF($P558="Attended",Setup!$D$17,""),IF($Q558="Attended",Setup!$D$18,""),IF($R558="Attended",Setup!$D$19,"")))</f>
        <v/>
      </c>
      <c r="W558" s="48" t="str">
        <f aca="true">IF(OR($B558="",NOT(ISNUMBER($H558))),"",TODAY()-$H558)</f>
        <v/>
      </c>
      <c r="X558" s="47" t="str">
        <f aca="false">IF($B558="","",IF($U558&gt;0,"Event attendee",IF($G558="Yes","Met (no event)",IF($T558&gt;0,"Invited only",IF(OR($L558="Yes",$M558="Yes"),"Contacted only","Not yet contacted")))))</f>
        <v/>
      </c>
      <c r="Y558" s="47" t="str">
        <f aca="false">IF($B558="","",COUNTIF(c_Firm,"&lt;"&amp;$D558)+COUNTIFS(c_Firm,$D558,c_Name,"&lt;"&amp;$B558)+COUNTIFS($D$2:$D558,$D558,$B$2:$B558,$B558))</f>
        <v/>
      </c>
      <c r="Z558" s="47" t="str">
        <f aca="false">IF($B558="","",IF(AND(OR(Contacts!$C$3="(All)",$D558=Contacts!$C$3),OR(Contacts!$E$3="(All)",$G558=Contacts!$E$3),OR(Contacts!$G$3="(All)",ISNUMBER(SEARCH(Contacts!$G$3,$V558))),OR(Contacts!$I$3="(All)",$X558=Contacts!$I$3),OR(Contacts!$K$3="",ISNUMBER(SEARCH(Contacts!$K$3,$B558&amp;" "&amp;$C558&amp;" "&amp;$D558&amp;" "&amp;$S558)))),1,0))</f>
        <v/>
      </c>
      <c r="AA558" s="47" t="str">
        <f aca="false">IF($Z558=1,COUNTIFS(c_Pass,1,c_Sort,"&lt;="&amp;$Y558),"")</f>
        <v/>
      </c>
      <c r="AB558" s="47" t="str">
        <f aca="false">IF(OR($G558&lt;&gt;"Yes",NOT(ISNUMBER($H558))),"",COUNTIFS(c_Met,"Yes",c_Date,"&lt;"&amp;$H558)+COUNTIFS($G$2:$G558,"Yes",$H$2:$H558,$H558))</f>
        <v/>
      </c>
    </row>
    <row r="559" customFormat="false" ht="15" hidden="false" customHeight="false" outlineLevel="0" collapsed="false">
      <c r="A559" s="44" t="str">
        <f aca="false">IF($B559="","",COUNTA($B$2:$B559))</f>
        <v/>
      </c>
      <c r="B559" s="11"/>
      <c r="C559" s="11"/>
      <c r="D559" s="11"/>
      <c r="E559" s="11"/>
      <c r="F559" s="11"/>
      <c r="G559" s="34"/>
      <c r="H559" s="25"/>
      <c r="I559" s="40"/>
      <c r="J559" s="34"/>
      <c r="K559" s="45"/>
      <c r="L559" s="34"/>
      <c r="M559" s="34"/>
      <c r="N559" s="11"/>
      <c r="O559" s="11"/>
      <c r="P559" s="11"/>
      <c r="Q559" s="11"/>
      <c r="R559" s="11"/>
      <c r="S559" s="46"/>
      <c r="T559" s="44" t="str">
        <f aca="false">IF($B559="","",COUNTA($N559:$R559)-COUNTIF($N559:$R559,"Not Invited"))</f>
        <v/>
      </c>
      <c r="U559" s="44" t="str">
        <f aca="false">IF($B559="","",COUNTIF($N559:$R559,"Attended"))</f>
        <v/>
      </c>
      <c r="V559" s="47" t="str">
        <f aca="false">IF($B559="","",_xlfn.TEXTJOIN(", ",TRUE(),IF($N559="Attended",Setup!$D$15,""),IF($O559="Attended",Setup!$D$16,""),IF($P559="Attended",Setup!$D$17,""),IF($Q559="Attended",Setup!$D$18,""),IF($R559="Attended",Setup!$D$19,"")))</f>
        <v/>
      </c>
      <c r="W559" s="48" t="str">
        <f aca="true">IF(OR($B559="",NOT(ISNUMBER($H559))),"",TODAY()-$H559)</f>
        <v/>
      </c>
      <c r="X559" s="47" t="str">
        <f aca="false">IF($B559="","",IF($U559&gt;0,"Event attendee",IF($G559="Yes","Met (no event)",IF($T559&gt;0,"Invited only",IF(OR($L559="Yes",$M559="Yes"),"Contacted only","Not yet contacted")))))</f>
        <v/>
      </c>
      <c r="Y559" s="47" t="str">
        <f aca="false">IF($B559="","",COUNTIF(c_Firm,"&lt;"&amp;$D559)+COUNTIFS(c_Firm,$D559,c_Name,"&lt;"&amp;$B559)+COUNTIFS($D$2:$D559,$D559,$B$2:$B559,$B559))</f>
        <v/>
      </c>
      <c r="Z559" s="47" t="str">
        <f aca="false">IF($B559="","",IF(AND(OR(Contacts!$C$3="(All)",$D559=Contacts!$C$3),OR(Contacts!$E$3="(All)",$G559=Contacts!$E$3),OR(Contacts!$G$3="(All)",ISNUMBER(SEARCH(Contacts!$G$3,$V559))),OR(Contacts!$I$3="(All)",$X559=Contacts!$I$3),OR(Contacts!$K$3="",ISNUMBER(SEARCH(Contacts!$K$3,$B559&amp;" "&amp;$C559&amp;" "&amp;$D559&amp;" "&amp;$S559)))),1,0))</f>
        <v/>
      </c>
      <c r="AA559" s="47" t="str">
        <f aca="false">IF($Z559=1,COUNTIFS(c_Pass,1,c_Sort,"&lt;="&amp;$Y559),"")</f>
        <v/>
      </c>
      <c r="AB559" s="47" t="str">
        <f aca="false">IF(OR($G559&lt;&gt;"Yes",NOT(ISNUMBER($H559))),"",COUNTIFS(c_Met,"Yes",c_Date,"&lt;"&amp;$H559)+COUNTIFS($G$2:$G559,"Yes",$H$2:$H559,$H559))</f>
        <v/>
      </c>
    </row>
    <row r="560" customFormat="false" ht="15" hidden="false" customHeight="false" outlineLevel="0" collapsed="false">
      <c r="A560" s="44" t="str">
        <f aca="false">IF($B560="","",COUNTA($B$2:$B560))</f>
        <v/>
      </c>
      <c r="B560" s="11"/>
      <c r="C560" s="11"/>
      <c r="D560" s="11"/>
      <c r="E560" s="11"/>
      <c r="F560" s="11"/>
      <c r="G560" s="34"/>
      <c r="H560" s="25"/>
      <c r="I560" s="40"/>
      <c r="J560" s="34"/>
      <c r="K560" s="45"/>
      <c r="L560" s="34"/>
      <c r="M560" s="34"/>
      <c r="N560" s="11"/>
      <c r="O560" s="11"/>
      <c r="P560" s="11"/>
      <c r="Q560" s="11"/>
      <c r="R560" s="11"/>
      <c r="S560" s="46"/>
      <c r="T560" s="44" t="str">
        <f aca="false">IF($B560="","",COUNTA($N560:$R560)-COUNTIF($N560:$R560,"Not Invited"))</f>
        <v/>
      </c>
      <c r="U560" s="44" t="str">
        <f aca="false">IF($B560="","",COUNTIF($N560:$R560,"Attended"))</f>
        <v/>
      </c>
      <c r="V560" s="47" t="str">
        <f aca="false">IF($B560="","",_xlfn.TEXTJOIN(", ",TRUE(),IF($N560="Attended",Setup!$D$15,""),IF($O560="Attended",Setup!$D$16,""),IF($P560="Attended",Setup!$D$17,""),IF($Q560="Attended",Setup!$D$18,""),IF($R560="Attended",Setup!$D$19,"")))</f>
        <v/>
      </c>
      <c r="W560" s="48" t="str">
        <f aca="true">IF(OR($B560="",NOT(ISNUMBER($H560))),"",TODAY()-$H560)</f>
        <v/>
      </c>
      <c r="X560" s="47" t="str">
        <f aca="false">IF($B560="","",IF($U560&gt;0,"Event attendee",IF($G560="Yes","Met (no event)",IF($T560&gt;0,"Invited only",IF(OR($L560="Yes",$M560="Yes"),"Contacted only","Not yet contacted")))))</f>
        <v/>
      </c>
      <c r="Y560" s="47" t="str">
        <f aca="false">IF($B560="","",COUNTIF(c_Firm,"&lt;"&amp;$D560)+COUNTIFS(c_Firm,$D560,c_Name,"&lt;"&amp;$B560)+COUNTIFS($D$2:$D560,$D560,$B$2:$B560,$B560))</f>
        <v/>
      </c>
      <c r="Z560" s="47" t="str">
        <f aca="false">IF($B560="","",IF(AND(OR(Contacts!$C$3="(All)",$D560=Contacts!$C$3),OR(Contacts!$E$3="(All)",$G560=Contacts!$E$3),OR(Contacts!$G$3="(All)",ISNUMBER(SEARCH(Contacts!$G$3,$V560))),OR(Contacts!$I$3="(All)",$X560=Contacts!$I$3),OR(Contacts!$K$3="",ISNUMBER(SEARCH(Contacts!$K$3,$B560&amp;" "&amp;$C560&amp;" "&amp;$D560&amp;" "&amp;$S560)))),1,0))</f>
        <v/>
      </c>
      <c r="AA560" s="47" t="str">
        <f aca="false">IF($Z560=1,COUNTIFS(c_Pass,1,c_Sort,"&lt;="&amp;$Y560),"")</f>
        <v/>
      </c>
      <c r="AB560" s="47" t="str">
        <f aca="false">IF(OR($G560&lt;&gt;"Yes",NOT(ISNUMBER($H560))),"",COUNTIFS(c_Met,"Yes",c_Date,"&lt;"&amp;$H560)+COUNTIFS($G$2:$G560,"Yes",$H$2:$H560,$H560))</f>
        <v/>
      </c>
    </row>
    <row r="561" customFormat="false" ht="15" hidden="false" customHeight="false" outlineLevel="0" collapsed="false">
      <c r="A561" s="44" t="str">
        <f aca="false">IF($B561="","",COUNTA($B$2:$B561))</f>
        <v/>
      </c>
      <c r="B561" s="11"/>
      <c r="C561" s="11"/>
      <c r="D561" s="11"/>
      <c r="E561" s="11"/>
      <c r="F561" s="11"/>
      <c r="G561" s="34"/>
      <c r="H561" s="25"/>
      <c r="I561" s="40"/>
      <c r="J561" s="34"/>
      <c r="K561" s="45"/>
      <c r="L561" s="34"/>
      <c r="M561" s="34"/>
      <c r="N561" s="11"/>
      <c r="O561" s="11"/>
      <c r="P561" s="11"/>
      <c r="Q561" s="11"/>
      <c r="R561" s="11"/>
      <c r="S561" s="46"/>
      <c r="T561" s="44" t="str">
        <f aca="false">IF($B561="","",COUNTA($N561:$R561)-COUNTIF($N561:$R561,"Not Invited"))</f>
        <v/>
      </c>
      <c r="U561" s="44" t="str">
        <f aca="false">IF($B561="","",COUNTIF($N561:$R561,"Attended"))</f>
        <v/>
      </c>
      <c r="V561" s="47" t="str">
        <f aca="false">IF($B561="","",_xlfn.TEXTJOIN(", ",TRUE(),IF($N561="Attended",Setup!$D$15,""),IF($O561="Attended",Setup!$D$16,""),IF($P561="Attended",Setup!$D$17,""),IF($Q561="Attended",Setup!$D$18,""),IF($R561="Attended",Setup!$D$19,"")))</f>
        <v/>
      </c>
      <c r="W561" s="48" t="str">
        <f aca="true">IF(OR($B561="",NOT(ISNUMBER($H561))),"",TODAY()-$H561)</f>
        <v/>
      </c>
      <c r="X561" s="47" t="str">
        <f aca="false">IF($B561="","",IF($U561&gt;0,"Event attendee",IF($G561="Yes","Met (no event)",IF($T561&gt;0,"Invited only",IF(OR($L561="Yes",$M561="Yes"),"Contacted only","Not yet contacted")))))</f>
        <v/>
      </c>
      <c r="Y561" s="47" t="str">
        <f aca="false">IF($B561="","",COUNTIF(c_Firm,"&lt;"&amp;$D561)+COUNTIFS(c_Firm,$D561,c_Name,"&lt;"&amp;$B561)+COUNTIFS($D$2:$D561,$D561,$B$2:$B561,$B561))</f>
        <v/>
      </c>
      <c r="Z561" s="47" t="str">
        <f aca="false">IF($B561="","",IF(AND(OR(Contacts!$C$3="(All)",$D561=Contacts!$C$3),OR(Contacts!$E$3="(All)",$G561=Contacts!$E$3),OR(Contacts!$G$3="(All)",ISNUMBER(SEARCH(Contacts!$G$3,$V561))),OR(Contacts!$I$3="(All)",$X561=Contacts!$I$3),OR(Contacts!$K$3="",ISNUMBER(SEARCH(Contacts!$K$3,$B561&amp;" "&amp;$C561&amp;" "&amp;$D561&amp;" "&amp;$S561)))),1,0))</f>
        <v/>
      </c>
      <c r="AA561" s="47" t="str">
        <f aca="false">IF($Z561=1,COUNTIFS(c_Pass,1,c_Sort,"&lt;="&amp;$Y561),"")</f>
        <v/>
      </c>
      <c r="AB561" s="47" t="str">
        <f aca="false">IF(OR($G561&lt;&gt;"Yes",NOT(ISNUMBER($H561))),"",COUNTIFS(c_Met,"Yes",c_Date,"&lt;"&amp;$H561)+COUNTIFS($G$2:$G561,"Yes",$H$2:$H561,$H561))</f>
        <v/>
      </c>
    </row>
    <row r="562" customFormat="false" ht="15" hidden="false" customHeight="false" outlineLevel="0" collapsed="false">
      <c r="A562" s="44" t="str">
        <f aca="false">IF($B562="","",COUNTA($B$2:$B562))</f>
        <v/>
      </c>
      <c r="B562" s="11"/>
      <c r="C562" s="11"/>
      <c r="D562" s="11"/>
      <c r="E562" s="11"/>
      <c r="F562" s="11"/>
      <c r="G562" s="34"/>
      <c r="H562" s="25"/>
      <c r="I562" s="40"/>
      <c r="J562" s="34"/>
      <c r="K562" s="45"/>
      <c r="L562" s="34"/>
      <c r="M562" s="34"/>
      <c r="N562" s="11"/>
      <c r="O562" s="11"/>
      <c r="P562" s="11"/>
      <c r="Q562" s="11"/>
      <c r="R562" s="11"/>
      <c r="S562" s="46"/>
      <c r="T562" s="44" t="str">
        <f aca="false">IF($B562="","",COUNTA($N562:$R562)-COUNTIF($N562:$R562,"Not Invited"))</f>
        <v/>
      </c>
      <c r="U562" s="44" t="str">
        <f aca="false">IF($B562="","",COUNTIF($N562:$R562,"Attended"))</f>
        <v/>
      </c>
      <c r="V562" s="47" t="str">
        <f aca="false">IF($B562="","",_xlfn.TEXTJOIN(", ",TRUE(),IF($N562="Attended",Setup!$D$15,""),IF($O562="Attended",Setup!$D$16,""),IF($P562="Attended",Setup!$D$17,""),IF($Q562="Attended",Setup!$D$18,""),IF($R562="Attended",Setup!$D$19,"")))</f>
        <v/>
      </c>
      <c r="W562" s="48" t="str">
        <f aca="true">IF(OR($B562="",NOT(ISNUMBER($H562))),"",TODAY()-$H562)</f>
        <v/>
      </c>
      <c r="X562" s="47" t="str">
        <f aca="false">IF($B562="","",IF($U562&gt;0,"Event attendee",IF($G562="Yes","Met (no event)",IF($T562&gt;0,"Invited only",IF(OR($L562="Yes",$M562="Yes"),"Contacted only","Not yet contacted")))))</f>
        <v/>
      </c>
      <c r="Y562" s="47" t="str">
        <f aca="false">IF($B562="","",COUNTIF(c_Firm,"&lt;"&amp;$D562)+COUNTIFS(c_Firm,$D562,c_Name,"&lt;"&amp;$B562)+COUNTIFS($D$2:$D562,$D562,$B$2:$B562,$B562))</f>
        <v/>
      </c>
      <c r="Z562" s="47" t="str">
        <f aca="false">IF($B562="","",IF(AND(OR(Contacts!$C$3="(All)",$D562=Contacts!$C$3),OR(Contacts!$E$3="(All)",$G562=Contacts!$E$3),OR(Contacts!$G$3="(All)",ISNUMBER(SEARCH(Contacts!$G$3,$V562))),OR(Contacts!$I$3="(All)",$X562=Contacts!$I$3),OR(Contacts!$K$3="",ISNUMBER(SEARCH(Contacts!$K$3,$B562&amp;" "&amp;$C562&amp;" "&amp;$D562&amp;" "&amp;$S562)))),1,0))</f>
        <v/>
      </c>
      <c r="AA562" s="47" t="str">
        <f aca="false">IF($Z562=1,COUNTIFS(c_Pass,1,c_Sort,"&lt;="&amp;$Y562),"")</f>
        <v/>
      </c>
      <c r="AB562" s="47" t="str">
        <f aca="false">IF(OR($G562&lt;&gt;"Yes",NOT(ISNUMBER($H562))),"",COUNTIFS(c_Met,"Yes",c_Date,"&lt;"&amp;$H562)+COUNTIFS($G$2:$G562,"Yes",$H$2:$H562,$H562))</f>
        <v/>
      </c>
    </row>
    <row r="563" customFormat="false" ht="15" hidden="false" customHeight="false" outlineLevel="0" collapsed="false">
      <c r="A563" s="44" t="str">
        <f aca="false">IF($B563="","",COUNTA($B$2:$B563))</f>
        <v/>
      </c>
      <c r="B563" s="11"/>
      <c r="C563" s="11"/>
      <c r="D563" s="11"/>
      <c r="E563" s="11"/>
      <c r="F563" s="11"/>
      <c r="G563" s="34"/>
      <c r="H563" s="25"/>
      <c r="I563" s="40"/>
      <c r="J563" s="34"/>
      <c r="K563" s="45"/>
      <c r="L563" s="34"/>
      <c r="M563" s="34"/>
      <c r="N563" s="11"/>
      <c r="O563" s="11"/>
      <c r="P563" s="11"/>
      <c r="Q563" s="11"/>
      <c r="R563" s="11"/>
      <c r="S563" s="46"/>
      <c r="T563" s="44" t="str">
        <f aca="false">IF($B563="","",COUNTA($N563:$R563)-COUNTIF($N563:$R563,"Not Invited"))</f>
        <v/>
      </c>
      <c r="U563" s="44" t="str">
        <f aca="false">IF($B563="","",COUNTIF($N563:$R563,"Attended"))</f>
        <v/>
      </c>
      <c r="V563" s="47" t="str">
        <f aca="false">IF($B563="","",_xlfn.TEXTJOIN(", ",TRUE(),IF($N563="Attended",Setup!$D$15,""),IF($O563="Attended",Setup!$D$16,""),IF($P563="Attended",Setup!$D$17,""),IF($Q563="Attended",Setup!$D$18,""),IF($R563="Attended",Setup!$D$19,"")))</f>
        <v/>
      </c>
      <c r="W563" s="48" t="str">
        <f aca="true">IF(OR($B563="",NOT(ISNUMBER($H563))),"",TODAY()-$H563)</f>
        <v/>
      </c>
      <c r="X563" s="47" t="str">
        <f aca="false">IF($B563="","",IF($U563&gt;0,"Event attendee",IF($G563="Yes","Met (no event)",IF($T563&gt;0,"Invited only",IF(OR($L563="Yes",$M563="Yes"),"Contacted only","Not yet contacted")))))</f>
        <v/>
      </c>
      <c r="Y563" s="47" t="str">
        <f aca="false">IF($B563="","",COUNTIF(c_Firm,"&lt;"&amp;$D563)+COUNTIFS(c_Firm,$D563,c_Name,"&lt;"&amp;$B563)+COUNTIFS($D$2:$D563,$D563,$B$2:$B563,$B563))</f>
        <v/>
      </c>
      <c r="Z563" s="47" t="str">
        <f aca="false">IF($B563="","",IF(AND(OR(Contacts!$C$3="(All)",$D563=Contacts!$C$3),OR(Contacts!$E$3="(All)",$G563=Contacts!$E$3),OR(Contacts!$G$3="(All)",ISNUMBER(SEARCH(Contacts!$G$3,$V563))),OR(Contacts!$I$3="(All)",$X563=Contacts!$I$3),OR(Contacts!$K$3="",ISNUMBER(SEARCH(Contacts!$K$3,$B563&amp;" "&amp;$C563&amp;" "&amp;$D563&amp;" "&amp;$S563)))),1,0))</f>
        <v/>
      </c>
      <c r="AA563" s="47" t="str">
        <f aca="false">IF($Z563=1,COUNTIFS(c_Pass,1,c_Sort,"&lt;="&amp;$Y563),"")</f>
        <v/>
      </c>
      <c r="AB563" s="47" t="str">
        <f aca="false">IF(OR($G563&lt;&gt;"Yes",NOT(ISNUMBER($H563))),"",COUNTIFS(c_Met,"Yes",c_Date,"&lt;"&amp;$H563)+COUNTIFS($G$2:$G563,"Yes",$H$2:$H563,$H563))</f>
        <v/>
      </c>
    </row>
    <row r="564" customFormat="false" ht="15" hidden="false" customHeight="false" outlineLevel="0" collapsed="false">
      <c r="A564" s="44" t="str">
        <f aca="false">IF($B564="","",COUNTA($B$2:$B564))</f>
        <v/>
      </c>
      <c r="B564" s="11"/>
      <c r="C564" s="11"/>
      <c r="D564" s="11"/>
      <c r="E564" s="11"/>
      <c r="F564" s="11"/>
      <c r="G564" s="34"/>
      <c r="H564" s="25"/>
      <c r="I564" s="40"/>
      <c r="J564" s="34"/>
      <c r="K564" s="45"/>
      <c r="L564" s="34"/>
      <c r="M564" s="34"/>
      <c r="N564" s="11"/>
      <c r="O564" s="11"/>
      <c r="P564" s="11"/>
      <c r="Q564" s="11"/>
      <c r="R564" s="11"/>
      <c r="S564" s="46"/>
      <c r="T564" s="44" t="str">
        <f aca="false">IF($B564="","",COUNTA($N564:$R564)-COUNTIF($N564:$R564,"Not Invited"))</f>
        <v/>
      </c>
      <c r="U564" s="44" t="str">
        <f aca="false">IF($B564="","",COUNTIF($N564:$R564,"Attended"))</f>
        <v/>
      </c>
      <c r="V564" s="47" t="str">
        <f aca="false">IF($B564="","",_xlfn.TEXTJOIN(", ",TRUE(),IF($N564="Attended",Setup!$D$15,""),IF($O564="Attended",Setup!$D$16,""),IF($P564="Attended",Setup!$D$17,""),IF($Q564="Attended",Setup!$D$18,""),IF($R564="Attended",Setup!$D$19,"")))</f>
        <v/>
      </c>
      <c r="W564" s="48" t="str">
        <f aca="true">IF(OR($B564="",NOT(ISNUMBER($H564))),"",TODAY()-$H564)</f>
        <v/>
      </c>
      <c r="X564" s="47" t="str">
        <f aca="false">IF($B564="","",IF($U564&gt;0,"Event attendee",IF($G564="Yes","Met (no event)",IF($T564&gt;0,"Invited only",IF(OR($L564="Yes",$M564="Yes"),"Contacted only","Not yet contacted")))))</f>
        <v/>
      </c>
      <c r="Y564" s="47" t="str">
        <f aca="false">IF($B564="","",COUNTIF(c_Firm,"&lt;"&amp;$D564)+COUNTIFS(c_Firm,$D564,c_Name,"&lt;"&amp;$B564)+COUNTIFS($D$2:$D564,$D564,$B$2:$B564,$B564))</f>
        <v/>
      </c>
      <c r="Z564" s="47" t="str">
        <f aca="false">IF($B564="","",IF(AND(OR(Contacts!$C$3="(All)",$D564=Contacts!$C$3),OR(Contacts!$E$3="(All)",$G564=Contacts!$E$3),OR(Contacts!$G$3="(All)",ISNUMBER(SEARCH(Contacts!$G$3,$V564))),OR(Contacts!$I$3="(All)",$X564=Contacts!$I$3),OR(Contacts!$K$3="",ISNUMBER(SEARCH(Contacts!$K$3,$B564&amp;" "&amp;$C564&amp;" "&amp;$D564&amp;" "&amp;$S564)))),1,0))</f>
        <v/>
      </c>
      <c r="AA564" s="47" t="str">
        <f aca="false">IF($Z564=1,COUNTIFS(c_Pass,1,c_Sort,"&lt;="&amp;$Y564),"")</f>
        <v/>
      </c>
      <c r="AB564" s="47" t="str">
        <f aca="false">IF(OR($G564&lt;&gt;"Yes",NOT(ISNUMBER($H564))),"",COUNTIFS(c_Met,"Yes",c_Date,"&lt;"&amp;$H564)+COUNTIFS($G$2:$G564,"Yes",$H$2:$H564,$H564))</f>
        <v/>
      </c>
    </row>
    <row r="565" customFormat="false" ht="15" hidden="false" customHeight="false" outlineLevel="0" collapsed="false">
      <c r="A565" s="44" t="str">
        <f aca="false">IF($B565="","",COUNTA($B$2:$B565))</f>
        <v/>
      </c>
      <c r="B565" s="11"/>
      <c r="C565" s="11"/>
      <c r="D565" s="11"/>
      <c r="E565" s="11"/>
      <c r="F565" s="11"/>
      <c r="G565" s="34"/>
      <c r="H565" s="25"/>
      <c r="I565" s="40"/>
      <c r="J565" s="34"/>
      <c r="K565" s="45"/>
      <c r="L565" s="34"/>
      <c r="M565" s="34"/>
      <c r="N565" s="11"/>
      <c r="O565" s="11"/>
      <c r="P565" s="11"/>
      <c r="Q565" s="11"/>
      <c r="R565" s="11"/>
      <c r="S565" s="46"/>
      <c r="T565" s="44" t="str">
        <f aca="false">IF($B565="","",COUNTA($N565:$R565)-COUNTIF($N565:$R565,"Not Invited"))</f>
        <v/>
      </c>
      <c r="U565" s="44" t="str">
        <f aca="false">IF($B565="","",COUNTIF($N565:$R565,"Attended"))</f>
        <v/>
      </c>
      <c r="V565" s="47" t="str">
        <f aca="false">IF($B565="","",_xlfn.TEXTJOIN(", ",TRUE(),IF($N565="Attended",Setup!$D$15,""),IF($O565="Attended",Setup!$D$16,""),IF($P565="Attended",Setup!$D$17,""),IF($Q565="Attended",Setup!$D$18,""),IF($R565="Attended",Setup!$D$19,"")))</f>
        <v/>
      </c>
      <c r="W565" s="48" t="str">
        <f aca="true">IF(OR($B565="",NOT(ISNUMBER($H565))),"",TODAY()-$H565)</f>
        <v/>
      </c>
      <c r="X565" s="47" t="str">
        <f aca="false">IF($B565="","",IF($U565&gt;0,"Event attendee",IF($G565="Yes","Met (no event)",IF($T565&gt;0,"Invited only",IF(OR($L565="Yes",$M565="Yes"),"Contacted only","Not yet contacted")))))</f>
        <v/>
      </c>
      <c r="Y565" s="47" t="str">
        <f aca="false">IF($B565="","",COUNTIF(c_Firm,"&lt;"&amp;$D565)+COUNTIFS(c_Firm,$D565,c_Name,"&lt;"&amp;$B565)+COUNTIFS($D$2:$D565,$D565,$B$2:$B565,$B565))</f>
        <v/>
      </c>
      <c r="Z565" s="47" t="str">
        <f aca="false">IF($B565="","",IF(AND(OR(Contacts!$C$3="(All)",$D565=Contacts!$C$3),OR(Contacts!$E$3="(All)",$G565=Contacts!$E$3),OR(Contacts!$G$3="(All)",ISNUMBER(SEARCH(Contacts!$G$3,$V565))),OR(Contacts!$I$3="(All)",$X565=Contacts!$I$3),OR(Contacts!$K$3="",ISNUMBER(SEARCH(Contacts!$K$3,$B565&amp;" "&amp;$C565&amp;" "&amp;$D565&amp;" "&amp;$S565)))),1,0))</f>
        <v/>
      </c>
      <c r="AA565" s="47" t="str">
        <f aca="false">IF($Z565=1,COUNTIFS(c_Pass,1,c_Sort,"&lt;="&amp;$Y565),"")</f>
        <v/>
      </c>
      <c r="AB565" s="47" t="str">
        <f aca="false">IF(OR($G565&lt;&gt;"Yes",NOT(ISNUMBER($H565))),"",COUNTIFS(c_Met,"Yes",c_Date,"&lt;"&amp;$H565)+COUNTIFS($G$2:$G565,"Yes",$H$2:$H565,$H565))</f>
        <v/>
      </c>
    </row>
    <row r="566" customFormat="false" ht="15" hidden="false" customHeight="false" outlineLevel="0" collapsed="false">
      <c r="A566" s="44" t="str">
        <f aca="false">IF($B566="","",COUNTA($B$2:$B566))</f>
        <v/>
      </c>
      <c r="B566" s="11"/>
      <c r="C566" s="11"/>
      <c r="D566" s="11"/>
      <c r="E566" s="11"/>
      <c r="F566" s="11"/>
      <c r="G566" s="34"/>
      <c r="H566" s="25"/>
      <c r="I566" s="40"/>
      <c r="J566" s="34"/>
      <c r="K566" s="45"/>
      <c r="L566" s="34"/>
      <c r="M566" s="34"/>
      <c r="N566" s="11"/>
      <c r="O566" s="11"/>
      <c r="P566" s="11"/>
      <c r="Q566" s="11"/>
      <c r="R566" s="11"/>
      <c r="S566" s="46"/>
      <c r="T566" s="44" t="str">
        <f aca="false">IF($B566="","",COUNTA($N566:$R566)-COUNTIF($N566:$R566,"Not Invited"))</f>
        <v/>
      </c>
      <c r="U566" s="44" t="str">
        <f aca="false">IF($B566="","",COUNTIF($N566:$R566,"Attended"))</f>
        <v/>
      </c>
      <c r="V566" s="47" t="str">
        <f aca="false">IF($B566="","",_xlfn.TEXTJOIN(", ",TRUE(),IF($N566="Attended",Setup!$D$15,""),IF($O566="Attended",Setup!$D$16,""),IF($P566="Attended",Setup!$D$17,""),IF($Q566="Attended",Setup!$D$18,""),IF($R566="Attended",Setup!$D$19,"")))</f>
        <v/>
      </c>
      <c r="W566" s="48" t="str">
        <f aca="true">IF(OR($B566="",NOT(ISNUMBER($H566))),"",TODAY()-$H566)</f>
        <v/>
      </c>
      <c r="X566" s="47" t="str">
        <f aca="false">IF($B566="","",IF($U566&gt;0,"Event attendee",IF($G566="Yes","Met (no event)",IF($T566&gt;0,"Invited only",IF(OR($L566="Yes",$M566="Yes"),"Contacted only","Not yet contacted")))))</f>
        <v/>
      </c>
      <c r="Y566" s="47" t="str">
        <f aca="false">IF($B566="","",COUNTIF(c_Firm,"&lt;"&amp;$D566)+COUNTIFS(c_Firm,$D566,c_Name,"&lt;"&amp;$B566)+COUNTIFS($D$2:$D566,$D566,$B$2:$B566,$B566))</f>
        <v/>
      </c>
      <c r="Z566" s="47" t="str">
        <f aca="false">IF($B566="","",IF(AND(OR(Contacts!$C$3="(All)",$D566=Contacts!$C$3),OR(Contacts!$E$3="(All)",$G566=Contacts!$E$3),OR(Contacts!$G$3="(All)",ISNUMBER(SEARCH(Contacts!$G$3,$V566))),OR(Contacts!$I$3="(All)",$X566=Contacts!$I$3),OR(Contacts!$K$3="",ISNUMBER(SEARCH(Contacts!$K$3,$B566&amp;" "&amp;$C566&amp;" "&amp;$D566&amp;" "&amp;$S566)))),1,0))</f>
        <v/>
      </c>
      <c r="AA566" s="47" t="str">
        <f aca="false">IF($Z566=1,COUNTIFS(c_Pass,1,c_Sort,"&lt;="&amp;$Y566),"")</f>
        <v/>
      </c>
      <c r="AB566" s="47" t="str">
        <f aca="false">IF(OR($G566&lt;&gt;"Yes",NOT(ISNUMBER($H566))),"",COUNTIFS(c_Met,"Yes",c_Date,"&lt;"&amp;$H566)+COUNTIFS($G$2:$G566,"Yes",$H$2:$H566,$H566))</f>
        <v/>
      </c>
    </row>
    <row r="567" customFormat="false" ht="15" hidden="false" customHeight="false" outlineLevel="0" collapsed="false">
      <c r="A567" s="44" t="str">
        <f aca="false">IF($B567="","",COUNTA($B$2:$B567))</f>
        <v/>
      </c>
      <c r="B567" s="11"/>
      <c r="C567" s="11"/>
      <c r="D567" s="11"/>
      <c r="E567" s="11"/>
      <c r="F567" s="11"/>
      <c r="G567" s="34"/>
      <c r="H567" s="25"/>
      <c r="I567" s="40"/>
      <c r="J567" s="34"/>
      <c r="K567" s="45"/>
      <c r="L567" s="34"/>
      <c r="M567" s="34"/>
      <c r="N567" s="11"/>
      <c r="O567" s="11"/>
      <c r="P567" s="11"/>
      <c r="Q567" s="11"/>
      <c r="R567" s="11"/>
      <c r="S567" s="46"/>
      <c r="T567" s="44" t="str">
        <f aca="false">IF($B567="","",COUNTA($N567:$R567)-COUNTIF($N567:$R567,"Not Invited"))</f>
        <v/>
      </c>
      <c r="U567" s="44" t="str">
        <f aca="false">IF($B567="","",COUNTIF($N567:$R567,"Attended"))</f>
        <v/>
      </c>
      <c r="V567" s="47" t="str">
        <f aca="false">IF($B567="","",_xlfn.TEXTJOIN(", ",TRUE(),IF($N567="Attended",Setup!$D$15,""),IF($O567="Attended",Setup!$D$16,""),IF($P567="Attended",Setup!$D$17,""),IF($Q567="Attended",Setup!$D$18,""),IF($R567="Attended",Setup!$D$19,"")))</f>
        <v/>
      </c>
      <c r="W567" s="48" t="str">
        <f aca="true">IF(OR($B567="",NOT(ISNUMBER($H567))),"",TODAY()-$H567)</f>
        <v/>
      </c>
      <c r="X567" s="47" t="str">
        <f aca="false">IF($B567="","",IF($U567&gt;0,"Event attendee",IF($G567="Yes","Met (no event)",IF($T567&gt;0,"Invited only",IF(OR($L567="Yes",$M567="Yes"),"Contacted only","Not yet contacted")))))</f>
        <v/>
      </c>
      <c r="Y567" s="47" t="str">
        <f aca="false">IF($B567="","",COUNTIF(c_Firm,"&lt;"&amp;$D567)+COUNTIFS(c_Firm,$D567,c_Name,"&lt;"&amp;$B567)+COUNTIFS($D$2:$D567,$D567,$B$2:$B567,$B567))</f>
        <v/>
      </c>
      <c r="Z567" s="47" t="str">
        <f aca="false">IF($B567="","",IF(AND(OR(Contacts!$C$3="(All)",$D567=Contacts!$C$3),OR(Contacts!$E$3="(All)",$G567=Contacts!$E$3),OR(Contacts!$G$3="(All)",ISNUMBER(SEARCH(Contacts!$G$3,$V567))),OR(Contacts!$I$3="(All)",$X567=Contacts!$I$3),OR(Contacts!$K$3="",ISNUMBER(SEARCH(Contacts!$K$3,$B567&amp;" "&amp;$C567&amp;" "&amp;$D567&amp;" "&amp;$S567)))),1,0))</f>
        <v/>
      </c>
      <c r="AA567" s="47" t="str">
        <f aca="false">IF($Z567=1,COUNTIFS(c_Pass,1,c_Sort,"&lt;="&amp;$Y567),"")</f>
        <v/>
      </c>
      <c r="AB567" s="47" t="str">
        <f aca="false">IF(OR($G567&lt;&gt;"Yes",NOT(ISNUMBER($H567))),"",COUNTIFS(c_Met,"Yes",c_Date,"&lt;"&amp;$H567)+COUNTIFS($G$2:$G567,"Yes",$H$2:$H567,$H567))</f>
        <v/>
      </c>
    </row>
    <row r="568" customFormat="false" ht="15" hidden="false" customHeight="false" outlineLevel="0" collapsed="false">
      <c r="A568" s="44" t="str">
        <f aca="false">IF($B568="","",COUNTA($B$2:$B568))</f>
        <v/>
      </c>
      <c r="B568" s="11"/>
      <c r="C568" s="11"/>
      <c r="D568" s="11"/>
      <c r="E568" s="11"/>
      <c r="F568" s="11"/>
      <c r="G568" s="34"/>
      <c r="H568" s="25"/>
      <c r="I568" s="40"/>
      <c r="J568" s="34"/>
      <c r="K568" s="45"/>
      <c r="L568" s="34"/>
      <c r="M568" s="34"/>
      <c r="N568" s="11"/>
      <c r="O568" s="11"/>
      <c r="P568" s="11"/>
      <c r="Q568" s="11"/>
      <c r="R568" s="11"/>
      <c r="S568" s="46"/>
      <c r="T568" s="44" t="str">
        <f aca="false">IF($B568="","",COUNTA($N568:$R568)-COUNTIF($N568:$R568,"Not Invited"))</f>
        <v/>
      </c>
      <c r="U568" s="44" t="str">
        <f aca="false">IF($B568="","",COUNTIF($N568:$R568,"Attended"))</f>
        <v/>
      </c>
      <c r="V568" s="47" t="str">
        <f aca="false">IF($B568="","",_xlfn.TEXTJOIN(", ",TRUE(),IF($N568="Attended",Setup!$D$15,""),IF($O568="Attended",Setup!$D$16,""),IF($P568="Attended",Setup!$D$17,""),IF($Q568="Attended",Setup!$D$18,""),IF($R568="Attended",Setup!$D$19,"")))</f>
        <v/>
      </c>
      <c r="W568" s="48" t="str">
        <f aca="true">IF(OR($B568="",NOT(ISNUMBER($H568))),"",TODAY()-$H568)</f>
        <v/>
      </c>
      <c r="X568" s="47" t="str">
        <f aca="false">IF($B568="","",IF($U568&gt;0,"Event attendee",IF($G568="Yes","Met (no event)",IF($T568&gt;0,"Invited only",IF(OR($L568="Yes",$M568="Yes"),"Contacted only","Not yet contacted")))))</f>
        <v/>
      </c>
      <c r="Y568" s="47" t="str">
        <f aca="false">IF($B568="","",COUNTIF(c_Firm,"&lt;"&amp;$D568)+COUNTIFS(c_Firm,$D568,c_Name,"&lt;"&amp;$B568)+COUNTIFS($D$2:$D568,$D568,$B$2:$B568,$B568))</f>
        <v/>
      </c>
      <c r="Z568" s="47" t="str">
        <f aca="false">IF($B568="","",IF(AND(OR(Contacts!$C$3="(All)",$D568=Contacts!$C$3),OR(Contacts!$E$3="(All)",$G568=Contacts!$E$3),OR(Contacts!$G$3="(All)",ISNUMBER(SEARCH(Contacts!$G$3,$V568))),OR(Contacts!$I$3="(All)",$X568=Contacts!$I$3),OR(Contacts!$K$3="",ISNUMBER(SEARCH(Contacts!$K$3,$B568&amp;" "&amp;$C568&amp;" "&amp;$D568&amp;" "&amp;$S568)))),1,0))</f>
        <v/>
      </c>
      <c r="AA568" s="47" t="str">
        <f aca="false">IF($Z568=1,COUNTIFS(c_Pass,1,c_Sort,"&lt;="&amp;$Y568),"")</f>
        <v/>
      </c>
      <c r="AB568" s="47" t="str">
        <f aca="false">IF(OR($G568&lt;&gt;"Yes",NOT(ISNUMBER($H568))),"",COUNTIFS(c_Met,"Yes",c_Date,"&lt;"&amp;$H568)+COUNTIFS($G$2:$G568,"Yes",$H$2:$H568,$H568))</f>
        <v/>
      </c>
    </row>
    <row r="569" customFormat="false" ht="15" hidden="false" customHeight="false" outlineLevel="0" collapsed="false">
      <c r="A569" s="44" t="str">
        <f aca="false">IF($B569="","",COUNTA($B$2:$B569))</f>
        <v/>
      </c>
      <c r="B569" s="11"/>
      <c r="C569" s="11"/>
      <c r="D569" s="11"/>
      <c r="E569" s="11"/>
      <c r="F569" s="11"/>
      <c r="G569" s="34"/>
      <c r="H569" s="25"/>
      <c r="I569" s="40"/>
      <c r="J569" s="34"/>
      <c r="K569" s="45"/>
      <c r="L569" s="34"/>
      <c r="M569" s="34"/>
      <c r="N569" s="11"/>
      <c r="O569" s="11"/>
      <c r="P569" s="11"/>
      <c r="Q569" s="11"/>
      <c r="R569" s="11"/>
      <c r="S569" s="46"/>
      <c r="T569" s="44" t="str">
        <f aca="false">IF($B569="","",COUNTA($N569:$R569)-COUNTIF($N569:$R569,"Not Invited"))</f>
        <v/>
      </c>
      <c r="U569" s="44" t="str">
        <f aca="false">IF($B569="","",COUNTIF($N569:$R569,"Attended"))</f>
        <v/>
      </c>
      <c r="V569" s="47" t="str">
        <f aca="false">IF($B569="","",_xlfn.TEXTJOIN(", ",TRUE(),IF($N569="Attended",Setup!$D$15,""),IF($O569="Attended",Setup!$D$16,""),IF($P569="Attended",Setup!$D$17,""),IF($Q569="Attended",Setup!$D$18,""),IF($R569="Attended",Setup!$D$19,"")))</f>
        <v/>
      </c>
      <c r="W569" s="48" t="str">
        <f aca="true">IF(OR($B569="",NOT(ISNUMBER($H569))),"",TODAY()-$H569)</f>
        <v/>
      </c>
      <c r="X569" s="47" t="str">
        <f aca="false">IF($B569="","",IF($U569&gt;0,"Event attendee",IF($G569="Yes","Met (no event)",IF($T569&gt;0,"Invited only",IF(OR($L569="Yes",$M569="Yes"),"Contacted only","Not yet contacted")))))</f>
        <v/>
      </c>
      <c r="Y569" s="47" t="str">
        <f aca="false">IF($B569="","",COUNTIF(c_Firm,"&lt;"&amp;$D569)+COUNTIFS(c_Firm,$D569,c_Name,"&lt;"&amp;$B569)+COUNTIFS($D$2:$D569,$D569,$B$2:$B569,$B569))</f>
        <v/>
      </c>
      <c r="Z569" s="47" t="str">
        <f aca="false">IF($B569="","",IF(AND(OR(Contacts!$C$3="(All)",$D569=Contacts!$C$3),OR(Contacts!$E$3="(All)",$G569=Contacts!$E$3),OR(Contacts!$G$3="(All)",ISNUMBER(SEARCH(Contacts!$G$3,$V569))),OR(Contacts!$I$3="(All)",$X569=Contacts!$I$3),OR(Contacts!$K$3="",ISNUMBER(SEARCH(Contacts!$K$3,$B569&amp;" "&amp;$C569&amp;" "&amp;$D569&amp;" "&amp;$S569)))),1,0))</f>
        <v/>
      </c>
      <c r="AA569" s="47" t="str">
        <f aca="false">IF($Z569=1,COUNTIFS(c_Pass,1,c_Sort,"&lt;="&amp;$Y569),"")</f>
        <v/>
      </c>
      <c r="AB569" s="47" t="str">
        <f aca="false">IF(OR($G569&lt;&gt;"Yes",NOT(ISNUMBER($H569))),"",COUNTIFS(c_Met,"Yes",c_Date,"&lt;"&amp;$H569)+COUNTIFS($G$2:$G569,"Yes",$H$2:$H569,$H569))</f>
        <v/>
      </c>
    </row>
    <row r="570" customFormat="false" ht="15" hidden="false" customHeight="false" outlineLevel="0" collapsed="false">
      <c r="A570" s="44" t="str">
        <f aca="false">IF($B570="","",COUNTA($B$2:$B570))</f>
        <v/>
      </c>
      <c r="B570" s="11"/>
      <c r="C570" s="11"/>
      <c r="D570" s="11"/>
      <c r="E570" s="11"/>
      <c r="F570" s="11"/>
      <c r="G570" s="34"/>
      <c r="H570" s="25"/>
      <c r="I570" s="40"/>
      <c r="J570" s="34"/>
      <c r="K570" s="45"/>
      <c r="L570" s="34"/>
      <c r="M570" s="34"/>
      <c r="N570" s="11"/>
      <c r="O570" s="11"/>
      <c r="P570" s="11"/>
      <c r="Q570" s="11"/>
      <c r="R570" s="11"/>
      <c r="S570" s="46"/>
      <c r="T570" s="44" t="str">
        <f aca="false">IF($B570="","",COUNTA($N570:$R570)-COUNTIF($N570:$R570,"Not Invited"))</f>
        <v/>
      </c>
      <c r="U570" s="44" t="str">
        <f aca="false">IF($B570="","",COUNTIF($N570:$R570,"Attended"))</f>
        <v/>
      </c>
      <c r="V570" s="47" t="str">
        <f aca="false">IF($B570="","",_xlfn.TEXTJOIN(", ",TRUE(),IF($N570="Attended",Setup!$D$15,""),IF($O570="Attended",Setup!$D$16,""),IF($P570="Attended",Setup!$D$17,""),IF($Q570="Attended",Setup!$D$18,""),IF($R570="Attended",Setup!$D$19,"")))</f>
        <v/>
      </c>
      <c r="W570" s="48" t="str">
        <f aca="true">IF(OR($B570="",NOT(ISNUMBER($H570))),"",TODAY()-$H570)</f>
        <v/>
      </c>
      <c r="X570" s="47" t="str">
        <f aca="false">IF($B570="","",IF($U570&gt;0,"Event attendee",IF($G570="Yes","Met (no event)",IF($T570&gt;0,"Invited only",IF(OR($L570="Yes",$M570="Yes"),"Contacted only","Not yet contacted")))))</f>
        <v/>
      </c>
      <c r="Y570" s="47" t="str">
        <f aca="false">IF($B570="","",COUNTIF(c_Firm,"&lt;"&amp;$D570)+COUNTIFS(c_Firm,$D570,c_Name,"&lt;"&amp;$B570)+COUNTIFS($D$2:$D570,$D570,$B$2:$B570,$B570))</f>
        <v/>
      </c>
      <c r="Z570" s="47" t="str">
        <f aca="false">IF($B570="","",IF(AND(OR(Contacts!$C$3="(All)",$D570=Contacts!$C$3),OR(Contacts!$E$3="(All)",$G570=Contacts!$E$3),OR(Contacts!$G$3="(All)",ISNUMBER(SEARCH(Contacts!$G$3,$V570))),OR(Contacts!$I$3="(All)",$X570=Contacts!$I$3),OR(Contacts!$K$3="",ISNUMBER(SEARCH(Contacts!$K$3,$B570&amp;" "&amp;$C570&amp;" "&amp;$D570&amp;" "&amp;$S570)))),1,0))</f>
        <v/>
      </c>
      <c r="AA570" s="47" t="str">
        <f aca="false">IF($Z570=1,COUNTIFS(c_Pass,1,c_Sort,"&lt;="&amp;$Y570),"")</f>
        <v/>
      </c>
      <c r="AB570" s="47" t="str">
        <f aca="false">IF(OR($G570&lt;&gt;"Yes",NOT(ISNUMBER($H570))),"",COUNTIFS(c_Met,"Yes",c_Date,"&lt;"&amp;$H570)+COUNTIFS($G$2:$G570,"Yes",$H$2:$H570,$H570))</f>
        <v/>
      </c>
    </row>
    <row r="571" customFormat="false" ht="15" hidden="false" customHeight="false" outlineLevel="0" collapsed="false">
      <c r="A571" s="44" t="str">
        <f aca="false">IF($B571="","",COUNTA($B$2:$B571))</f>
        <v/>
      </c>
      <c r="B571" s="11"/>
      <c r="C571" s="11"/>
      <c r="D571" s="11"/>
      <c r="E571" s="11"/>
      <c r="F571" s="11"/>
      <c r="G571" s="34"/>
      <c r="H571" s="25"/>
      <c r="I571" s="40"/>
      <c r="J571" s="34"/>
      <c r="K571" s="45"/>
      <c r="L571" s="34"/>
      <c r="M571" s="34"/>
      <c r="N571" s="11"/>
      <c r="O571" s="11"/>
      <c r="P571" s="11"/>
      <c r="Q571" s="11"/>
      <c r="R571" s="11"/>
      <c r="S571" s="46"/>
      <c r="T571" s="44" t="str">
        <f aca="false">IF($B571="","",COUNTA($N571:$R571)-COUNTIF($N571:$R571,"Not Invited"))</f>
        <v/>
      </c>
      <c r="U571" s="44" t="str">
        <f aca="false">IF($B571="","",COUNTIF($N571:$R571,"Attended"))</f>
        <v/>
      </c>
      <c r="V571" s="47" t="str">
        <f aca="false">IF($B571="","",_xlfn.TEXTJOIN(", ",TRUE(),IF($N571="Attended",Setup!$D$15,""),IF($O571="Attended",Setup!$D$16,""),IF($P571="Attended",Setup!$D$17,""),IF($Q571="Attended",Setup!$D$18,""),IF($R571="Attended",Setup!$D$19,"")))</f>
        <v/>
      </c>
      <c r="W571" s="48" t="str">
        <f aca="true">IF(OR($B571="",NOT(ISNUMBER($H571))),"",TODAY()-$H571)</f>
        <v/>
      </c>
      <c r="X571" s="47" t="str">
        <f aca="false">IF($B571="","",IF($U571&gt;0,"Event attendee",IF($G571="Yes","Met (no event)",IF($T571&gt;0,"Invited only",IF(OR($L571="Yes",$M571="Yes"),"Contacted only","Not yet contacted")))))</f>
        <v/>
      </c>
      <c r="Y571" s="47" t="str">
        <f aca="false">IF($B571="","",COUNTIF(c_Firm,"&lt;"&amp;$D571)+COUNTIFS(c_Firm,$D571,c_Name,"&lt;"&amp;$B571)+COUNTIFS($D$2:$D571,$D571,$B$2:$B571,$B571))</f>
        <v/>
      </c>
      <c r="Z571" s="47" t="str">
        <f aca="false">IF($B571="","",IF(AND(OR(Contacts!$C$3="(All)",$D571=Contacts!$C$3),OR(Contacts!$E$3="(All)",$G571=Contacts!$E$3),OR(Contacts!$G$3="(All)",ISNUMBER(SEARCH(Contacts!$G$3,$V571))),OR(Contacts!$I$3="(All)",$X571=Contacts!$I$3),OR(Contacts!$K$3="",ISNUMBER(SEARCH(Contacts!$K$3,$B571&amp;" "&amp;$C571&amp;" "&amp;$D571&amp;" "&amp;$S571)))),1,0))</f>
        <v/>
      </c>
      <c r="AA571" s="47" t="str">
        <f aca="false">IF($Z571=1,COUNTIFS(c_Pass,1,c_Sort,"&lt;="&amp;$Y571),"")</f>
        <v/>
      </c>
      <c r="AB571" s="47" t="str">
        <f aca="false">IF(OR($G571&lt;&gt;"Yes",NOT(ISNUMBER($H571))),"",COUNTIFS(c_Met,"Yes",c_Date,"&lt;"&amp;$H571)+COUNTIFS($G$2:$G571,"Yes",$H$2:$H571,$H571))</f>
        <v/>
      </c>
    </row>
    <row r="572" customFormat="false" ht="15" hidden="false" customHeight="false" outlineLevel="0" collapsed="false">
      <c r="A572" s="44" t="str">
        <f aca="false">IF($B572="","",COUNTA($B$2:$B572))</f>
        <v/>
      </c>
      <c r="B572" s="11"/>
      <c r="C572" s="11"/>
      <c r="D572" s="11"/>
      <c r="E572" s="11"/>
      <c r="F572" s="11"/>
      <c r="G572" s="34"/>
      <c r="H572" s="25"/>
      <c r="I572" s="40"/>
      <c r="J572" s="34"/>
      <c r="K572" s="45"/>
      <c r="L572" s="34"/>
      <c r="M572" s="34"/>
      <c r="N572" s="11"/>
      <c r="O572" s="11"/>
      <c r="P572" s="11"/>
      <c r="Q572" s="11"/>
      <c r="R572" s="11"/>
      <c r="S572" s="46"/>
      <c r="T572" s="44" t="str">
        <f aca="false">IF($B572="","",COUNTA($N572:$R572)-COUNTIF($N572:$R572,"Not Invited"))</f>
        <v/>
      </c>
      <c r="U572" s="44" t="str">
        <f aca="false">IF($B572="","",COUNTIF($N572:$R572,"Attended"))</f>
        <v/>
      </c>
      <c r="V572" s="47" t="str">
        <f aca="false">IF($B572="","",_xlfn.TEXTJOIN(", ",TRUE(),IF($N572="Attended",Setup!$D$15,""),IF($O572="Attended",Setup!$D$16,""),IF($P572="Attended",Setup!$D$17,""),IF($Q572="Attended",Setup!$D$18,""),IF($R572="Attended",Setup!$D$19,"")))</f>
        <v/>
      </c>
      <c r="W572" s="48" t="str">
        <f aca="true">IF(OR($B572="",NOT(ISNUMBER($H572))),"",TODAY()-$H572)</f>
        <v/>
      </c>
      <c r="X572" s="47" t="str">
        <f aca="false">IF($B572="","",IF($U572&gt;0,"Event attendee",IF($G572="Yes","Met (no event)",IF($T572&gt;0,"Invited only",IF(OR($L572="Yes",$M572="Yes"),"Contacted only","Not yet contacted")))))</f>
        <v/>
      </c>
      <c r="Y572" s="47" t="str">
        <f aca="false">IF($B572="","",COUNTIF(c_Firm,"&lt;"&amp;$D572)+COUNTIFS(c_Firm,$D572,c_Name,"&lt;"&amp;$B572)+COUNTIFS($D$2:$D572,$D572,$B$2:$B572,$B572))</f>
        <v/>
      </c>
      <c r="Z572" s="47" t="str">
        <f aca="false">IF($B572="","",IF(AND(OR(Contacts!$C$3="(All)",$D572=Contacts!$C$3),OR(Contacts!$E$3="(All)",$G572=Contacts!$E$3),OR(Contacts!$G$3="(All)",ISNUMBER(SEARCH(Contacts!$G$3,$V572))),OR(Contacts!$I$3="(All)",$X572=Contacts!$I$3),OR(Contacts!$K$3="",ISNUMBER(SEARCH(Contacts!$K$3,$B572&amp;" "&amp;$C572&amp;" "&amp;$D572&amp;" "&amp;$S572)))),1,0))</f>
        <v/>
      </c>
      <c r="AA572" s="47" t="str">
        <f aca="false">IF($Z572=1,COUNTIFS(c_Pass,1,c_Sort,"&lt;="&amp;$Y572),"")</f>
        <v/>
      </c>
      <c r="AB572" s="47" t="str">
        <f aca="false">IF(OR($G572&lt;&gt;"Yes",NOT(ISNUMBER($H572))),"",COUNTIFS(c_Met,"Yes",c_Date,"&lt;"&amp;$H572)+COUNTIFS($G$2:$G572,"Yes",$H$2:$H572,$H572))</f>
        <v/>
      </c>
    </row>
    <row r="573" customFormat="false" ht="15" hidden="false" customHeight="false" outlineLevel="0" collapsed="false">
      <c r="A573" s="44" t="str">
        <f aca="false">IF($B573="","",COUNTA($B$2:$B573))</f>
        <v/>
      </c>
      <c r="B573" s="11"/>
      <c r="C573" s="11"/>
      <c r="D573" s="11"/>
      <c r="E573" s="11"/>
      <c r="F573" s="11"/>
      <c r="G573" s="34"/>
      <c r="H573" s="25"/>
      <c r="I573" s="40"/>
      <c r="J573" s="34"/>
      <c r="K573" s="45"/>
      <c r="L573" s="34"/>
      <c r="M573" s="34"/>
      <c r="N573" s="11"/>
      <c r="O573" s="11"/>
      <c r="P573" s="11"/>
      <c r="Q573" s="11"/>
      <c r="R573" s="11"/>
      <c r="S573" s="46"/>
      <c r="T573" s="44" t="str">
        <f aca="false">IF($B573="","",COUNTA($N573:$R573)-COUNTIF($N573:$R573,"Not Invited"))</f>
        <v/>
      </c>
      <c r="U573" s="44" t="str">
        <f aca="false">IF($B573="","",COUNTIF($N573:$R573,"Attended"))</f>
        <v/>
      </c>
      <c r="V573" s="47" t="str">
        <f aca="false">IF($B573="","",_xlfn.TEXTJOIN(", ",TRUE(),IF($N573="Attended",Setup!$D$15,""),IF($O573="Attended",Setup!$D$16,""),IF($P573="Attended",Setup!$D$17,""),IF($Q573="Attended",Setup!$D$18,""),IF($R573="Attended",Setup!$D$19,"")))</f>
        <v/>
      </c>
      <c r="W573" s="48" t="str">
        <f aca="true">IF(OR($B573="",NOT(ISNUMBER($H573))),"",TODAY()-$H573)</f>
        <v/>
      </c>
      <c r="X573" s="47" t="str">
        <f aca="false">IF($B573="","",IF($U573&gt;0,"Event attendee",IF($G573="Yes","Met (no event)",IF($T573&gt;0,"Invited only",IF(OR($L573="Yes",$M573="Yes"),"Contacted only","Not yet contacted")))))</f>
        <v/>
      </c>
      <c r="Y573" s="47" t="str">
        <f aca="false">IF($B573="","",COUNTIF(c_Firm,"&lt;"&amp;$D573)+COUNTIFS(c_Firm,$D573,c_Name,"&lt;"&amp;$B573)+COUNTIFS($D$2:$D573,$D573,$B$2:$B573,$B573))</f>
        <v/>
      </c>
      <c r="Z573" s="47" t="str">
        <f aca="false">IF($B573="","",IF(AND(OR(Contacts!$C$3="(All)",$D573=Contacts!$C$3),OR(Contacts!$E$3="(All)",$G573=Contacts!$E$3),OR(Contacts!$G$3="(All)",ISNUMBER(SEARCH(Contacts!$G$3,$V573))),OR(Contacts!$I$3="(All)",$X573=Contacts!$I$3),OR(Contacts!$K$3="",ISNUMBER(SEARCH(Contacts!$K$3,$B573&amp;" "&amp;$C573&amp;" "&amp;$D573&amp;" "&amp;$S573)))),1,0))</f>
        <v/>
      </c>
      <c r="AA573" s="47" t="str">
        <f aca="false">IF($Z573=1,COUNTIFS(c_Pass,1,c_Sort,"&lt;="&amp;$Y573),"")</f>
        <v/>
      </c>
      <c r="AB573" s="47" t="str">
        <f aca="false">IF(OR($G573&lt;&gt;"Yes",NOT(ISNUMBER($H573))),"",COUNTIFS(c_Met,"Yes",c_Date,"&lt;"&amp;$H573)+COUNTIFS($G$2:$G573,"Yes",$H$2:$H573,$H573))</f>
        <v/>
      </c>
    </row>
    <row r="574" customFormat="false" ht="15" hidden="false" customHeight="false" outlineLevel="0" collapsed="false">
      <c r="A574" s="44" t="str">
        <f aca="false">IF($B574="","",COUNTA($B$2:$B574))</f>
        <v/>
      </c>
      <c r="B574" s="11"/>
      <c r="C574" s="11"/>
      <c r="D574" s="11"/>
      <c r="E574" s="11"/>
      <c r="F574" s="11"/>
      <c r="G574" s="34"/>
      <c r="H574" s="25"/>
      <c r="I574" s="40"/>
      <c r="J574" s="34"/>
      <c r="K574" s="45"/>
      <c r="L574" s="34"/>
      <c r="M574" s="34"/>
      <c r="N574" s="11"/>
      <c r="O574" s="11"/>
      <c r="P574" s="11"/>
      <c r="Q574" s="11"/>
      <c r="R574" s="11"/>
      <c r="S574" s="46"/>
      <c r="T574" s="44" t="str">
        <f aca="false">IF($B574="","",COUNTA($N574:$R574)-COUNTIF($N574:$R574,"Not Invited"))</f>
        <v/>
      </c>
      <c r="U574" s="44" t="str">
        <f aca="false">IF($B574="","",COUNTIF($N574:$R574,"Attended"))</f>
        <v/>
      </c>
      <c r="V574" s="47" t="str">
        <f aca="false">IF($B574="","",_xlfn.TEXTJOIN(", ",TRUE(),IF($N574="Attended",Setup!$D$15,""),IF($O574="Attended",Setup!$D$16,""),IF($P574="Attended",Setup!$D$17,""),IF($Q574="Attended",Setup!$D$18,""),IF($R574="Attended",Setup!$D$19,"")))</f>
        <v/>
      </c>
      <c r="W574" s="48" t="str">
        <f aca="true">IF(OR($B574="",NOT(ISNUMBER($H574))),"",TODAY()-$H574)</f>
        <v/>
      </c>
      <c r="X574" s="47" t="str">
        <f aca="false">IF($B574="","",IF($U574&gt;0,"Event attendee",IF($G574="Yes","Met (no event)",IF($T574&gt;0,"Invited only",IF(OR($L574="Yes",$M574="Yes"),"Contacted only","Not yet contacted")))))</f>
        <v/>
      </c>
      <c r="Y574" s="47" t="str">
        <f aca="false">IF($B574="","",COUNTIF(c_Firm,"&lt;"&amp;$D574)+COUNTIFS(c_Firm,$D574,c_Name,"&lt;"&amp;$B574)+COUNTIFS($D$2:$D574,$D574,$B$2:$B574,$B574))</f>
        <v/>
      </c>
      <c r="Z574" s="47" t="str">
        <f aca="false">IF($B574="","",IF(AND(OR(Contacts!$C$3="(All)",$D574=Contacts!$C$3),OR(Contacts!$E$3="(All)",$G574=Contacts!$E$3),OR(Contacts!$G$3="(All)",ISNUMBER(SEARCH(Contacts!$G$3,$V574))),OR(Contacts!$I$3="(All)",$X574=Contacts!$I$3),OR(Contacts!$K$3="",ISNUMBER(SEARCH(Contacts!$K$3,$B574&amp;" "&amp;$C574&amp;" "&amp;$D574&amp;" "&amp;$S574)))),1,0))</f>
        <v/>
      </c>
      <c r="AA574" s="47" t="str">
        <f aca="false">IF($Z574=1,COUNTIFS(c_Pass,1,c_Sort,"&lt;="&amp;$Y574),"")</f>
        <v/>
      </c>
      <c r="AB574" s="47" t="str">
        <f aca="false">IF(OR($G574&lt;&gt;"Yes",NOT(ISNUMBER($H574))),"",COUNTIFS(c_Met,"Yes",c_Date,"&lt;"&amp;$H574)+COUNTIFS($G$2:$G574,"Yes",$H$2:$H574,$H574))</f>
        <v/>
      </c>
    </row>
    <row r="575" customFormat="false" ht="15" hidden="false" customHeight="false" outlineLevel="0" collapsed="false">
      <c r="A575" s="44" t="str">
        <f aca="false">IF($B575="","",COUNTA($B$2:$B575))</f>
        <v/>
      </c>
      <c r="B575" s="11"/>
      <c r="C575" s="11"/>
      <c r="D575" s="11"/>
      <c r="E575" s="11"/>
      <c r="F575" s="11"/>
      <c r="G575" s="34"/>
      <c r="H575" s="25"/>
      <c r="I575" s="40"/>
      <c r="J575" s="34"/>
      <c r="K575" s="45"/>
      <c r="L575" s="34"/>
      <c r="M575" s="34"/>
      <c r="N575" s="11"/>
      <c r="O575" s="11"/>
      <c r="P575" s="11"/>
      <c r="Q575" s="11"/>
      <c r="R575" s="11"/>
      <c r="S575" s="46"/>
      <c r="T575" s="44" t="str">
        <f aca="false">IF($B575="","",COUNTA($N575:$R575)-COUNTIF($N575:$R575,"Not Invited"))</f>
        <v/>
      </c>
      <c r="U575" s="44" t="str">
        <f aca="false">IF($B575="","",COUNTIF($N575:$R575,"Attended"))</f>
        <v/>
      </c>
      <c r="V575" s="47" t="str">
        <f aca="false">IF($B575="","",_xlfn.TEXTJOIN(", ",TRUE(),IF($N575="Attended",Setup!$D$15,""),IF($O575="Attended",Setup!$D$16,""),IF($P575="Attended",Setup!$D$17,""),IF($Q575="Attended",Setup!$D$18,""),IF($R575="Attended",Setup!$D$19,"")))</f>
        <v/>
      </c>
      <c r="W575" s="48" t="str">
        <f aca="true">IF(OR($B575="",NOT(ISNUMBER($H575))),"",TODAY()-$H575)</f>
        <v/>
      </c>
      <c r="X575" s="47" t="str">
        <f aca="false">IF($B575="","",IF($U575&gt;0,"Event attendee",IF($G575="Yes","Met (no event)",IF($T575&gt;0,"Invited only",IF(OR($L575="Yes",$M575="Yes"),"Contacted only","Not yet contacted")))))</f>
        <v/>
      </c>
      <c r="Y575" s="47" t="str">
        <f aca="false">IF($B575="","",COUNTIF(c_Firm,"&lt;"&amp;$D575)+COUNTIFS(c_Firm,$D575,c_Name,"&lt;"&amp;$B575)+COUNTIFS($D$2:$D575,$D575,$B$2:$B575,$B575))</f>
        <v/>
      </c>
      <c r="Z575" s="47" t="str">
        <f aca="false">IF($B575="","",IF(AND(OR(Contacts!$C$3="(All)",$D575=Contacts!$C$3),OR(Contacts!$E$3="(All)",$G575=Contacts!$E$3),OR(Contacts!$G$3="(All)",ISNUMBER(SEARCH(Contacts!$G$3,$V575))),OR(Contacts!$I$3="(All)",$X575=Contacts!$I$3),OR(Contacts!$K$3="",ISNUMBER(SEARCH(Contacts!$K$3,$B575&amp;" "&amp;$C575&amp;" "&amp;$D575&amp;" "&amp;$S575)))),1,0))</f>
        <v/>
      </c>
      <c r="AA575" s="47" t="str">
        <f aca="false">IF($Z575=1,COUNTIFS(c_Pass,1,c_Sort,"&lt;="&amp;$Y575),"")</f>
        <v/>
      </c>
      <c r="AB575" s="47" t="str">
        <f aca="false">IF(OR($G575&lt;&gt;"Yes",NOT(ISNUMBER($H575))),"",COUNTIFS(c_Met,"Yes",c_Date,"&lt;"&amp;$H575)+COUNTIFS($G$2:$G575,"Yes",$H$2:$H575,$H575))</f>
        <v/>
      </c>
    </row>
    <row r="576" customFormat="false" ht="15" hidden="false" customHeight="false" outlineLevel="0" collapsed="false">
      <c r="A576" s="44" t="str">
        <f aca="false">IF($B576="","",COUNTA($B$2:$B576))</f>
        <v/>
      </c>
      <c r="B576" s="11"/>
      <c r="C576" s="11"/>
      <c r="D576" s="11"/>
      <c r="E576" s="11"/>
      <c r="F576" s="11"/>
      <c r="G576" s="34"/>
      <c r="H576" s="25"/>
      <c r="I576" s="40"/>
      <c r="J576" s="34"/>
      <c r="K576" s="45"/>
      <c r="L576" s="34"/>
      <c r="M576" s="34"/>
      <c r="N576" s="11"/>
      <c r="O576" s="11"/>
      <c r="P576" s="11"/>
      <c r="Q576" s="11"/>
      <c r="R576" s="11"/>
      <c r="S576" s="46"/>
      <c r="T576" s="44" t="str">
        <f aca="false">IF($B576="","",COUNTA($N576:$R576)-COUNTIF($N576:$R576,"Not Invited"))</f>
        <v/>
      </c>
      <c r="U576" s="44" t="str">
        <f aca="false">IF($B576="","",COUNTIF($N576:$R576,"Attended"))</f>
        <v/>
      </c>
      <c r="V576" s="47" t="str">
        <f aca="false">IF($B576="","",_xlfn.TEXTJOIN(", ",TRUE(),IF($N576="Attended",Setup!$D$15,""),IF($O576="Attended",Setup!$D$16,""),IF($P576="Attended",Setup!$D$17,""),IF($Q576="Attended",Setup!$D$18,""),IF($R576="Attended",Setup!$D$19,"")))</f>
        <v/>
      </c>
      <c r="W576" s="48" t="str">
        <f aca="true">IF(OR($B576="",NOT(ISNUMBER($H576))),"",TODAY()-$H576)</f>
        <v/>
      </c>
      <c r="X576" s="47" t="str">
        <f aca="false">IF($B576="","",IF($U576&gt;0,"Event attendee",IF($G576="Yes","Met (no event)",IF($T576&gt;0,"Invited only",IF(OR($L576="Yes",$M576="Yes"),"Contacted only","Not yet contacted")))))</f>
        <v/>
      </c>
      <c r="Y576" s="47" t="str">
        <f aca="false">IF($B576="","",COUNTIF(c_Firm,"&lt;"&amp;$D576)+COUNTIFS(c_Firm,$D576,c_Name,"&lt;"&amp;$B576)+COUNTIFS($D$2:$D576,$D576,$B$2:$B576,$B576))</f>
        <v/>
      </c>
      <c r="Z576" s="47" t="str">
        <f aca="false">IF($B576="","",IF(AND(OR(Contacts!$C$3="(All)",$D576=Contacts!$C$3),OR(Contacts!$E$3="(All)",$G576=Contacts!$E$3),OR(Contacts!$G$3="(All)",ISNUMBER(SEARCH(Contacts!$G$3,$V576))),OR(Contacts!$I$3="(All)",$X576=Contacts!$I$3),OR(Contacts!$K$3="",ISNUMBER(SEARCH(Contacts!$K$3,$B576&amp;" "&amp;$C576&amp;" "&amp;$D576&amp;" "&amp;$S576)))),1,0))</f>
        <v/>
      </c>
      <c r="AA576" s="47" t="str">
        <f aca="false">IF($Z576=1,COUNTIFS(c_Pass,1,c_Sort,"&lt;="&amp;$Y576),"")</f>
        <v/>
      </c>
      <c r="AB576" s="47" t="str">
        <f aca="false">IF(OR($G576&lt;&gt;"Yes",NOT(ISNUMBER($H576))),"",COUNTIFS(c_Met,"Yes",c_Date,"&lt;"&amp;$H576)+COUNTIFS($G$2:$G576,"Yes",$H$2:$H576,$H576))</f>
        <v/>
      </c>
    </row>
    <row r="577" customFormat="false" ht="15" hidden="false" customHeight="false" outlineLevel="0" collapsed="false">
      <c r="A577" s="44" t="str">
        <f aca="false">IF($B577="","",COUNTA($B$2:$B577))</f>
        <v/>
      </c>
      <c r="B577" s="11"/>
      <c r="C577" s="11"/>
      <c r="D577" s="11"/>
      <c r="E577" s="11"/>
      <c r="F577" s="11"/>
      <c r="G577" s="34"/>
      <c r="H577" s="25"/>
      <c r="I577" s="40"/>
      <c r="J577" s="34"/>
      <c r="K577" s="45"/>
      <c r="L577" s="34"/>
      <c r="M577" s="34"/>
      <c r="N577" s="11"/>
      <c r="O577" s="11"/>
      <c r="P577" s="11"/>
      <c r="Q577" s="11"/>
      <c r="R577" s="11"/>
      <c r="S577" s="46"/>
      <c r="T577" s="44" t="str">
        <f aca="false">IF($B577="","",COUNTA($N577:$R577)-COUNTIF($N577:$R577,"Not Invited"))</f>
        <v/>
      </c>
      <c r="U577" s="44" t="str">
        <f aca="false">IF($B577="","",COUNTIF($N577:$R577,"Attended"))</f>
        <v/>
      </c>
      <c r="V577" s="47" t="str">
        <f aca="false">IF($B577="","",_xlfn.TEXTJOIN(", ",TRUE(),IF($N577="Attended",Setup!$D$15,""),IF($O577="Attended",Setup!$D$16,""),IF($P577="Attended",Setup!$D$17,""),IF($Q577="Attended",Setup!$D$18,""),IF($R577="Attended",Setup!$D$19,"")))</f>
        <v/>
      </c>
      <c r="W577" s="48" t="str">
        <f aca="true">IF(OR($B577="",NOT(ISNUMBER($H577))),"",TODAY()-$H577)</f>
        <v/>
      </c>
      <c r="X577" s="47" t="str">
        <f aca="false">IF($B577="","",IF($U577&gt;0,"Event attendee",IF($G577="Yes","Met (no event)",IF($T577&gt;0,"Invited only",IF(OR($L577="Yes",$M577="Yes"),"Contacted only","Not yet contacted")))))</f>
        <v/>
      </c>
      <c r="Y577" s="47" t="str">
        <f aca="false">IF($B577="","",COUNTIF(c_Firm,"&lt;"&amp;$D577)+COUNTIFS(c_Firm,$D577,c_Name,"&lt;"&amp;$B577)+COUNTIFS($D$2:$D577,$D577,$B$2:$B577,$B577))</f>
        <v/>
      </c>
      <c r="Z577" s="47" t="str">
        <f aca="false">IF($B577="","",IF(AND(OR(Contacts!$C$3="(All)",$D577=Contacts!$C$3),OR(Contacts!$E$3="(All)",$G577=Contacts!$E$3),OR(Contacts!$G$3="(All)",ISNUMBER(SEARCH(Contacts!$G$3,$V577))),OR(Contacts!$I$3="(All)",$X577=Contacts!$I$3),OR(Contacts!$K$3="",ISNUMBER(SEARCH(Contacts!$K$3,$B577&amp;" "&amp;$C577&amp;" "&amp;$D577&amp;" "&amp;$S577)))),1,0))</f>
        <v/>
      </c>
      <c r="AA577" s="47" t="str">
        <f aca="false">IF($Z577=1,COUNTIFS(c_Pass,1,c_Sort,"&lt;="&amp;$Y577),"")</f>
        <v/>
      </c>
      <c r="AB577" s="47" t="str">
        <f aca="false">IF(OR($G577&lt;&gt;"Yes",NOT(ISNUMBER($H577))),"",COUNTIFS(c_Met,"Yes",c_Date,"&lt;"&amp;$H577)+COUNTIFS($G$2:$G577,"Yes",$H$2:$H577,$H577))</f>
        <v/>
      </c>
    </row>
    <row r="578" customFormat="false" ht="15" hidden="false" customHeight="false" outlineLevel="0" collapsed="false">
      <c r="A578" s="44" t="str">
        <f aca="false">IF($B578="","",COUNTA($B$2:$B578))</f>
        <v/>
      </c>
      <c r="B578" s="11"/>
      <c r="C578" s="11"/>
      <c r="D578" s="11"/>
      <c r="E578" s="11"/>
      <c r="F578" s="11"/>
      <c r="G578" s="34"/>
      <c r="H578" s="25"/>
      <c r="I578" s="40"/>
      <c r="J578" s="34"/>
      <c r="K578" s="45"/>
      <c r="L578" s="34"/>
      <c r="M578" s="34"/>
      <c r="N578" s="11"/>
      <c r="O578" s="11"/>
      <c r="P578" s="11"/>
      <c r="Q578" s="11"/>
      <c r="R578" s="11"/>
      <c r="S578" s="46"/>
      <c r="T578" s="44" t="str">
        <f aca="false">IF($B578="","",COUNTA($N578:$R578)-COUNTIF($N578:$R578,"Not Invited"))</f>
        <v/>
      </c>
      <c r="U578" s="44" t="str">
        <f aca="false">IF($B578="","",COUNTIF($N578:$R578,"Attended"))</f>
        <v/>
      </c>
      <c r="V578" s="47" t="str">
        <f aca="false">IF($B578="","",_xlfn.TEXTJOIN(", ",TRUE(),IF($N578="Attended",Setup!$D$15,""),IF($O578="Attended",Setup!$D$16,""),IF($P578="Attended",Setup!$D$17,""),IF($Q578="Attended",Setup!$D$18,""),IF($R578="Attended",Setup!$D$19,"")))</f>
        <v/>
      </c>
      <c r="W578" s="48" t="str">
        <f aca="true">IF(OR($B578="",NOT(ISNUMBER($H578))),"",TODAY()-$H578)</f>
        <v/>
      </c>
      <c r="X578" s="47" t="str">
        <f aca="false">IF($B578="","",IF($U578&gt;0,"Event attendee",IF($G578="Yes","Met (no event)",IF($T578&gt;0,"Invited only",IF(OR($L578="Yes",$M578="Yes"),"Contacted only","Not yet contacted")))))</f>
        <v/>
      </c>
      <c r="Y578" s="47" t="str">
        <f aca="false">IF($B578="","",COUNTIF(c_Firm,"&lt;"&amp;$D578)+COUNTIFS(c_Firm,$D578,c_Name,"&lt;"&amp;$B578)+COUNTIFS($D$2:$D578,$D578,$B$2:$B578,$B578))</f>
        <v/>
      </c>
      <c r="Z578" s="47" t="str">
        <f aca="false">IF($B578="","",IF(AND(OR(Contacts!$C$3="(All)",$D578=Contacts!$C$3),OR(Contacts!$E$3="(All)",$G578=Contacts!$E$3),OR(Contacts!$G$3="(All)",ISNUMBER(SEARCH(Contacts!$G$3,$V578))),OR(Contacts!$I$3="(All)",$X578=Contacts!$I$3),OR(Contacts!$K$3="",ISNUMBER(SEARCH(Contacts!$K$3,$B578&amp;" "&amp;$C578&amp;" "&amp;$D578&amp;" "&amp;$S578)))),1,0))</f>
        <v/>
      </c>
      <c r="AA578" s="47" t="str">
        <f aca="false">IF($Z578=1,COUNTIFS(c_Pass,1,c_Sort,"&lt;="&amp;$Y578),"")</f>
        <v/>
      </c>
      <c r="AB578" s="47" t="str">
        <f aca="false">IF(OR($G578&lt;&gt;"Yes",NOT(ISNUMBER($H578))),"",COUNTIFS(c_Met,"Yes",c_Date,"&lt;"&amp;$H578)+COUNTIFS($G$2:$G578,"Yes",$H$2:$H578,$H578))</f>
        <v/>
      </c>
    </row>
    <row r="579" customFormat="false" ht="15" hidden="false" customHeight="false" outlineLevel="0" collapsed="false">
      <c r="A579" s="44" t="str">
        <f aca="false">IF($B579="","",COUNTA($B$2:$B579))</f>
        <v/>
      </c>
      <c r="B579" s="11"/>
      <c r="C579" s="11"/>
      <c r="D579" s="11"/>
      <c r="E579" s="11"/>
      <c r="F579" s="11"/>
      <c r="G579" s="34"/>
      <c r="H579" s="25"/>
      <c r="I579" s="40"/>
      <c r="J579" s="34"/>
      <c r="K579" s="45"/>
      <c r="L579" s="34"/>
      <c r="M579" s="34"/>
      <c r="N579" s="11"/>
      <c r="O579" s="11"/>
      <c r="P579" s="11"/>
      <c r="Q579" s="11"/>
      <c r="R579" s="11"/>
      <c r="S579" s="46"/>
      <c r="T579" s="44" t="str">
        <f aca="false">IF($B579="","",COUNTA($N579:$R579)-COUNTIF($N579:$R579,"Not Invited"))</f>
        <v/>
      </c>
      <c r="U579" s="44" t="str">
        <f aca="false">IF($B579="","",COUNTIF($N579:$R579,"Attended"))</f>
        <v/>
      </c>
      <c r="V579" s="47" t="str">
        <f aca="false">IF($B579="","",_xlfn.TEXTJOIN(", ",TRUE(),IF($N579="Attended",Setup!$D$15,""),IF($O579="Attended",Setup!$D$16,""),IF($P579="Attended",Setup!$D$17,""),IF($Q579="Attended",Setup!$D$18,""),IF($R579="Attended",Setup!$D$19,"")))</f>
        <v/>
      </c>
      <c r="W579" s="48" t="str">
        <f aca="true">IF(OR($B579="",NOT(ISNUMBER($H579))),"",TODAY()-$H579)</f>
        <v/>
      </c>
      <c r="X579" s="47" t="str">
        <f aca="false">IF($B579="","",IF($U579&gt;0,"Event attendee",IF($G579="Yes","Met (no event)",IF($T579&gt;0,"Invited only",IF(OR($L579="Yes",$M579="Yes"),"Contacted only","Not yet contacted")))))</f>
        <v/>
      </c>
      <c r="Y579" s="47" t="str">
        <f aca="false">IF($B579="","",COUNTIF(c_Firm,"&lt;"&amp;$D579)+COUNTIFS(c_Firm,$D579,c_Name,"&lt;"&amp;$B579)+COUNTIFS($D$2:$D579,$D579,$B$2:$B579,$B579))</f>
        <v/>
      </c>
      <c r="Z579" s="47" t="str">
        <f aca="false">IF($B579="","",IF(AND(OR(Contacts!$C$3="(All)",$D579=Contacts!$C$3),OR(Contacts!$E$3="(All)",$G579=Contacts!$E$3),OR(Contacts!$G$3="(All)",ISNUMBER(SEARCH(Contacts!$G$3,$V579))),OR(Contacts!$I$3="(All)",$X579=Contacts!$I$3),OR(Contacts!$K$3="",ISNUMBER(SEARCH(Contacts!$K$3,$B579&amp;" "&amp;$C579&amp;" "&amp;$D579&amp;" "&amp;$S579)))),1,0))</f>
        <v/>
      </c>
      <c r="AA579" s="47" t="str">
        <f aca="false">IF($Z579=1,COUNTIFS(c_Pass,1,c_Sort,"&lt;="&amp;$Y579),"")</f>
        <v/>
      </c>
      <c r="AB579" s="47" t="str">
        <f aca="false">IF(OR($G579&lt;&gt;"Yes",NOT(ISNUMBER($H579))),"",COUNTIFS(c_Met,"Yes",c_Date,"&lt;"&amp;$H579)+COUNTIFS($G$2:$G579,"Yes",$H$2:$H579,$H579))</f>
        <v/>
      </c>
    </row>
    <row r="580" customFormat="false" ht="15" hidden="false" customHeight="false" outlineLevel="0" collapsed="false">
      <c r="A580" s="44" t="str">
        <f aca="false">IF($B580="","",COUNTA($B$2:$B580))</f>
        <v/>
      </c>
      <c r="B580" s="11"/>
      <c r="C580" s="11"/>
      <c r="D580" s="11"/>
      <c r="E580" s="11"/>
      <c r="F580" s="11"/>
      <c r="G580" s="34"/>
      <c r="H580" s="25"/>
      <c r="I580" s="40"/>
      <c r="J580" s="34"/>
      <c r="K580" s="45"/>
      <c r="L580" s="34"/>
      <c r="M580" s="34"/>
      <c r="N580" s="11"/>
      <c r="O580" s="11"/>
      <c r="P580" s="11"/>
      <c r="Q580" s="11"/>
      <c r="R580" s="11"/>
      <c r="S580" s="46"/>
      <c r="T580" s="44" t="str">
        <f aca="false">IF($B580="","",COUNTA($N580:$R580)-COUNTIF($N580:$R580,"Not Invited"))</f>
        <v/>
      </c>
      <c r="U580" s="44" t="str">
        <f aca="false">IF($B580="","",COUNTIF($N580:$R580,"Attended"))</f>
        <v/>
      </c>
      <c r="V580" s="47" t="str">
        <f aca="false">IF($B580="","",_xlfn.TEXTJOIN(", ",TRUE(),IF($N580="Attended",Setup!$D$15,""),IF($O580="Attended",Setup!$D$16,""),IF($P580="Attended",Setup!$D$17,""),IF($Q580="Attended",Setup!$D$18,""),IF($R580="Attended",Setup!$D$19,"")))</f>
        <v/>
      </c>
      <c r="W580" s="48" t="str">
        <f aca="true">IF(OR($B580="",NOT(ISNUMBER($H580))),"",TODAY()-$H580)</f>
        <v/>
      </c>
      <c r="X580" s="47" t="str">
        <f aca="false">IF($B580="","",IF($U580&gt;0,"Event attendee",IF($G580="Yes","Met (no event)",IF($T580&gt;0,"Invited only",IF(OR($L580="Yes",$M580="Yes"),"Contacted only","Not yet contacted")))))</f>
        <v/>
      </c>
      <c r="Y580" s="47" t="str">
        <f aca="false">IF($B580="","",COUNTIF(c_Firm,"&lt;"&amp;$D580)+COUNTIFS(c_Firm,$D580,c_Name,"&lt;"&amp;$B580)+COUNTIFS($D$2:$D580,$D580,$B$2:$B580,$B580))</f>
        <v/>
      </c>
      <c r="Z580" s="47" t="str">
        <f aca="false">IF($B580="","",IF(AND(OR(Contacts!$C$3="(All)",$D580=Contacts!$C$3),OR(Contacts!$E$3="(All)",$G580=Contacts!$E$3),OR(Contacts!$G$3="(All)",ISNUMBER(SEARCH(Contacts!$G$3,$V580))),OR(Contacts!$I$3="(All)",$X580=Contacts!$I$3),OR(Contacts!$K$3="",ISNUMBER(SEARCH(Contacts!$K$3,$B580&amp;" "&amp;$C580&amp;" "&amp;$D580&amp;" "&amp;$S580)))),1,0))</f>
        <v/>
      </c>
      <c r="AA580" s="47" t="str">
        <f aca="false">IF($Z580=1,COUNTIFS(c_Pass,1,c_Sort,"&lt;="&amp;$Y580),"")</f>
        <v/>
      </c>
      <c r="AB580" s="47" t="str">
        <f aca="false">IF(OR($G580&lt;&gt;"Yes",NOT(ISNUMBER($H580))),"",COUNTIFS(c_Met,"Yes",c_Date,"&lt;"&amp;$H580)+COUNTIFS($G$2:$G580,"Yes",$H$2:$H580,$H580))</f>
        <v/>
      </c>
    </row>
    <row r="581" customFormat="false" ht="15" hidden="false" customHeight="false" outlineLevel="0" collapsed="false">
      <c r="A581" s="44" t="str">
        <f aca="false">IF($B581="","",COUNTA($B$2:$B581))</f>
        <v/>
      </c>
      <c r="B581" s="11"/>
      <c r="C581" s="11"/>
      <c r="D581" s="11"/>
      <c r="E581" s="11"/>
      <c r="F581" s="11"/>
      <c r="G581" s="34"/>
      <c r="H581" s="25"/>
      <c r="I581" s="40"/>
      <c r="J581" s="34"/>
      <c r="K581" s="45"/>
      <c r="L581" s="34"/>
      <c r="M581" s="34"/>
      <c r="N581" s="11"/>
      <c r="O581" s="11"/>
      <c r="P581" s="11"/>
      <c r="Q581" s="11"/>
      <c r="R581" s="11"/>
      <c r="S581" s="46"/>
      <c r="T581" s="44" t="str">
        <f aca="false">IF($B581="","",COUNTA($N581:$R581)-COUNTIF($N581:$R581,"Not Invited"))</f>
        <v/>
      </c>
      <c r="U581" s="44" t="str">
        <f aca="false">IF($B581="","",COUNTIF($N581:$R581,"Attended"))</f>
        <v/>
      </c>
      <c r="V581" s="47" t="str">
        <f aca="false">IF($B581="","",_xlfn.TEXTJOIN(", ",TRUE(),IF($N581="Attended",Setup!$D$15,""),IF($O581="Attended",Setup!$D$16,""),IF($P581="Attended",Setup!$D$17,""),IF($Q581="Attended",Setup!$D$18,""),IF($R581="Attended",Setup!$D$19,"")))</f>
        <v/>
      </c>
      <c r="W581" s="48" t="str">
        <f aca="true">IF(OR($B581="",NOT(ISNUMBER($H581))),"",TODAY()-$H581)</f>
        <v/>
      </c>
      <c r="X581" s="47" t="str">
        <f aca="false">IF($B581="","",IF($U581&gt;0,"Event attendee",IF($G581="Yes","Met (no event)",IF($T581&gt;0,"Invited only",IF(OR($L581="Yes",$M581="Yes"),"Contacted only","Not yet contacted")))))</f>
        <v/>
      </c>
      <c r="Y581" s="47" t="str">
        <f aca="false">IF($B581="","",COUNTIF(c_Firm,"&lt;"&amp;$D581)+COUNTIFS(c_Firm,$D581,c_Name,"&lt;"&amp;$B581)+COUNTIFS($D$2:$D581,$D581,$B$2:$B581,$B581))</f>
        <v/>
      </c>
      <c r="Z581" s="47" t="str">
        <f aca="false">IF($B581="","",IF(AND(OR(Contacts!$C$3="(All)",$D581=Contacts!$C$3),OR(Contacts!$E$3="(All)",$G581=Contacts!$E$3),OR(Contacts!$G$3="(All)",ISNUMBER(SEARCH(Contacts!$G$3,$V581))),OR(Contacts!$I$3="(All)",$X581=Contacts!$I$3),OR(Contacts!$K$3="",ISNUMBER(SEARCH(Contacts!$K$3,$B581&amp;" "&amp;$C581&amp;" "&amp;$D581&amp;" "&amp;$S581)))),1,0))</f>
        <v/>
      </c>
      <c r="AA581" s="47" t="str">
        <f aca="false">IF($Z581=1,COUNTIFS(c_Pass,1,c_Sort,"&lt;="&amp;$Y581),"")</f>
        <v/>
      </c>
      <c r="AB581" s="47" t="str">
        <f aca="false">IF(OR($G581&lt;&gt;"Yes",NOT(ISNUMBER($H581))),"",COUNTIFS(c_Met,"Yes",c_Date,"&lt;"&amp;$H581)+COUNTIFS($G$2:$G581,"Yes",$H$2:$H581,$H581))</f>
        <v/>
      </c>
    </row>
    <row r="582" customFormat="false" ht="15" hidden="false" customHeight="false" outlineLevel="0" collapsed="false">
      <c r="A582" s="44" t="str">
        <f aca="false">IF($B582="","",COUNTA($B$2:$B582))</f>
        <v/>
      </c>
      <c r="B582" s="11"/>
      <c r="C582" s="11"/>
      <c r="D582" s="11"/>
      <c r="E582" s="11"/>
      <c r="F582" s="11"/>
      <c r="G582" s="34"/>
      <c r="H582" s="25"/>
      <c r="I582" s="40"/>
      <c r="J582" s="34"/>
      <c r="K582" s="45"/>
      <c r="L582" s="34"/>
      <c r="M582" s="34"/>
      <c r="N582" s="11"/>
      <c r="O582" s="11"/>
      <c r="P582" s="11"/>
      <c r="Q582" s="11"/>
      <c r="R582" s="11"/>
      <c r="S582" s="46"/>
      <c r="T582" s="44" t="str">
        <f aca="false">IF($B582="","",COUNTA($N582:$R582)-COUNTIF($N582:$R582,"Not Invited"))</f>
        <v/>
      </c>
      <c r="U582" s="44" t="str">
        <f aca="false">IF($B582="","",COUNTIF($N582:$R582,"Attended"))</f>
        <v/>
      </c>
      <c r="V582" s="47" t="str">
        <f aca="false">IF($B582="","",_xlfn.TEXTJOIN(", ",TRUE(),IF($N582="Attended",Setup!$D$15,""),IF($O582="Attended",Setup!$D$16,""),IF($P582="Attended",Setup!$D$17,""),IF($Q582="Attended",Setup!$D$18,""),IF($R582="Attended",Setup!$D$19,"")))</f>
        <v/>
      </c>
      <c r="W582" s="48" t="str">
        <f aca="true">IF(OR($B582="",NOT(ISNUMBER($H582))),"",TODAY()-$H582)</f>
        <v/>
      </c>
      <c r="X582" s="47" t="str">
        <f aca="false">IF($B582="","",IF($U582&gt;0,"Event attendee",IF($G582="Yes","Met (no event)",IF($T582&gt;0,"Invited only",IF(OR($L582="Yes",$M582="Yes"),"Contacted only","Not yet contacted")))))</f>
        <v/>
      </c>
      <c r="Y582" s="47" t="str">
        <f aca="false">IF($B582="","",COUNTIF(c_Firm,"&lt;"&amp;$D582)+COUNTIFS(c_Firm,$D582,c_Name,"&lt;"&amp;$B582)+COUNTIFS($D$2:$D582,$D582,$B$2:$B582,$B582))</f>
        <v/>
      </c>
      <c r="Z582" s="47" t="str">
        <f aca="false">IF($B582="","",IF(AND(OR(Contacts!$C$3="(All)",$D582=Contacts!$C$3),OR(Contacts!$E$3="(All)",$G582=Contacts!$E$3),OR(Contacts!$G$3="(All)",ISNUMBER(SEARCH(Contacts!$G$3,$V582))),OR(Contacts!$I$3="(All)",$X582=Contacts!$I$3),OR(Contacts!$K$3="",ISNUMBER(SEARCH(Contacts!$K$3,$B582&amp;" "&amp;$C582&amp;" "&amp;$D582&amp;" "&amp;$S582)))),1,0))</f>
        <v/>
      </c>
      <c r="AA582" s="47" t="str">
        <f aca="false">IF($Z582=1,COUNTIFS(c_Pass,1,c_Sort,"&lt;="&amp;$Y582),"")</f>
        <v/>
      </c>
      <c r="AB582" s="47" t="str">
        <f aca="false">IF(OR($G582&lt;&gt;"Yes",NOT(ISNUMBER($H582))),"",COUNTIFS(c_Met,"Yes",c_Date,"&lt;"&amp;$H582)+COUNTIFS($G$2:$G582,"Yes",$H$2:$H582,$H582))</f>
        <v/>
      </c>
    </row>
    <row r="583" customFormat="false" ht="15" hidden="false" customHeight="false" outlineLevel="0" collapsed="false">
      <c r="A583" s="44" t="str">
        <f aca="false">IF($B583="","",COUNTA($B$2:$B583))</f>
        <v/>
      </c>
      <c r="B583" s="11"/>
      <c r="C583" s="11"/>
      <c r="D583" s="11"/>
      <c r="E583" s="11"/>
      <c r="F583" s="11"/>
      <c r="G583" s="34"/>
      <c r="H583" s="25"/>
      <c r="I583" s="40"/>
      <c r="J583" s="34"/>
      <c r="K583" s="45"/>
      <c r="L583" s="34"/>
      <c r="M583" s="34"/>
      <c r="N583" s="11"/>
      <c r="O583" s="11"/>
      <c r="P583" s="11"/>
      <c r="Q583" s="11"/>
      <c r="R583" s="11"/>
      <c r="S583" s="46"/>
      <c r="T583" s="44" t="str">
        <f aca="false">IF($B583="","",COUNTA($N583:$R583)-COUNTIF($N583:$R583,"Not Invited"))</f>
        <v/>
      </c>
      <c r="U583" s="44" t="str">
        <f aca="false">IF($B583="","",COUNTIF($N583:$R583,"Attended"))</f>
        <v/>
      </c>
      <c r="V583" s="47" t="str">
        <f aca="false">IF($B583="","",_xlfn.TEXTJOIN(", ",TRUE(),IF($N583="Attended",Setup!$D$15,""),IF($O583="Attended",Setup!$D$16,""),IF($P583="Attended",Setup!$D$17,""),IF($Q583="Attended",Setup!$D$18,""),IF($R583="Attended",Setup!$D$19,"")))</f>
        <v/>
      </c>
      <c r="W583" s="48" t="str">
        <f aca="true">IF(OR($B583="",NOT(ISNUMBER($H583))),"",TODAY()-$H583)</f>
        <v/>
      </c>
      <c r="X583" s="47" t="str">
        <f aca="false">IF($B583="","",IF($U583&gt;0,"Event attendee",IF($G583="Yes","Met (no event)",IF($T583&gt;0,"Invited only",IF(OR($L583="Yes",$M583="Yes"),"Contacted only","Not yet contacted")))))</f>
        <v/>
      </c>
      <c r="Y583" s="47" t="str">
        <f aca="false">IF($B583="","",COUNTIF(c_Firm,"&lt;"&amp;$D583)+COUNTIFS(c_Firm,$D583,c_Name,"&lt;"&amp;$B583)+COUNTIFS($D$2:$D583,$D583,$B$2:$B583,$B583))</f>
        <v/>
      </c>
      <c r="Z583" s="47" t="str">
        <f aca="false">IF($B583="","",IF(AND(OR(Contacts!$C$3="(All)",$D583=Contacts!$C$3),OR(Contacts!$E$3="(All)",$G583=Contacts!$E$3),OR(Contacts!$G$3="(All)",ISNUMBER(SEARCH(Contacts!$G$3,$V583))),OR(Contacts!$I$3="(All)",$X583=Contacts!$I$3),OR(Contacts!$K$3="",ISNUMBER(SEARCH(Contacts!$K$3,$B583&amp;" "&amp;$C583&amp;" "&amp;$D583&amp;" "&amp;$S583)))),1,0))</f>
        <v/>
      </c>
      <c r="AA583" s="47" t="str">
        <f aca="false">IF($Z583=1,COUNTIFS(c_Pass,1,c_Sort,"&lt;="&amp;$Y583),"")</f>
        <v/>
      </c>
      <c r="AB583" s="47" t="str">
        <f aca="false">IF(OR($G583&lt;&gt;"Yes",NOT(ISNUMBER($H583))),"",COUNTIFS(c_Met,"Yes",c_Date,"&lt;"&amp;$H583)+COUNTIFS($G$2:$G583,"Yes",$H$2:$H583,$H583))</f>
        <v/>
      </c>
    </row>
    <row r="584" customFormat="false" ht="15" hidden="false" customHeight="false" outlineLevel="0" collapsed="false">
      <c r="A584" s="44" t="str">
        <f aca="false">IF($B584="","",COUNTA($B$2:$B584))</f>
        <v/>
      </c>
      <c r="B584" s="11"/>
      <c r="C584" s="11"/>
      <c r="D584" s="11"/>
      <c r="E584" s="11"/>
      <c r="F584" s="11"/>
      <c r="G584" s="34"/>
      <c r="H584" s="25"/>
      <c r="I584" s="40"/>
      <c r="J584" s="34"/>
      <c r="K584" s="45"/>
      <c r="L584" s="34"/>
      <c r="M584" s="34"/>
      <c r="N584" s="11"/>
      <c r="O584" s="11"/>
      <c r="P584" s="11"/>
      <c r="Q584" s="11"/>
      <c r="R584" s="11"/>
      <c r="S584" s="46"/>
      <c r="T584" s="44" t="str">
        <f aca="false">IF($B584="","",COUNTA($N584:$R584)-COUNTIF($N584:$R584,"Not Invited"))</f>
        <v/>
      </c>
      <c r="U584" s="44" t="str">
        <f aca="false">IF($B584="","",COUNTIF($N584:$R584,"Attended"))</f>
        <v/>
      </c>
      <c r="V584" s="47" t="str">
        <f aca="false">IF($B584="","",_xlfn.TEXTJOIN(", ",TRUE(),IF($N584="Attended",Setup!$D$15,""),IF($O584="Attended",Setup!$D$16,""),IF($P584="Attended",Setup!$D$17,""),IF($Q584="Attended",Setup!$D$18,""),IF($R584="Attended",Setup!$D$19,"")))</f>
        <v/>
      </c>
      <c r="W584" s="48" t="str">
        <f aca="true">IF(OR($B584="",NOT(ISNUMBER($H584))),"",TODAY()-$H584)</f>
        <v/>
      </c>
      <c r="X584" s="47" t="str">
        <f aca="false">IF($B584="","",IF($U584&gt;0,"Event attendee",IF($G584="Yes","Met (no event)",IF($T584&gt;0,"Invited only",IF(OR($L584="Yes",$M584="Yes"),"Contacted only","Not yet contacted")))))</f>
        <v/>
      </c>
      <c r="Y584" s="47" t="str">
        <f aca="false">IF($B584="","",COUNTIF(c_Firm,"&lt;"&amp;$D584)+COUNTIFS(c_Firm,$D584,c_Name,"&lt;"&amp;$B584)+COUNTIFS($D$2:$D584,$D584,$B$2:$B584,$B584))</f>
        <v/>
      </c>
      <c r="Z584" s="47" t="str">
        <f aca="false">IF($B584="","",IF(AND(OR(Contacts!$C$3="(All)",$D584=Contacts!$C$3),OR(Contacts!$E$3="(All)",$G584=Contacts!$E$3),OR(Contacts!$G$3="(All)",ISNUMBER(SEARCH(Contacts!$G$3,$V584))),OR(Contacts!$I$3="(All)",$X584=Contacts!$I$3),OR(Contacts!$K$3="",ISNUMBER(SEARCH(Contacts!$K$3,$B584&amp;" "&amp;$C584&amp;" "&amp;$D584&amp;" "&amp;$S584)))),1,0))</f>
        <v/>
      </c>
      <c r="AA584" s="47" t="str">
        <f aca="false">IF($Z584=1,COUNTIFS(c_Pass,1,c_Sort,"&lt;="&amp;$Y584),"")</f>
        <v/>
      </c>
      <c r="AB584" s="47" t="str">
        <f aca="false">IF(OR($G584&lt;&gt;"Yes",NOT(ISNUMBER($H584))),"",COUNTIFS(c_Met,"Yes",c_Date,"&lt;"&amp;$H584)+COUNTIFS($G$2:$G584,"Yes",$H$2:$H584,$H584))</f>
        <v/>
      </c>
    </row>
    <row r="585" customFormat="false" ht="15" hidden="false" customHeight="false" outlineLevel="0" collapsed="false">
      <c r="A585" s="44" t="str">
        <f aca="false">IF($B585="","",COUNTA($B$2:$B585))</f>
        <v/>
      </c>
      <c r="B585" s="11"/>
      <c r="C585" s="11"/>
      <c r="D585" s="11"/>
      <c r="E585" s="11"/>
      <c r="F585" s="11"/>
      <c r="G585" s="34"/>
      <c r="H585" s="25"/>
      <c r="I585" s="40"/>
      <c r="J585" s="34"/>
      <c r="K585" s="45"/>
      <c r="L585" s="34"/>
      <c r="M585" s="34"/>
      <c r="N585" s="11"/>
      <c r="O585" s="11"/>
      <c r="P585" s="11"/>
      <c r="Q585" s="11"/>
      <c r="R585" s="11"/>
      <c r="S585" s="46"/>
      <c r="T585" s="44" t="str">
        <f aca="false">IF($B585="","",COUNTA($N585:$R585)-COUNTIF($N585:$R585,"Not Invited"))</f>
        <v/>
      </c>
      <c r="U585" s="44" t="str">
        <f aca="false">IF($B585="","",COUNTIF($N585:$R585,"Attended"))</f>
        <v/>
      </c>
      <c r="V585" s="47" t="str">
        <f aca="false">IF($B585="","",_xlfn.TEXTJOIN(", ",TRUE(),IF($N585="Attended",Setup!$D$15,""),IF($O585="Attended",Setup!$D$16,""),IF($P585="Attended",Setup!$D$17,""),IF($Q585="Attended",Setup!$D$18,""),IF($R585="Attended",Setup!$D$19,"")))</f>
        <v/>
      </c>
      <c r="W585" s="48" t="str">
        <f aca="true">IF(OR($B585="",NOT(ISNUMBER($H585))),"",TODAY()-$H585)</f>
        <v/>
      </c>
      <c r="X585" s="47" t="str">
        <f aca="false">IF($B585="","",IF($U585&gt;0,"Event attendee",IF($G585="Yes","Met (no event)",IF($T585&gt;0,"Invited only",IF(OR($L585="Yes",$M585="Yes"),"Contacted only","Not yet contacted")))))</f>
        <v/>
      </c>
      <c r="Y585" s="47" t="str">
        <f aca="false">IF($B585="","",COUNTIF(c_Firm,"&lt;"&amp;$D585)+COUNTIFS(c_Firm,$D585,c_Name,"&lt;"&amp;$B585)+COUNTIFS($D$2:$D585,$D585,$B$2:$B585,$B585))</f>
        <v/>
      </c>
      <c r="Z585" s="47" t="str">
        <f aca="false">IF($B585="","",IF(AND(OR(Contacts!$C$3="(All)",$D585=Contacts!$C$3),OR(Contacts!$E$3="(All)",$G585=Contacts!$E$3),OR(Contacts!$G$3="(All)",ISNUMBER(SEARCH(Contacts!$G$3,$V585))),OR(Contacts!$I$3="(All)",$X585=Contacts!$I$3),OR(Contacts!$K$3="",ISNUMBER(SEARCH(Contacts!$K$3,$B585&amp;" "&amp;$C585&amp;" "&amp;$D585&amp;" "&amp;$S585)))),1,0))</f>
        <v/>
      </c>
      <c r="AA585" s="47" t="str">
        <f aca="false">IF($Z585=1,COUNTIFS(c_Pass,1,c_Sort,"&lt;="&amp;$Y585),"")</f>
        <v/>
      </c>
      <c r="AB585" s="47" t="str">
        <f aca="false">IF(OR($G585&lt;&gt;"Yes",NOT(ISNUMBER($H585))),"",COUNTIFS(c_Met,"Yes",c_Date,"&lt;"&amp;$H585)+COUNTIFS($G$2:$G585,"Yes",$H$2:$H585,$H585))</f>
        <v/>
      </c>
    </row>
    <row r="586" customFormat="false" ht="15" hidden="false" customHeight="false" outlineLevel="0" collapsed="false">
      <c r="A586" s="44" t="str">
        <f aca="false">IF($B586="","",COUNTA($B$2:$B586))</f>
        <v/>
      </c>
      <c r="B586" s="11"/>
      <c r="C586" s="11"/>
      <c r="D586" s="11"/>
      <c r="E586" s="11"/>
      <c r="F586" s="11"/>
      <c r="G586" s="34"/>
      <c r="H586" s="25"/>
      <c r="I586" s="40"/>
      <c r="J586" s="34"/>
      <c r="K586" s="45"/>
      <c r="L586" s="34"/>
      <c r="M586" s="34"/>
      <c r="N586" s="11"/>
      <c r="O586" s="11"/>
      <c r="P586" s="11"/>
      <c r="Q586" s="11"/>
      <c r="R586" s="11"/>
      <c r="S586" s="46"/>
      <c r="T586" s="44" t="str">
        <f aca="false">IF($B586="","",COUNTA($N586:$R586)-COUNTIF($N586:$R586,"Not Invited"))</f>
        <v/>
      </c>
      <c r="U586" s="44" t="str">
        <f aca="false">IF($B586="","",COUNTIF($N586:$R586,"Attended"))</f>
        <v/>
      </c>
      <c r="V586" s="47" t="str">
        <f aca="false">IF($B586="","",_xlfn.TEXTJOIN(", ",TRUE(),IF($N586="Attended",Setup!$D$15,""),IF($O586="Attended",Setup!$D$16,""),IF($P586="Attended",Setup!$D$17,""),IF($Q586="Attended",Setup!$D$18,""),IF($R586="Attended",Setup!$D$19,"")))</f>
        <v/>
      </c>
      <c r="W586" s="48" t="str">
        <f aca="true">IF(OR($B586="",NOT(ISNUMBER($H586))),"",TODAY()-$H586)</f>
        <v/>
      </c>
      <c r="X586" s="47" t="str">
        <f aca="false">IF($B586="","",IF($U586&gt;0,"Event attendee",IF($G586="Yes","Met (no event)",IF($T586&gt;0,"Invited only",IF(OR($L586="Yes",$M586="Yes"),"Contacted only","Not yet contacted")))))</f>
        <v/>
      </c>
      <c r="Y586" s="47" t="str">
        <f aca="false">IF($B586="","",COUNTIF(c_Firm,"&lt;"&amp;$D586)+COUNTIFS(c_Firm,$D586,c_Name,"&lt;"&amp;$B586)+COUNTIFS($D$2:$D586,$D586,$B$2:$B586,$B586))</f>
        <v/>
      </c>
      <c r="Z586" s="47" t="str">
        <f aca="false">IF($B586="","",IF(AND(OR(Contacts!$C$3="(All)",$D586=Contacts!$C$3),OR(Contacts!$E$3="(All)",$G586=Contacts!$E$3),OR(Contacts!$G$3="(All)",ISNUMBER(SEARCH(Contacts!$G$3,$V586))),OR(Contacts!$I$3="(All)",$X586=Contacts!$I$3),OR(Contacts!$K$3="",ISNUMBER(SEARCH(Contacts!$K$3,$B586&amp;" "&amp;$C586&amp;" "&amp;$D586&amp;" "&amp;$S586)))),1,0))</f>
        <v/>
      </c>
      <c r="AA586" s="47" t="str">
        <f aca="false">IF($Z586=1,COUNTIFS(c_Pass,1,c_Sort,"&lt;="&amp;$Y586),"")</f>
        <v/>
      </c>
      <c r="AB586" s="47" t="str">
        <f aca="false">IF(OR($G586&lt;&gt;"Yes",NOT(ISNUMBER($H586))),"",COUNTIFS(c_Met,"Yes",c_Date,"&lt;"&amp;$H586)+COUNTIFS($G$2:$G586,"Yes",$H$2:$H586,$H586))</f>
        <v/>
      </c>
    </row>
    <row r="587" customFormat="false" ht="15" hidden="false" customHeight="false" outlineLevel="0" collapsed="false">
      <c r="A587" s="44" t="str">
        <f aca="false">IF($B587="","",COUNTA($B$2:$B587))</f>
        <v/>
      </c>
      <c r="B587" s="11"/>
      <c r="C587" s="11"/>
      <c r="D587" s="11"/>
      <c r="E587" s="11"/>
      <c r="F587" s="11"/>
      <c r="G587" s="34"/>
      <c r="H587" s="25"/>
      <c r="I587" s="40"/>
      <c r="J587" s="34"/>
      <c r="K587" s="45"/>
      <c r="L587" s="34"/>
      <c r="M587" s="34"/>
      <c r="N587" s="11"/>
      <c r="O587" s="11"/>
      <c r="P587" s="11"/>
      <c r="Q587" s="11"/>
      <c r="R587" s="11"/>
      <c r="S587" s="46"/>
      <c r="T587" s="44" t="str">
        <f aca="false">IF($B587="","",COUNTA($N587:$R587)-COUNTIF($N587:$R587,"Not Invited"))</f>
        <v/>
      </c>
      <c r="U587" s="44" t="str">
        <f aca="false">IF($B587="","",COUNTIF($N587:$R587,"Attended"))</f>
        <v/>
      </c>
      <c r="V587" s="47" t="str">
        <f aca="false">IF($B587="","",_xlfn.TEXTJOIN(", ",TRUE(),IF($N587="Attended",Setup!$D$15,""),IF($O587="Attended",Setup!$D$16,""),IF($P587="Attended",Setup!$D$17,""),IF($Q587="Attended",Setup!$D$18,""),IF($R587="Attended",Setup!$D$19,"")))</f>
        <v/>
      </c>
      <c r="W587" s="48" t="str">
        <f aca="true">IF(OR($B587="",NOT(ISNUMBER($H587))),"",TODAY()-$H587)</f>
        <v/>
      </c>
      <c r="X587" s="47" t="str">
        <f aca="false">IF($B587="","",IF($U587&gt;0,"Event attendee",IF($G587="Yes","Met (no event)",IF($T587&gt;0,"Invited only",IF(OR($L587="Yes",$M587="Yes"),"Contacted only","Not yet contacted")))))</f>
        <v/>
      </c>
      <c r="Y587" s="47" t="str">
        <f aca="false">IF($B587="","",COUNTIF(c_Firm,"&lt;"&amp;$D587)+COUNTIFS(c_Firm,$D587,c_Name,"&lt;"&amp;$B587)+COUNTIFS($D$2:$D587,$D587,$B$2:$B587,$B587))</f>
        <v/>
      </c>
      <c r="Z587" s="47" t="str">
        <f aca="false">IF($B587="","",IF(AND(OR(Contacts!$C$3="(All)",$D587=Contacts!$C$3),OR(Contacts!$E$3="(All)",$G587=Contacts!$E$3),OR(Contacts!$G$3="(All)",ISNUMBER(SEARCH(Contacts!$G$3,$V587))),OR(Contacts!$I$3="(All)",$X587=Contacts!$I$3),OR(Contacts!$K$3="",ISNUMBER(SEARCH(Contacts!$K$3,$B587&amp;" "&amp;$C587&amp;" "&amp;$D587&amp;" "&amp;$S587)))),1,0))</f>
        <v/>
      </c>
      <c r="AA587" s="47" t="str">
        <f aca="false">IF($Z587=1,COUNTIFS(c_Pass,1,c_Sort,"&lt;="&amp;$Y587),"")</f>
        <v/>
      </c>
      <c r="AB587" s="47" t="str">
        <f aca="false">IF(OR($G587&lt;&gt;"Yes",NOT(ISNUMBER($H587))),"",COUNTIFS(c_Met,"Yes",c_Date,"&lt;"&amp;$H587)+COUNTIFS($G$2:$G587,"Yes",$H$2:$H587,$H587))</f>
        <v/>
      </c>
    </row>
    <row r="588" customFormat="false" ht="15" hidden="false" customHeight="false" outlineLevel="0" collapsed="false">
      <c r="A588" s="44" t="str">
        <f aca="false">IF($B588="","",COUNTA($B$2:$B588))</f>
        <v/>
      </c>
      <c r="B588" s="11"/>
      <c r="C588" s="11"/>
      <c r="D588" s="11"/>
      <c r="E588" s="11"/>
      <c r="F588" s="11"/>
      <c r="G588" s="34"/>
      <c r="H588" s="25"/>
      <c r="I588" s="40"/>
      <c r="J588" s="34"/>
      <c r="K588" s="45"/>
      <c r="L588" s="34"/>
      <c r="M588" s="34"/>
      <c r="N588" s="11"/>
      <c r="O588" s="11"/>
      <c r="P588" s="11"/>
      <c r="Q588" s="11"/>
      <c r="R588" s="11"/>
      <c r="S588" s="46"/>
      <c r="T588" s="44" t="str">
        <f aca="false">IF($B588="","",COUNTA($N588:$R588)-COUNTIF($N588:$R588,"Not Invited"))</f>
        <v/>
      </c>
      <c r="U588" s="44" t="str">
        <f aca="false">IF($B588="","",COUNTIF($N588:$R588,"Attended"))</f>
        <v/>
      </c>
      <c r="V588" s="47" t="str">
        <f aca="false">IF($B588="","",_xlfn.TEXTJOIN(", ",TRUE(),IF($N588="Attended",Setup!$D$15,""),IF($O588="Attended",Setup!$D$16,""),IF($P588="Attended",Setup!$D$17,""),IF($Q588="Attended",Setup!$D$18,""),IF($R588="Attended",Setup!$D$19,"")))</f>
        <v/>
      </c>
      <c r="W588" s="48" t="str">
        <f aca="true">IF(OR($B588="",NOT(ISNUMBER($H588))),"",TODAY()-$H588)</f>
        <v/>
      </c>
      <c r="X588" s="47" t="str">
        <f aca="false">IF($B588="","",IF($U588&gt;0,"Event attendee",IF($G588="Yes","Met (no event)",IF($T588&gt;0,"Invited only",IF(OR($L588="Yes",$M588="Yes"),"Contacted only","Not yet contacted")))))</f>
        <v/>
      </c>
      <c r="Y588" s="47" t="str">
        <f aca="false">IF($B588="","",COUNTIF(c_Firm,"&lt;"&amp;$D588)+COUNTIFS(c_Firm,$D588,c_Name,"&lt;"&amp;$B588)+COUNTIFS($D$2:$D588,$D588,$B$2:$B588,$B588))</f>
        <v/>
      </c>
      <c r="Z588" s="47" t="str">
        <f aca="false">IF($B588="","",IF(AND(OR(Contacts!$C$3="(All)",$D588=Contacts!$C$3),OR(Contacts!$E$3="(All)",$G588=Contacts!$E$3),OR(Contacts!$G$3="(All)",ISNUMBER(SEARCH(Contacts!$G$3,$V588))),OR(Contacts!$I$3="(All)",$X588=Contacts!$I$3),OR(Contacts!$K$3="",ISNUMBER(SEARCH(Contacts!$K$3,$B588&amp;" "&amp;$C588&amp;" "&amp;$D588&amp;" "&amp;$S588)))),1,0))</f>
        <v/>
      </c>
      <c r="AA588" s="47" t="str">
        <f aca="false">IF($Z588=1,COUNTIFS(c_Pass,1,c_Sort,"&lt;="&amp;$Y588),"")</f>
        <v/>
      </c>
      <c r="AB588" s="47" t="str">
        <f aca="false">IF(OR($G588&lt;&gt;"Yes",NOT(ISNUMBER($H588))),"",COUNTIFS(c_Met,"Yes",c_Date,"&lt;"&amp;$H588)+COUNTIFS($G$2:$G588,"Yes",$H$2:$H588,$H588))</f>
        <v/>
      </c>
    </row>
    <row r="589" customFormat="false" ht="15" hidden="false" customHeight="false" outlineLevel="0" collapsed="false">
      <c r="A589" s="44" t="str">
        <f aca="false">IF($B589="","",COUNTA($B$2:$B589))</f>
        <v/>
      </c>
      <c r="B589" s="11"/>
      <c r="C589" s="11"/>
      <c r="D589" s="11"/>
      <c r="E589" s="11"/>
      <c r="F589" s="11"/>
      <c r="G589" s="34"/>
      <c r="H589" s="25"/>
      <c r="I589" s="40"/>
      <c r="J589" s="34"/>
      <c r="K589" s="45"/>
      <c r="L589" s="34"/>
      <c r="M589" s="34"/>
      <c r="N589" s="11"/>
      <c r="O589" s="11"/>
      <c r="P589" s="11"/>
      <c r="Q589" s="11"/>
      <c r="R589" s="11"/>
      <c r="S589" s="46"/>
      <c r="T589" s="44" t="str">
        <f aca="false">IF($B589="","",COUNTA($N589:$R589)-COUNTIF($N589:$R589,"Not Invited"))</f>
        <v/>
      </c>
      <c r="U589" s="44" t="str">
        <f aca="false">IF($B589="","",COUNTIF($N589:$R589,"Attended"))</f>
        <v/>
      </c>
      <c r="V589" s="47" t="str">
        <f aca="false">IF($B589="","",_xlfn.TEXTJOIN(", ",TRUE(),IF($N589="Attended",Setup!$D$15,""),IF($O589="Attended",Setup!$D$16,""),IF($P589="Attended",Setup!$D$17,""),IF($Q589="Attended",Setup!$D$18,""),IF($R589="Attended",Setup!$D$19,"")))</f>
        <v/>
      </c>
      <c r="W589" s="48" t="str">
        <f aca="true">IF(OR($B589="",NOT(ISNUMBER($H589))),"",TODAY()-$H589)</f>
        <v/>
      </c>
      <c r="X589" s="47" t="str">
        <f aca="false">IF($B589="","",IF($U589&gt;0,"Event attendee",IF($G589="Yes","Met (no event)",IF($T589&gt;0,"Invited only",IF(OR($L589="Yes",$M589="Yes"),"Contacted only","Not yet contacted")))))</f>
        <v/>
      </c>
      <c r="Y589" s="47" t="str">
        <f aca="false">IF($B589="","",COUNTIF(c_Firm,"&lt;"&amp;$D589)+COUNTIFS(c_Firm,$D589,c_Name,"&lt;"&amp;$B589)+COUNTIFS($D$2:$D589,$D589,$B$2:$B589,$B589))</f>
        <v/>
      </c>
      <c r="Z589" s="47" t="str">
        <f aca="false">IF($B589="","",IF(AND(OR(Contacts!$C$3="(All)",$D589=Contacts!$C$3),OR(Contacts!$E$3="(All)",$G589=Contacts!$E$3),OR(Contacts!$G$3="(All)",ISNUMBER(SEARCH(Contacts!$G$3,$V589))),OR(Contacts!$I$3="(All)",$X589=Contacts!$I$3),OR(Contacts!$K$3="",ISNUMBER(SEARCH(Contacts!$K$3,$B589&amp;" "&amp;$C589&amp;" "&amp;$D589&amp;" "&amp;$S589)))),1,0))</f>
        <v/>
      </c>
      <c r="AA589" s="47" t="str">
        <f aca="false">IF($Z589=1,COUNTIFS(c_Pass,1,c_Sort,"&lt;="&amp;$Y589),"")</f>
        <v/>
      </c>
      <c r="AB589" s="47" t="str">
        <f aca="false">IF(OR($G589&lt;&gt;"Yes",NOT(ISNUMBER($H589))),"",COUNTIFS(c_Met,"Yes",c_Date,"&lt;"&amp;$H589)+COUNTIFS($G$2:$G589,"Yes",$H$2:$H589,$H589))</f>
        <v/>
      </c>
    </row>
    <row r="590" customFormat="false" ht="15" hidden="false" customHeight="false" outlineLevel="0" collapsed="false">
      <c r="A590" s="44" t="str">
        <f aca="false">IF($B590="","",COUNTA($B$2:$B590))</f>
        <v/>
      </c>
      <c r="B590" s="11"/>
      <c r="C590" s="11"/>
      <c r="D590" s="11"/>
      <c r="E590" s="11"/>
      <c r="F590" s="11"/>
      <c r="G590" s="34"/>
      <c r="H590" s="25"/>
      <c r="I590" s="40"/>
      <c r="J590" s="34"/>
      <c r="K590" s="45"/>
      <c r="L590" s="34"/>
      <c r="M590" s="34"/>
      <c r="N590" s="11"/>
      <c r="O590" s="11"/>
      <c r="P590" s="11"/>
      <c r="Q590" s="11"/>
      <c r="R590" s="11"/>
      <c r="S590" s="46"/>
      <c r="T590" s="44" t="str">
        <f aca="false">IF($B590="","",COUNTA($N590:$R590)-COUNTIF($N590:$R590,"Not Invited"))</f>
        <v/>
      </c>
      <c r="U590" s="44" t="str">
        <f aca="false">IF($B590="","",COUNTIF($N590:$R590,"Attended"))</f>
        <v/>
      </c>
      <c r="V590" s="47" t="str">
        <f aca="false">IF($B590="","",_xlfn.TEXTJOIN(", ",TRUE(),IF($N590="Attended",Setup!$D$15,""),IF($O590="Attended",Setup!$D$16,""),IF($P590="Attended",Setup!$D$17,""),IF($Q590="Attended",Setup!$D$18,""),IF($R590="Attended",Setup!$D$19,"")))</f>
        <v/>
      </c>
      <c r="W590" s="48" t="str">
        <f aca="true">IF(OR($B590="",NOT(ISNUMBER($H590))),"",TODAY()-$H590)</f>
        <v/>
      </c>
      <c r="X590" s="47" t="str">
        <f aca="false">IF($B590="","",IF($U590&gt;0,"Event attendee",IF($G590="Yes","Met (no event)",IF($T590&gt;0,"Invited only",IF(OR($L590="Yes",$M590="Yes"),"Contacted only","Not yet contacted")))))</f>
        <v/>
      </c>
      <c r="Y590" s="47" t="str">
        <f aca="false">IF($B590="","",COUNTIF(c_Firm,"&lt;"&amp;$D590)+COUNTIFS(c_Firm,$D590,c_Name,"&lt;"&amp;$B590)+COUNTIFS($D$2:$D590,$D590,$B$2:$B590,$B590))</f>
        <v/>
      </c>
      <c r="Z590" s="47" t="str">
        <f aca="false">IF($B590="","",IF(AND(OR(Contacts!$C$3="(All)",$D590=Contacts!$C$3),OR(Contacts!$E$3="(All)",$G590=Contacts!$E$3),OR(Contacts!$G$3="(All)",ISNUMBER(SEARCH(Contacts!$G$3,$V590))),OR(Contacts!$I$3="(All)",$X590=Contacts!$I$3),OR(Contacts!$K$3="",ISNUMBER(SEARCH(Contacts!$K$3,$B590&amp;" "&amp;$C590&amp;" "&amp;$D590&amp;" "&amp;$S590)))),1,0))</f>
        <v/>
      </c>
      <c r="AA590" s="47" t="str">
        <f aca="false">IF($Z590=1,COUNTIFS(c_Pass,1,c_Sort,"&lt;="&amp;$Y590),"")</f>
        <v/>
      </c>
      <c r="AB590" s="47" t="str">
        <f aca="false">IF(OR($G590&lt;&gt;"Yes",NOT(ISNUMBER($H590))),"",COUNTIFS(c_Met,"Yes",c_Date,"&lt;"&amp;$H590)+COUNTIFS($G$2:$G590,"Yes",$H$2:$H590,$H590))</f>
        <v/>
      </c>
    </row>
    <row r="591" customFormat="false" ht="15" hidden="false" customHeight="false" outlineLevel="0" collapsed="false">
      <c r="A591" s="44" t="str">
        <f aca="false">IF($B591="","",COUNTA($B$2:$B591))</f>
        <v/>
      </c>
      <c r="B591" s="11"/>
      <c r="C591" s="11"/>
      <c r="D591" s="11"/>
      <c r="E591" s="11"/>
      <c r="F591" s="11"/>
      <c r="G591" s="34"/>
      <c r="H591" s="25"/>
      <c r="I591" s="40"/>
      <c r="J591" s="34"/>
      <c r="K591" s="45"/>
      <c r="L591" s="34"/>
      <c r="M591" s="34"/>
      <c r="N591" s="11"/>
      <c r="O591" s="11"/>
      <c r="P591" s="11"/>
      <c r="Q591" s="11"/>
      <c r="R591" s="11"/>
      <c r="S591" s="46"/>
      <c r="T591" s="44" t="str">
        <f aca="false">IF($B591="","",COUNTA($N591:$R591)-COUNTIF($N591:$R591,"Not Invited"))</f>
        <v/>
      </c>
      <c r="U591" s="44" t="str">
        <f aca="false">IF($B591="","",COUNTIF($N591:$R591,"Attended"))</f>
        <v/>
      </c>
      <c r="V591" s="47" t="str">
        <f aca="false">IF($B591="","",_xlfn.TEXTJOIN(", ",TRUE(),IF($N591="Attended",Setup!$D$15,""),IF($O591="Attended",Setup!$D$16,""),IF($P591="Attended",Setup!$D$17,""),IF($Q591="Attended",Setup!$D$18,""),IF($R591="Attended",Setup!$D$19,"")))</f>
        <v/>
      </c>
      <c r="W591" s="48" t="str">
        <f aca="true">IF(OR($B591="",NOT(ISNUMBER($H591))),"",TODAY()-$H591)</f>
        <v/>
      </c>
      <c r="X591" s="47" t="str">
        <f aca="false">IF($B591="","",IF($U591&gt;0,"Event attendee",IF($G591="Yes","Met (no event)",IF($T591&gt;0,"Invited only",IF(OR($L591="Yes",$M591="Yes"),"Contacted only","Not yet contacted")))))</f>
        <v/>
      </c>
      <c r="Y591" s="47" t="str">
        <f aca="false">IF($B591="","",COUNTIF(c_Firm,"&lt;"&amp;$D591)+COUNTIFS(c_Firm,$D591,c_Name,"&lt;"&amp;$B591)+COUNTIFS($D$2:$D591,$D591,$B$2:$B591,$B591))</f>
        <v/>
      </c>
      <c r="Z591" s="47" t="str">
        <f aca="false">IF($B591="","",IF(AND(OR(Contacts!$C$3="(All)",$D591=Contacts!$C$3),OR(Contacts!$E$3="(All)",$G591=Contacts!$E$3),OR(Contacts!$G$3="(All)",ISNUMBER(SEARCH(Contacts!$G$3,$V591))),OR(Contacts!$I$3="(All)",$X591=Contacts!$I$3),OR(Contacts!$K$3="",ISNUMBER(SEARCH(Contacts!$K$3,$B591&amp;" "&amp;$C591&amp;" "&amp;$D591&amp;" "&amp;$S591)))),1,0))</f>
        <v/>
      </c>
      <c r="AA591" s="47" t="str">
        <f aca="false">IF($Z591=1,COUNTIFS(c_Pass,1,c_Sort,"&lt;="&amp;$Y591),"")</f>
        <v/>
      </c>
      <c r="AB591" s="47" t="str">
        <f aca="false">IF(OR($G591&lt;&gt;"Yes",NOT(ISNUMBER($H591))),"",COUNTIFS(c_Met,"Yes",c_Date,"&lt;"&amp;$H591)+COUNTIFS($G$2:$G591,"Yes",$H$2:$H591,$H591))</f>
        <v/>
      </c>
    </row>
    <row r="592" customFormat="false" ht="15" hidden="false" customHeight="false" outlineLevel="0" collapsed="false">
      <c r="A592" s="44" t="str">
        <f aca="false">IF($B592="","",COUNTA($B$2:$B592))</f>
        <v/>
      </c>
      <c r="B592" s="11"/>
      <c r="C592" s="11"/>
      <c r="D592" s="11"/>
      <c r="E592" s="11"/>
      <c r="F592" s="11"/>
      <c r="G592" s="34"/>
      <c r="H592" s="25"/>
      <c r="I592" s="40"/>
      <c r="J592" s="34"/>
      <c r="K592" s="45"/>
      <c r="L592" s="34"/>
      <c r="M592" s="34"/>
      <c r="N592" s="11"/>
      <c r="O592" s="11"/>
      <c r="P592" s="11"/>
      <c r="Q592" s="11"/>
      <c r="R592" s="11"/>
      <c r="S592" s="46"/>
      <c r="T592" s="44" t="str">
        <f aca="false">IF($B592="","",COUNTA($N592:$R592)-COUNTIF($N592:$R592,"Not Invited"))</f>
        <v/>
      </c>
      <c r="U592" s="44" t="str">
        <f aca="false">IF($B592="","",COUNTIF($N592:$R592,"Attended"))</f>
        <v/>
      </c>
      <c r="V592" s="47" t="str">
        <f aca="false">IF($B592="","",_xlfn.TEXTJOIN(", ",TRUE(),IF($N592="Attended",Setup!$D$15,""),IF($O592="Attended",Setup!$D$16,""),IF($P592="Attended",Setup!$D$17,""),IF($Q592="Attended",Setup!$D$18,""),IF($R592="Attended",Setup!$D$19,"")))</f>
        <v/>
      </c>
      <c r="W592" s="48" t="str">
        <f aca="true">IF(OR($B592="",NOT(ISNUMBER($H592))),"",TODAY()-$H592)</f>
        <v/>
      </c>
      <c r="X592" s="47" t="str">
        <f aca="false">IF($B592="","",IF($U592&gt;0,"Event attendee",IF($G592="Yes","Met (no event)",IF($T592&gt;0,"Invited only",IF(OR($L592="Yes",$M592="Yes"),"Contacted only","Not yet contacted")))))</f>
        <v/>
      </c>
      <c r="Y592" s="47" t="str">
        <f aca="false">IF($B592="","",COUNTIF(c_Firm,"&lt;"&amp;$D592)+COUNTIFS(c_Firm,$D592,c_Name,"&lt;"&amp;$B592)+COUNTIFS($D$2:$D592,$D592,$B$2:$B592,$B592))</f>
        <v/>
      </c>
      <c r="Z592" s="47" t="str">
        <f aca="false">IF($B592="","",IF(AND(OR(Contacts!$C$3="(All)",$D592=Contacts!$C$3),OR(Contacts!$E$3="(All)",$G592=Contacts!$E$3),OR(Contacts!$G$3="(All)",ISNUMBER(SEARCH(Contacts!$G$3,$V592))),OR(Contacts!$I$3="(All)",$X592=Contacts!$I$3),OR(Contacts!$K$3="",ISNUMBER(SEARCH(Contacts!$K$3,$B592&amp;" "&amp;$C592&amp;" "&amp;$D592&amp;" "&amp;$S592)))),1,0))</f>
        <v/>
      </c>
      <c r="AA592" s="47" t="str">
        <f aca="false">IF($Z592=1,COUNTIFS(c_Pass,1,c_Sort,"&lt;="&amp;$Y592),"")</f>
        <v/>
      </c>
      <c r="AB592" s="47" t="str">
        <f aca="false">IF(OR($G592&lt;&gt;"Yes",NOT(ISNUMBER($H592))),"",COUNTIFS(c_Met,"Yes",c_Date,"&lt;"&amp;$H592)+COUNTIFS($G$2:$G592,"Yes",$H$2:$H592,$H592))</f>
        <v/>
      </c>
    </row>
    <row r="593" customFormat="false" ht="15" hidden="false" customHeight="false" outlineLevel="0" collapsed="false">
      <c r="A593" s="44" t="str">
        <f aca="false">IF($B593="","",COUNTA($B$2:$B593))</f>
        <v/>
      </c>
      <c r="B593" s="11"/>
      <c r="C593" s="11"/>
      <c r="D593" s="11"/>
      <c r="E593" s="11"/>
      <c r="F593" s="11"/>
      <c r="G593" s="34"/>
      <c r="H593" s="25"/>
      <c r="I593" s="40"/>
      <c r="J593" s="34"/>
      <c r="K593" s="45"/>
      <c r="L593" s="34"/>
      <c r="M593" s="34"/>
      <c r="N593" s="11"/>
      <c r="O593" s="11"/>
      <c r="P593" s="11"/>
      <c r="Q593" s="11"/>
      <c r="R593" s="11"/>
      <c r="S593" s="46"/>
      <c r="T593" s="44" t="str">
        <f aca="false">IF($B593="","",COUNTA($N593:$R593)-COUNTIF($N593:$R593,"Not Invited"))</f>
        <v/>
      </c>
      <c r="U593" s="44" t="str">
        <f aca="false">IF($B593="","",COUNTIF($N593:$R593,"Attended"))</f>
        <v/>
      </c>
      <c r="V593" s="47" t="str">
        <f aca="false">IF($B593="","",_xlfn.TEXTJOIN(", ",TRUE(),IF($N593="Attended",Setup!$D$15,""),IF($O593="Attended",Setup!$D$16,""),IF($P593="Attended",Setup!$D$17,""),IF($Q593="Attended",Setup!$D$18,""),IF($R593="Attended",Setup!$D$19,"")))</f>
        <v/>
      </c>
      <c r="W593" s="48" t="str">
        <f aca="true">IF(OR($B593="",NOT(ISNUMBER($H593))),"",TODAY()-$H593)</f>
        <v/>
      </c>
      <c r="X593" s="47" t="str">
        <f aca="false">IF($B593="","",IF($U593&gt;0,"Event attendee",IF($G593="Yes","Met (no event)",IF($T593&gt;0,"Invited only",IF(OR($L593="Yes",$M593="Yes"),"Contacted only","Not yet contacted")))))</f>
        <v/>
      </c>
      <c r="Y593" s="47" t="str">
        <f aca="false">IF($B593="","",COUNTIF(c_Firm,"&lt;"&amp;$D593)+COUNTIFS(c_Firm,$D593,c_Name,"&lt;"&amp;$B593)+COUNTIFS($D$2:$D593,$D593,$B$2:$B593,$B593))</f>
        <v/>
      </c>
      <c r="Z593" s="47" t="str">
        <f aca="false">IF($B593="","",IF(AND(OR(Contacts!$C$3="(All)",$D593=Contacts!$C$3),OR(Contacts!$E$3="(All)",$G593=Contacts!$E$3),OR(Contacts!$G$3="(All)",ISNUMBER(SEARCH(Contacts!$G$3,$V593))),OR(Contacts!$I$3="(All)",$X593=Contacts!$I$3),OR(Contacts!$K$3="",ISNUMBER(SEARCH(Contacts!$K$3,$B593&amp;" "&amp;$C593&amp;" "&amp;$D593&amp;" "&amp;$S593)))),1,0))</f>
        <v/>
      </c>
      <c r="AA593" s="47" t="str">
        <f aca="false">IF($Z593=1,COUNTIFS(c_Pass,1,c_Sort,"&lt;="&amp;$Y593),"")</f>
        <v/>
      </c>
      <c r="AB593" s="47" t="str">
        <f aca="false">IF(OR($G593&lt;&gt;"Yes",NOT(ISNUMBER($H593))),"",COUNTIFS(c_Met,"Yes",c_Date,"&lt;"&amp;$H593)+COUNTIFS($G$2:$G593,"Yes",$H$2:$H593,$H593))</f>
        <v/>
      </c>
    </row>
    <row r="594" customFormat="false" ht="15" hidden="false" customHeight="false" outlineLevel="0" collapsed="false">
      <c r="A594" s="44" t="str">
        <f aca="false">IF($B594="","",COUNTA($B$2:$B594))</f>
        <v/>
      </c>
      <c r="B594" s="11"/>
      <c r="C594" s="11"/>
      <c r="D594" s="11"/>
      <c r="E594" s="11"/>
      <c r="F594" s="11"/>
      <c r="G594" s="34"/>
      <c r="H594" s="25"/>
      <c r="I594" s="40"/>
      <c r="J594" s="34"/>
      <c r="K594" s="45"/>
      <c r="L594" s="34"/>
      <c r="M594" s="34"/>
      <c r="N594" s="11"/>
      <c r="O594" s="11"/>
      <c r="P594" s="11"/>
      <c r="Q594" s="11"/>
      <c r="R594" s="11"/>
      <c r="S594" s="46"/>
      <c r="T594" s="44" t="str">
        <f aca="false">IF($B594="","",COUNTA($N594:$R594)-COUNTIF($N594:$R594,"Not Invited"))</f>
        <v/>
      </c>
      <c r="U594" s="44" t="str">
        <f aca="false">IF($B594="","",COUNTIF($N594:$R594,"Attended"))</f>
        <v/>
      </c>
      <c r="V594" s="47" t="str">
        <f aca="false">IF($B594="","",_xlfn.TEXTJOIN(", ",TRUE(),IF($N594="Attended",Setup!$D$15,""),IF($O594="Attended",Setup!$D$16,""),IF($P594="Attended",Setup!$D$17,""),IF($Q594="Attended",Setup!$D$18,""),IF($R594="Attended",Setup!$D$19,"")))</f>
        <v/>
      </c>
      <c r="W594" s="48" t="str">
        <f aca="true">IF(OR($B594="",NOT(ISNUMBER($H594))),"",TODAY()-$H594)</f>
        <v/>
      </c>
      <c r="X594" s="47" t="str">
        <f aca="false">IF($B594="","",IF($U594&gt;0,"Event attendee",IF($G594="Yes","Met (no event)",IF($T594&gt;0,"Invited only",IF(OR($L594="Yes",$M594="Yes"),"Contacted only","Not yet contacted")))))</f>
        <v/>
      </c>
      <c r="Y594" s="47" t="str">
        <f aca="false">IF($B594="","",COUNTIF(c_Firm,"&lt;"&amp;$D594)+COUNTIFS(c_Firm,$D594,c_Name,"&lt;"&amp;$B594)+COUNTIFS($D$2:$D594,$D594,$B$2:$B594,$B594))</f>
        <v/>
      </c>
      <c r="Z594" s="47" t="str">
        <f aca="false">IF($B594="","",IF(AND(OR(Contacts!$C$3="(All)",$D594=Contacts!$C$3),OR(Contacts!$E$3="(All)",$G594=Contacts!$E$3),OR(Contacts!$G$3="(All)",ISNUMBER(SEARCH(Contacts!$G$3,$V594))),OR(Contacts!$I$3="(All)",$X594=Contacts!$I$3),OR(Contacts!$K$3="",ISNUMBER(SEARCH(Contacts!$K$3,$B594&amp;" "&amp;$C594&amp;" "&amp;$D594&amp;" "&amp;$S594)))),1,0))</f>
        <v/>
      </c>
      <c r="AA594" s="47" t="str">
        <f aca="false">IF($Z594=1,COUNTIFS(c_Pass,1,c_Sort,"&lt;="&amp;$Y594),"")</f>
        <v/>
      </c>
      <c r="AB594" s="47" t="str">
        <f aca="false">IF(OR($G594&lt;&gt;"Yes",NOT(ISNUMBER($H594))),"",COUNTIFS(c_Met,"Yes",c_Date,"&lt;"&amp;$H594)+COUNTIFS($G$2:$G594,"Yes",$H$2:$H594,$H594))</f>
        <v/>
      </c>
    </row>
    <row r="595" customFormat="false" ht="15" hidden="false" customHeight="false" outlineLevel="0" collapsed="false">
      <c r="A595" s="44" t="str">
        <f aca="false">IF($B595="","",COUNTA($B$2:$B595))</f>
        <v/>
      </c>
      <c r="B595" s="11"/>
      <c r="C595" s="11"/>
      <c r="D595" s="11"/>
      <c r="E595" s="11"/>
      <c r="F595" s="11"/>
      <c r="G595" s="34"/>
      <c r="H595" s="25"/>
      <c r="I595" s="40"/>
      <c r="J595" s="34"/>
      <c r="K595" s="45"/>
      <c r="L595" s="34"/>
      <c r="M595" s="34"/>
      <c r="N595" s="11"/>
      <c r="O595" s="11"/>
      <c r="P595" s="11"/>
      <c r="Q595" s="11"/>
      <c r="R595" s="11"/>
      <c r="S595" s="46"/>
      <c r="T595" s="44" t="str">
        <f aca="false">IF($B595="","",COUNTA($N595:$R595)-COUNTIF($N595:$R595,"Not Invited"))</f>
        <v/>
      </c>
      <c r="U595" s="44" t="str">
        <f aca="false">IF($B595="","",COUNTIF($N595:$R595,"Attended"))</f>
        <v/>
      </c>
      <c r="V595" s="47" t="str">
        <f aca="false">IF($B595="","",_xlfn.TEXTJOIN(", ",TRUE(),IF($N595="Attended",Setup!$D$15,""),IF($O595="Attended",Setup!$D$16,""),IF($P595="Attended",Setup!$D$17,""),IF($Q595="Attended",Setup!$D$18,""),IF($R595="Attended",Setup!$D$19,"")))</f>
        <v/>
      </c>
      <c r="W595" s="48" t="str">
        <f aca="true">IF(OR($B595="",NOT(ISNUMBER($H595))),"",TODAY()-$H595)</f>
        <v/>
      </c>
      <c r="X595" s="47" t="str">
        <f aca="false">IF($B595="","",IF($U595&gt;0,"Event attendee",IF($G595="Yes","Met (no event)",IF($T595&gt;0,"Invited only",IF(OR($L595="Yes",$M595="Yes"),"Contacted only","Not yet contacted")))))</f>
        <v/>
      </c>
      <c r="Y595" s="47" t="str">
        <f aca="false">IF($B595="","",COUNTIF(c_Firm,"&lt;"&amp;$D595)+COUNTIFS(c_Firm,$D595,c_Name,"&lt;"&amp;$B595)+COUNTIFS($D$2:$D595,$D595,$B$2:$B595,$B595))</f>
        <v/>
      </c>
      <c r="Z595" s="47" t="str">
        <f aca="false">IF($B595="","",IF(AND(OR(Contacts!$C$3="(All)",$D595=Contacts!$C$3),OR(Contacts!$E$3="(All)",$G595=Contacts!$E$3),OR(Contacts!$G$3="(All)",ISNUMBER(SEARCH(Contacts!$G$3,$V595))),OR(Contacts!$I$3="(All)",$X595=Contacts!$I$3),OR(Contacts!$K$3="",ISNUMBER(SEARCH(Contacts!$K$3,$B595&amp;" "&amp;$C595&amp;" "&amp;$D595&amp;" "&amp;$S595)))),1,0))</f>
        <v/>
      </c>
      <c r="AA595" s="47" t="str">
        <f aca="false">IF($Z595=1,COUNTIFS(c_Pass,1,c_Sort,"&lt;="&amp;$Y595),"")</f>
        <v/>
      </c>
      <c r="AB595" s="47" t="str">
        <f aca="false">IF(OR($G595&lt;&gt;"Yes",NOT(ISNUMBER($H595))),"",COUNTIFS(c_Met,"Yes",c_Date,"&lt;"&amp;$H595)+COUNTIFS($G$2:$G595,"Yes",$H$2:$H595,$H595))</f>
        <v/>
      </c>
    </row>
    <row r="596" customFormat="false" ht="15" hidden="false" customHeight="false" outlineLevel="0" collapsed="false">
      <c r="A596" s="44" t="str">
        <f aca="false">IF($B596="","",COUNTA($B$2:$B596))</f>
        <v/>
      </c>
      <c r="B596" s="11"/>
      <c r="C596" s="11"/>
      <c r="D596" s="11"/>
      <c r="E596" s="11"/>
      <c r="F596" s="11"/>
      <c r="G596" s="34"/>
      <c r="H596" s="25"/>
      <c r="I596" s="40"/>
      <c r="J596" s="34"/>
      <c r="K596" s="45"/>
      <c r="L596" s="34"/>
      <c r="M596" s="34"/>
      <c r="N596" s="11"/>
      <c r="O596" s="11"/>
      <c r="P596" s="11"/>
      <c r="Q596" s="11"/>
      <c r="R596" s="11"/>
      <c r="S596" s="46"/>
      <c r="T596" s="44" t="str">
        <f aca="false">IF($B596="","",COUNTA($N596:$R596)-COUNTIF($N596:$R596,"Not Invited"))</f>
        <v/>
      </c>
      <c r="U596" s="44" t="str">
        <f aca="false">IF($B596="","",COUNTIF($N596:$R596,"Attended"))</f>
        <v/>
      </c>
      <c r="V596" s="47" t="str">
        <f aca="false">IF($B596="","",_xlfn.TEXTJOIN(", ",TRUE(),IF($N596="Attended",Setup!$D$15,""),IF($O596="Attended",Setup!$D$16,""),IF($P596="Attended",Setup!$D$17,""),IF($Q596="Attended",Setup!$D$18,""),IF($R596="Attended",Setup!$D$19,"")))</f>
        <v/>
      </c>
      <c r="W596" s="48" t="str">
        <f aca="true">IF(OR($B596="",NOT(ISNUMBER($H596))),"",TODAY()-$H596)</f>
        <v/>
      </c>
      <c r="X596" s="47" t="str">
        <f aca="false">IF($B596="","",IF($U596&gt;0,"Event attendee",IF($G596="Yes","Met (no event)",IF($T596&gt;0,"Invited only",IF(OR($L596="Yes",$M596="Yes"),"Contacted only","Not yet contacted")))))</f>
        <v/>
      </c>
      <c r="Y596" s="47" t="str">
        <f aca="false">IF($B596="","",COUNTIF(c_Firm,"&lt;"&amp;$D596)+COUNTIFS(c_Firm,$D596,c_Name,"&lt;"&amp;$B596)+COUNTIFS($D$2:$D596,$D596,$B$2:$B596,$B596))</f>
        <v/>
      </c>
      <c r="Z596" s="47" t="str">
        <f aca="false">IF($B596="","",IF(AND(OR(Contacts!$C$3="(All)",$D596=Contacts!$C$3),OR(Contacts!$E$3="(All)",$G596=Contacts!$E$3),OR(Contacts!$G$3="(All)",ISNUMBER(SEARCH(Contacts!$G$3,$V596))),OR(Contacts!$I$3="(All)",$X596=Contacts!$I$3),OR(Contacts!$K$3="",ISNUMBER(SEARCH(Contacts!$K$3,$B596&amp;" "&amp;$C596&amp;" "&amp;$D596&amp;" "&amp;$S596)))),1,0))</f>
        <v/>
      </c>
      <c r="AA596" s="47" t="str">
        <f aca="false">IF($Z596=1,COUNTIFS(c_Pass,1,c_Sort,"&lt;="&amp;$Y596),"")</f>
        <v/>
      </c>
      <c r="AB596" s="47" t="str">
        <f aca="false">IF(OR($G596&lt;&gt;"Yes",NOT(ISNUMBER($H596))),"",COUNTIFS(c_Met,"Yes",c_Date,"&lt;"&amp;$H596)+COUNTIFS($G$2:$G596,"Yes",$H$2:$H596,$H596))</f>
        <v/>
      </c>
    </row>
    <row r="597" customFormat="false" ht="15" hidden="false" customHeight="false" outlineLevel="0" collapsed="false">
      <c r="A597" s="44" t="str">
        <f aca="false">IF($B597="","",COUNTA($B$2:$B597))</f>
        <v/>
      </c>
      <c r="B597" s="11"/>
      <c r="C597" s="11"/>
      <c r="D597" s="11"/>
      <c r="E597" s="11"/>
      <c r="F597" s="11"/>
      <c r="G597" s="34"/>
      <c r="H597" s="25"/>
      <c r="I597" s="40"/>
      <c r="J597" s="34"/>
      <c r="K597" s="45"/>
      <c r="L597" s="34"/>
      <c r="M597" s="34"/>
      <c r="N597" s="11"/>
      <c r="O597" s="11"/>
      <c r="P597" s="11"/>
      <c r="Q597" s="11"/>
      <c r="R597" s="11"/>
      <c r="S597" s="46"/>
      <c r="T597" s="44" t="str">
        <f aca="false">IF($B597="","",COUNTA($N597:$R597)-COUNTIF($N597:$R597,"Not Invited"))</f>
        <v/>
      </c>
      <c r="U597" s="44" t="str">
        <f aca="false">IF($B597="","",COUNTIF($N597:$R597,"Attended"))</f>
        <v/>
      </c>
      <c r="V597" s="47" t="str">
        <f aca="false">IF($B597="","",_xlfn.TEXTJOIN(", ",TRUE(),IF($N597="Attended",Setup!$D$15,""),IF($O597="Attended",Setup!$D$16,""),IF($P597="Attended",Setup!$D$17,""),IF($Q597="Attended",Setup!$D$18,""),IF($R597="Attended",Setup!$D$19,"")))</f>
        <v/>
      </c>
      <c r="W597" s="48" t="str">
        <f aca="true">IF(OR($B597="",NOT(ISNUMBER($H597))),"",TODAY()-$H597)</f>
        <v/>
      </c>
      <c r="X597" s="47" t="str">
        <f aca="false">IF($B597="","",IF($U597&gt;0,"Event attendee",IF($G597="Yes","Met (no event)",IF($T597&gt;0,"Invited only",IF(OR($L597="Yes",$M597="Yes"),"Contacted only","Not yet contacted")))))</f>
        <v/>
      </c>
      <c r="Y597" s="47" t="str">
        <f aca="false">IF($B597="","",COUNTIF(c_Firm,"&lt;"&amp;$D597)+COUNTIFS(c_Firm,$D597,c_Name,"&lt;"&amp;$B597)+COUNTIFS($D$2:$D597,$D597,$B$2:$B597,$B597))</f>
        <v/>
      </c>
      <c r="Z597" s="47" t="str">
        <f aca="false">IF($B597="","",IF(AND(OR(Contacts!$C$3="(All)",$D597=Contacts!$C$3),OR(Contacts!$E$3="(All)",$G597=Contacts!$E$3),OR(Contacts!$G$3="(All)",ISNUMBER(SEARCH(Contacts!$G$3,$V597))),OR(Contacts!$I$3="(All)",$X597=Contacts!$I$3),OR(Contacts!$K$3="",ISNUMBER(SEARCH(Contacts!$K$3,$B597&amp;" "&amp;$C597&amp;" "&amp;$D597&amp;" "&amp;$S597)))),1,0))</f>
        <v/>
      </c>
      <c r="AA597" s="47" t="str">
        <f aca="false">IF($Z597=1,COUNTIFS(c_Pass,1,c_Sort,"&lt;="&amp;$Y597),"")</f>
        <v/>
      </c>
      <c r="AB597" s="47" t="str">
        <f aca="false">IF(OR($G597&lt;&gt;"Yes",NOT(ISNUMBER($H597))),"",COUNTIFS(c_Met,"Yes",c_Date,"&lt;"&amp;$H597)+COUNTIFS($G$2:$G597,"Yes",$H$2:$H597,$H597))</f>
        <v/>
      </c>
    </row>
    <row r="598" customFormat="false" ht="15" hidden="false" customHeight="false" outlineLevel="0" collapsed="false">
      <c r="A598" s="44" t="str">
        <f aca="false">IF($B598="","",COUNTA($B$2:$B598))</f>
        <v/>
      </c>
      <c r="B598" s="11"/>
      <c r="C598" s="11"/>
      <c r="D598" s="11"/>
      <c r="E598" s="11"/>
      <c r="F598" s="11"/>
      <c r="G598" s="34"/>
      <c r="H598" s="25"/>
      <c r="I598" s="40"/>
      <c r="J598" s="34"/>
      <c r="K598" s="45"/>
      <c r="L598" s="34"/>
      <c r="M598" s="34"/>
      <c r="N598" s="11"/>
      <c r="O598" s="11"/>
      <c r="P598" s="11"/>
      <c r="Q598" s="11"/>
      <c r="R598" s="11"/>
      <c r="S598" s="46"/>
      <c r="T598" s="44" t="str">
        <f aca="false">IF($B598="","",COUNTA($N598:$R598)-COUNTIF($N598:$R598,"Not Invited"))</f>
        <v/>
      </c>
      <c r="U598" s="44" t="str">
        <f aca="false">IF($B598="","",COUNTIF($N598:$R598,"Attended"))</f>
        <v/>
      </c>
      <c r="V598" s="47" t="str">
        <f aca="false">IF($B598="","",_xlfn.TEXTJOIN(", ",TRUE(),IF($N598="Attended",Setup!$D$15,""),IF($O598="Attended",Setup!$D$16,""),IF($P598="Attended",Setup!$D$17,""),IF($Q598="Attended",Setup!$D$18,""),IF($R598="Attended",Setup!$D$19,"")))</f>
        <v/>
      </c>
      <c r="W598" s="48" t="str">
        <f aca="true">IF(OR($B598="",NOT(ISNUMBER($H598))),"",TODAY()-$H598)</f>
        <v/>
      </c>
      <c r="X598" s="47" t="str">
        <f aca="false">IF($B598="","",IF($U598&gt;0,"Event attendee",IF($G598="Yes","Met (no event)",IF($T598&gt;0,"Invited only",IF(OR($L598="Yes",$M598="Yes"),"Contacted only","Not yet contacted")))))</f>
        <v/>
      </c>
      <c r="Y598" s="47" t="str">
        <f aca="false">IF($B598="","",COUNTIF(c_Firm,"&lt;"&amp;$D598)+COUNTIFS(c_Firm,$D598,c_Name,"&lt;"&amp;$B598)+COUNTIFS($D$2:$D598,$D598,$B$2:$B598,$B598))</f>
        <v/>
      </c>
      <c r="Z598" s="47" t="str">
        <f aca="false">IF($B598="","",IF(AND(OR(Contacts!$C$3="(All)",$D598=Contacts!$C$3),OR(Contacts!$E$3="(All)",$G598=Contacts!$E$3),OR(Contacts!$G$3="(All)",ISNUMBER(SEARCH(Contacts!$G$3,$V598))),OR(Contacts!$I$3="(All)",$X598=Contacts!$I$3),OR(Contacts!$K$3="",ISNUMBER(SEARCH(Contacts!$K$3,$B598&amp;" "&amp;$C598&amp;" "&amp;$D598&amp;" "&amp;$S598)))),1,0))</f>
        <v/>
      </c>
      <c r="AA598" s="47" t="str">
        <f aca="false">IF($Z598=1,COUNTIFS(c_Pass,1,c_Sort,"&lt;="&amp;$Y598),"")</f>
        <v/>
      </c>
      <c r="AB598" s="47" t="str">
        <f aca="false">IF(OR($G598&lt;&gt;"Yes",NOT(ISNUMBER($H598))),"",COUNTIFS(c_Met,"Yes",c_Date,"&lt;"&amp;$H598)+COUNTIFS($G$2:$G598,"Yes",$H$2:$H598,$H598))</f>
        <v/>
      </c>
    </row>
    <row r="599" customFormat="false" ht="15" hidden="false" customHeight="false" outlineLevel="0" collapsed="false">
      <c r="A599" s="44" t="str">
        <f aca="false">IF($B599="","",COUNTA($B$2:$B599))</f>
        <v/>
      </c>
      <c r="B599" s="11"/>
      <c r="C599" s="11"/>
      <c r="D599" s="11"/>
      <c r="E599" s="11"/>
      <c r="F599" s="11"/>
      <c r="G599" s="34"/>
      <c r="H599" s="25"/>
      <c r="I599" s="40"/>
      <c r="J599" s="34"/>
      <c r="K599" s="45"/>
      <c r="L599" s="34"/>
      <c r="M599" s="34"/>
      <c r="N599" s="11"/>
      <c r="O599" s="11"/>
      <c r="P599" s="11"/>
      <c r="Q599" s="11"/>
      <c r="R599" s="11"/>
      <c r="S599" s="46"/>
      <c r="T599" s="44" t="str">
        <f aca="false">IF($B599="","",COUNTA($N599:$R599)-COUNTIF($N599:$R599,"Not Invited"))</f>
        <v/>
      </c>
      <c r="U599" s="44" t="str">
        <f aca="false">IF($B599="","",COUNTIF($N599:$R599,"Attended"))</f>
        <v/>
      </c>
      <c r="V599" s="47" t="str">
        <f aca="false">IF($B599="","",_xlfn.TEXTJOIN(", ",TRUE(),IF($N599="Attended",Setup!$D$15,""),IF($O599="Attended",Setup!$D$16,""),IF($P599="Attended",Setup!$D$17,""),IF($Q599="Attended",Setup!$D$18,""),IF($R599="Attended",Setup!$D$19,"")))</f>
        <v/>
      </c>
      <c r="W599" s="48" t="str">
        <f aca="true">IF(OR($B599="",NOT(ISNUMBER($H599))),"",TODAY()-$H599)</f>
        <v/>
      </c>
      <c r="X599" s="47" t="str">
        <f aca="false">IF($B599="","",IF($U599&gt;0,"Event attendee",IF($G599="Yes","Met (no event)",IF($T599&gt;0,"Invited only",IF(OR($L599="Yes",$M599="Yes"),"Contacted only","Not yet contacted")))))</f>
        <v/>
      </c>
      <c r="Y599" s="47" t="str">
        <f aca="false">IF($B599="","",COUNTIF(c_Firm,"&lt;"&amp;$D599)+COUNTIFS(c_Firm,$D599,c_Name,"&lt;"&amp;$B599)+COUNTIFS($D$2:$D599,$D599,$B$2:$B599,$B599))</f>
        <v/>
      </c>
      <c r="Z599" s="47" t="str">
        <f aca="false">IF($B599="","",IF(AND(OR(Contacts!$C$3="(All)",$D599=Contacts!$C$3),OR(Contacts!$E$3="(All)",$G599=Contacts!$E$3),OR(Contacts!$G$3="(All)",ISNUMBER(SEARCH(Contacts!$G$3,$V599))),OR(Contacts!$I$3="(All)",$X599=Contacts!$I$3),OR(Contacts!$K$3="",ISNUMBER(SEARCH(Contacts!$K$3,$B599&amp;" "&amp;$C599&amp;" "&amp;$D599&amp;" "&amp;$S599)))),1,0))</f>
        <v/>
      </c>
      <c r="AA599" s="47" t="str">
        <f aca="false">IF($Z599=1,COUNTIFS(c_Pass,1,c_Sort,"&lt;="&amp;$Y599),"")</f>
        <v/>
      </c>
      <c r="AB599" s="47" t="str">
        <f aca="false">IF(OR($G599&lt;&gt;"Yes",NOT(ISNUMBER($H599))),"",COUNTIFS(c_Met,"Yes",c_Date,"&lt;"&amp;$H599)+COUNTIFS($G$2:$G599,"Yes",$H$2:$H599,$H599))</f>
        <v/>
      </c>
    </row>
    <row r="600" customFormat="false" ht="15" hidden="false" customHeight="false" outlineLevel="0" collapsed="false">
      <c r="A600" s="44" t="str">
        <f aca="false">IF($B600="","",COUNTA($B$2:$B600))</f>
        <v/>
      </c>
      <c r="B600" s="11"/>
      <c r="C600" s="11"/>
      <c r="D600" s="11"/>
      <c r="E600" s="11"/>
      <c r="F600" s="11"/>
      <c r="G600" s="34"/>
      <c r="H600" s="25"/>
      <c r="I600" s="40"/>
      <c r="J600" s="34"/>
      <c r="K600" s="45"/>
      <c r="L600" s="34"/>
      <c r="M600" s="34"/>
      <c r="N600" s="11"/>
      <c r="O600" s="11"/>
      <c r="P600" s="11"/>
      <c r="Q600" s="11"/>
      <c r="R600" s="11"/>
      <c r="S600" s="46"/>
      <c r="T600" s="44" t="str">
        <f aca="false">IF($B600="","",COUNTA($N600:$R600)-COUNTIF($N600:$R600,"Not Invited"))</f>
        <v/>
      </c>
      <c r="U600" s="44" t="str">
        <f aca="false">IF($B600="","",COUNTIF($N600:$R600,"Attended"))</f>
        <v/>
      </c>
      <c r="V600" s="47" t="str">
        <f aca="false">IF($B600="","",_xlfn.TEXTJOIN(", ",TRUE(),IF($N600="Attended",Setup!$D$15,""),IF($O600="Attended",Setup!$D$16,""),IF($P600="Attended",Setup!$D$17,""),IF($Q600="Attended",Setup!$D$18,""),IF($R600="Attended",Setup!$D$19,"")))</f>
        <v/>
      </c>
      <c r="W600" s="48" t="str">
        <f aca="true">IF(OR($B600="",NOT(ISNUMBER($H600))),"",TODAY()-$H600)</f>
        <v/>
      </c>
      <c r="X600" s="47" t="str">
        <f aca="false">IF($B600="","",IF($U600&gt;0,"Event attendee",IF($G600="Yes","Met (no event)",IF($T600&gt;0,"Invited only",IF(OR($L600="Yes",$M600="Yes"),"Contacted only","Not yet contacted")))))</f>
        <v/>
      </c>
      <c r="Y600" s="47" t="str">
        <f aca="false">IF($B600="","",COUNTIF(c_Firm,"&lt;"&amp;$D600)+COUNTIFS(c_Firm,$D600,c_Name,"&lt;"&amp;$B600)+COUNTIFS($D$2:$D600,$D600,$B$2:$B600,$B600))</f>
        <v/>
      </c>
      <c r="Z600" s="47" t="str">
        <f aca="false">IF($B600="","",IF(AND(OR(Contacts!$C$3="(All)",$D600=Contacts!$C$3),OR(Contacts!$E$3="(All)",$G600=Contacts!$E$3),OR(Contacts!$G$3="(All)",ISNUMBER(SEARCH(Contacts!$G$3,$V600))),OR(Contacts!$I$3="(All)",$X600=Contacts!$I$3),OR(Contacts!$K$3="",ISNUMBER(SEARCH(Contacts!$K$3,$B600&amp;" "&amp;$C600&amp;" "&amp;$D600&amp;" "&amp;$S600)))),1,0))</f>
        <v/>
      </c>
      <c r="AA600" s="47" t="str">
        <f aca="false">IF($Z600=1,COUNTIFS(c_Pass,1,c_Sort,"&lt;="&amp;$Y600),"")</f>
        <v/>
      </c>
      <c r="AB600" s="47" t="str">
        <f aca="false">IF(OR($G600&lt;&gt;"Yes",NOT(ISNUMBER($H600))),"",COUNTIFS(c_Met,"Yes",c_Date,"&lt;"&amp;$H600)+COUNTIFS($G$2:$G600,"Yes",$H$2:$H600,$H600))</f>
        <v/>
      </c>
    </row>
  </sheetData>
  <autoFilter ref="A1:X600"/>
  <conditionalFormatting sqref="G2:G600">
    <cfRule type="cellIs" priority="2" operator="equal" aboveAverage="0" equalAverage="0" bottom="0" percent="0" rank="0" text="" dxfId="1">
      <formula>"Yes"</formula>
    </cfRule>
  </conditionalFormatting>
  <conditionalFormatting sqref="N2:R600">
    <cfRule type="cellIs" priority="3" operator="equal" aboveAverage="0" equalAverage="0" bottom="0" percent="0" rank="0" text="" dxfId="18">
      <formula>"Attended"</formula>
    </cfRule>
    <cfRule type="cellIs" priority="4" operator="equal" aboveAverage="0" equalAverage="0" bottom="0" percent="0" rank="0" text="" dxfId="19">
      <formula>"No Show"</formula>
    </cfRule>
    <cfRule type="cellIs" priority="5" operator="equal" aboveAverage="0" equalAverage="0" bottom="0" percent="0" rank="0" text="" dxfId="20">
      <formula>"Declined"</formula>
    </cfRule>
    <cfRule type="cellIs" priority="6" operator="equal" aboveAverage="0" equalAverage="0" bottom="0" percent="0" rank="0" text="" dxfId="21">
      <formula>"Not Invited"</formula>
    </cfRule>
  </conditionalFormatting>
  <conditionalFormatting sqref="W2:W600">
    <cfRule type="cellIs" priority="7" operator="greaterThan" aboveAverage="0" equalAverage="0" bottom="0" percent="0" rank="0" text="" dxfId="0">
      <formula>120</formula>
    </cfRule>
  </conditionalFormatting>
  <dataValidations count="7">
    <dataValidation allowBlank="true" errorStyle="stop" operator="between" showDropDown="false" showErrorMessage="false" showInputMessage="false" sqref="D2:D600" type="list">
      <formula1>lst_Firms</formula1>
      <formula2>0</formula2>
    </dataValidation>
    <dataValidation allowBlank="true" errorStyle="stop" operator="between" showDropDown="false" showErrorMessage="false" showInputMessage="false" sqref="E2:E600" type="list">
      <formula1>lst_Type</formula1>
      <formula2>0</formula2>
    </dataValidation>
    <dataValidation allowBlank="true" errorStyle="stop" operator="between" showDropDown="false" showErrorMessage="false" showInputMessage="false" sqref="F2:F600" type="list">
      <formula1>lst_Source</formula1>
      <formula2>0</formula2>
    </dataValidation>
    <dataValidation allowBlank="true" errorStyle="stop" operator="between" showDropDown="false" showErrorMessage="false" showInputMessage="false" sqref="G2:G600 J2:J600" type="list">
      <formula1>lst_Met</formula1>
      <formula2>0</formula2>
    </dataValidation>
    <dataValidation allowBlank="true" errorStyle="stop" operator="between" showDropDown="false" showErrorMessage="false" showInputMessage="false" sqref="L2:L600" type="list">
      <formula1>lst_YN</formula1>
      <formula2>0</formula2>
    </dataValidation>
    <dataValidation allowBlank="true" errorStyle="stop" operator="between" showDropDown="false" showErrorMessage="false" showInputMessage="false" sqref="M2:M600" type="list">
      <formula1>lst_LinkedIn</formula1>
      <formula2>0</formula2>
    </dataValidation>
    <dataValidation allowBlank="true" errorStyle="stop" operator="between" showDropDown="false" showErrorMessage="false" showInputMessage="false" sqref="N2:R600" type="list">
      <formula1>lst_Status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AJ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12" min="6" style="0" width="13"/>
    <col collapsed="false" customWidth="true" hidden="false" outlineLevel="0" max="13" min="13" style="0" width="24"/>
    <col collapsed="false" customWidth="true" hidden="false" outlineLevel="0" max="15" min="15" style="0" width="24"/>
    <col collapsed="false" customWidth="true" hidden="false" outlineLevel="0" max="17" min="17" style="0" width="24"/>
    <col collapsed="false" customWidth="true" hidden="false" outlineLevel="0" max="19" min="19" style="0" width="24"/>
    <col collapsed="false" customWidth="true" hidden="false" outlineLevel="0" max="21" min="21" style="0" width="24"/>
    <col collapsed="false" customWidth="true" hidden="false" outlineLevel="0" max="23" min="23" style="0" width="24"/>
    <col collapsed="false" customWidth="true" hidden="false" outlineLevel="0" max="25" min="25" style="0" width="24"/>
    <col collapsed="false" customWidth="true" hidden="false" outlineLevel="0" max="27" min="27" style="0" width="24"/>
    <col collapsed="false" customWidth="true" hidden="false" outlineLevel="0" max="30" min="30" style="0" width="24"/>
    <col collapsed="false" customWidth="true" hidden="false" outlineLevel="0" max="32" min="32" style="0" width="24"/>
    <col collapsed="false" customWidth="true" hidden="false" outlineLevel="0" max="34" min="34" style="0" width="24"/>
    <col collapsed="false" customWidth="true" hidden="false" outlineLevel="0" max="36" min="36" style="0" width="24"/>
  </cols>
  <sheetData>
    <row r="2" customFormat="false" ht="19.7" hidden="false" customHeight="false" outlineLevel="0" collapsed="false">
      <c r="B2" s="49" t="s">
        <v>914</v>
      </c>
    </row>
    <row r="3" customFormat="false" ht="15" hidden="false" customHeight="false" outlineLevel="0" collapsed="false">
      <c r="B3" s="50" t="s">
        <v>915</v>
      </c>
    </row>
    <row r="5" customFormat="false" ht="27.75" hidden="false" customHeight="true" outlineLevel="0" collapsed="false">
      <c r="B5" s="39" t="s">
        <v>916</v>
      </c>
      <c r="C5" s="51" t="s">
        <v>917</v>
      </c>
      <c r="D5" s="52" t="s">
        <v>918</v>
      </c>
      <c r="E5" s="52"/>
      <c r="F5" s="52"/>
      <c r="G5" s="52"/>
      <c r="H5" s="52"/>
      <c r="I5" s="52"/>
      <c r="J5" s="52"/>
      <c r="K5" s="52"/>
    </row>
    <row r="6" customFormat="false" ht="27.75" hidden="false" customHeight="true" outlineLevel="0" collapsed="false">
      <c r="B6" s="39" t="s">
        <v>919</v>
      </c>
      <c r="C6" s="51" t="s">
        <v>920</v>
      </c>
      <c r="D6" s="52" t="s">
        <v>921</v>
      </c>
      <c r="E6" s="52"/>
      <c r="F6" s="52"/>
      <c r="G6" s="52"/>
      <c r="H6" s="52"/>
      <c r="I6" s="52"/>
      <c r="J6" s="52"/>
      <c r="K6" s="52"/>
    </row>
    <row r="7" customFormat="false" ht="27.75" hidden="false" customHeight="true" outlineLevel="0" collapsed="false">
      <c r="B7" s="39" t="s">
        <v>922</v>
      </c>
      <c r="C7" s="51" t="s">
        <v>923</v>
      </c>
      <c r="D7" s="52" t="s">
        <v>924</v>
      </c>
      <c r="E7" s="52"/>
      <c r="F7" s="52"/>
      <c r="G7" s="52"/>
      <c r="H7" s="52"/>
      <c r="I7" s="52"/>
      <c r="J7" s="52"/>
      <c r="K7" s="52"/>
    </row>
    <row r="8" customFormat="false" ht="27.75" hidden="false" customHeight="true" outlineLevel="0" collapsed="false">
      <c r="B8" s="39" t="s">
        <v>925</v>
      </c>
      <c r="C8" s="51" t="s">
        <v>926</v>
      </c>
      <c r="D8" s="52" t="s">
        <v>927</v>
      </c>
      <c r="E8" s="52"/>
      <c r="F8" s="52"/>
      <c r="G8" s="52"/>
      <c r="H8" s="52"/>
      <c r="I8" s="52"/>
      <c r="J8" s="52"/>
      <c r="K8" s="52"/>
    </row>
    <row r="9" customFormat="false" ht="27.75" hidden="false" customHeight="true" outlineLevel="0" collapsed="false">
      <c r="B9" s="39" t="s">
        <v>928</v>
      </c>
      <c r="C9" s="51" t="s">
        <v>929</v>
      </c>
      <c r="D9" s="52" t="s">
        <v>930</v>
      </c>
      <c r="E9" s="52"/>
      <c r="F9" s="52"/>
      <c r="G9" s="52"/>
      <c r="H9" s="52"/>
      <c r="I9" s="52"/>
      <c r="J9" s="52"/>
      <c r="K9" s="52"/>
    </row>
    <row r="10" customFormat="false" ht="27.75" hidden="false" customHeight="true" outlineLevel="0" collapsed="false">
      <c r="B10" s="39" t="s">
        <v>931</v>
      </c>
      <c r="C10" s="51" t="s">
        <v>932</v>
      </c>
      <c r="D10" s="52" t="s">
        <v>933</v>
      </c>
      <c r="E10" s="52"/>
      <c r="F10" s="52"/>
      <c r="G10" s="52"/>
      <c r="H10" s="52"/>
      <c r="I10" s="52"/>
      <c r="J10" s="52"/>
      <c r="K10" s="52"/>
    </row>
    <row r="13" customFormat="false" ht="15" hidden="false" customHeight="false" outlineLevel="0" collapsed="false">
      <c r="B13" s="53" t="s">
        <v>934</v>
      </c>
      <c r="C13" s="54" t="s">
        <v>935</v>
      </c>
      <c r="M13" s="55" t="s">
        <v>936</v>
      </c>
      <c r="O13" s="55" t="s">
        <v>115</v>
      </c>
      <c r="Q13" s="55" t="s">
        <v>112</v>
      </c>
      <c r="S13" s="55" t="s">
        <v>109</v>
      </c>
      <c r="U13" s="55" t="s">
        <v>937</v>
      </c>
      <c r="W13" s="55" t="s">
        <v>938</v>
      </c>
      <c r="Y13" s="55" t="s">
        <v>939</v>
      </c>
      <c r="AA13" s="55" t="s">
        <v>124</v>
      </c>
      <c r="AD13" s="56" t="s">
        <v>940</v>
      </c>
      <c r="AF13" s="56" t="s">
        <v>941</v>
      </c>
      <c r="AH13" s="56" t="s">
        <v>942</v>
      </c>
      <c r="AJ13" s="56" t="s">
        <v>943</v>
      </c>
    </row>
    <row r="14" customFormat="false" ht="15" hidden="false" customHeight="false" outlineLevel="0" collapsed="false">
      <c r="B14" s="57" t="s">
        <v>944</v>
      </c>
      <c r="C14" s="57" t="s">
        <v>945</v>
      </c>
      <c r="D14" s="57" t="s">
        <v>946</v>
      </c>
      <c r="E14" s="57" t="s">
        <v>53</v>
      </c>
      <c r="M14" s="58" t="s">
        <v>26</v>
      </c>
      <c r="O14" s="58" t="s">
        <v>131</v>
      </c>
      <c r="Q14" s="58" t="s">
        <v>66</v>
      </c>
      <c r="S14" s="58" t="s">
        <v>142</v>
      </c>
      <c r="U14" s="58" t="s">
        <v>55</v>
      </c>
      <c r="W14" s="58" t="s">
        <v>142</v>
      </c>
      <c r="Y14" s="58" t="s">
        <v>142</v>
      </c>
      <c r="AA14" s="58" t="s">
        <v>65</v>
      </c>
      <c r="AD14" s="58" t="s">
        <v>103</v>
      </c>
      <c r="AF14" s="58" t="s">
        <v>103</v>
      </c>
      <c r="AH14" s="58" t="s">
        <v>103</v>
      </c>
      <c r="AJ14" s="58" t="s">
        <v>103</v>
      </c>
    </row>
    <row r="15" customFormat="false" ht="15" hidden="false" customHeight="false" outlineLevel="0" collapsed="false">
      <c r="B15" s="59" t="s">
        <v>947</v>
      </c>
      <c r="C15" s="60" t="s">
        <v>948</v>
      </c>
      <c r="D15" s="60" t="s">
        <v>949</v>
      </c>
      <c r="E15" s="61" t="n">
        <v>45931</v>
      </c>
      <c r="M15" s="58" t="s">
        <v>27</v>
      </c>
      <c r="O15" s="58" t="s">
        <v>193</v>
      </c>
      <c r="Q15" s="58" t="s">
        <v>68</v>
      </c>
      <c r="S15" s="58" t="s">
        <v>132</v>
      </c>
      <c r="U15" s="58" t="s">
        <v>134</v>
      </c>
      <c r="W15" s="58" t="s">
        <v>132</v>
      </c>
      <c r="Y15" s="58" t="s">
        <v>132</v>
      </c>
      <c r="AA15" s="58" t="s">
        <v>67</v>
      </c>
      <c r="AD15" s="58" t="s">
        <v>26</v>
      </c>
      <c r="AF15" s="58" t="s">
        <v>142</v>
      </c>
      <c r="AH15" s="58" t="str">
        <f aca="false">IF(Setup!$D$15="","",Setup!$D$15)</f>
        <v>Oct-25 Symposium</v>
      </c>
      <c r="AJ15" s="58" t="s">
        <v>65</v>
      </c>
    </row>
    <row r="16" customFormat="false" ht="15" hidden="false" customHeight="false" outlineLevel="0" collapsed="false">
      <c r="B16" s="59" t="s">
        <v>950</v>
      </c>
      <c r="C16" s="60" t="s">
        <v>951</v>
      </c>
      <c r="D16" s="60" t="s">
        <v>952</v>
      </c>
      <c r="E16" s="61" t="n">
        <v>46143</v>
      </c>
      <c r="M16" s="58" t="s">
        <v>28</v>
      </c>
      <c r="O16" s="58" t="s">
        <v>311</v>
      </c>
      <c r="Q16" s="58" t="s">
        <v>70</v>
      </c>
      <c r="S16" s="58" t="s">
        <v>299</v>
      </c>
      <c r="U16" s="58" t="s">
        <v>953</v>
      </c>
      <c r="W16" s="58" t="s">
        <v>299</v>
      </c>
      <c r="Y16" s="58" t="s">
        <v>683</v>
      </c>
      <c r="AA16" s="58" t="s">
        <v>69</v>
      </c>
      <c r="AD16" s="58" t="s">
        <v>27</v>
      </c>
      <c r="AF16" s="58" t="s">
        <v>132</v>
      </c>
      <c r="AH16" s="58" t="str">
        <f aca="false">IF(Setup!$D$16="","",Setup!$D$16)</f>
        <v>May-26 Symposium</v>
      </c>
      <c r="AJ16" s="58" t="s">
        <v>67</v>
      </c>
    </row>
    <row r="17" customFormat="false" ht="15" hidden="false" customHeight="false" outlineLevel="0" collapsed="false">
      <c r="B17" s="59" t="s">
        <v>954</v>
      </c>
      <c r="C17" s="60" t="s">
        <v>955</v>
      </c>
      <c r="D17" s="60" t="s">
        <v>956</v>
      </c>
      <c r="E17" s="61" t="n">
        <v>46226</v>
      </c>
      <c r="M17" s="58" t="s">
        <v>29</v>
      </c>
      <c r="O17" s="58" t="s">
        <v>957</v>
      </c>
      <c r="Q17" s="58" t="s">
        <v>72</v>
      </c>
      <c r="S17" s="58"/>
      <c r="U17" s="58" t="s">
        <v>54</v>
      </c>
      <c r="W17" s="58"/>
      <c r="Y17" s="58"/>
      <c r="AA17" s="58" t="s">
        <v>71</v>
      </c>
      <c r="AD17" s="58" t="s">
        <v>28</v>
      </c>
      <c r="AF17" s="58" t="s">
        <v>299</v>
      </c>
      <c r="AH17" s="58" t="str">
        <f aca="false">IF(Setup!$D$17="","",Setup!$D$17)</f>
        <v>Macro Lunch</v>
      </c>
      <c r="AJ17" s="58" t="s">
        <v>69</v>
      </c>
    </row>
    <row r="18" customFormat="false" ht="15" hidden="false" customHeight="false" outlineLevel="0" collapsed="false">
      <c r="B18" s="59" t="s">
        <v>958</v>
      </c>
      <c r="C18" s="60"/>
      <c r="D18" s="60"/>
      <c r="E18" s="60"/>
      <c r="M18" s="58" t="s">
        <v>30</v>
      </c>
      <c r="O18" s="58" t="s">
        <v>959</v>
      </c>
      <c r="Q18" s="58" t="s">
        <v>52</v>
      </c>
      <c r="S18" s="58"/>
      <c r="U18" s="58" t="s">
        <v>143</v>
      </c>
      <c r="W18" s="58"/>
      <c r="Y18" s="58"/>
      <c r="AA18" s="58" t="s">
        <v>73</v>
      </c>
      <c r="AD18" s="58" t="s">
        <v>29</v>
      </c>
      <c r="AF18" s="58"/>
      <c r="AH18" s="58" t="str">
        <f aca="false">IF(Setup!$D$18="","",Setup!$D$18)</f>
        <v/>
      </c>
      <c r="AJ18" s="58" t="s">
        <v>71</v>
      </c>
    </row>
    <row r="19" customFormat="false" ht="15" hidden="false" customHeight="false" outlineLevel="0" collapsed="false">
      <c r="B19" s="59" t="s">
        <v>960</v>
      </c>
      <c r="C19" s="60"/>
      <c r="D19" s="60"/>
      <c r="E19" s="60"/>
      <c r="M19" s="58" t="s">
        <v>31</v>
      </c>
      <c r="O19" s="58"/>
      <c r="Q19" s="58" t="s">
        <v>961</v>
      </c>
      <c r="S19" s="58"/>
      <c r="U19" s="58" t="s">
        <v>57</v>
      </c>
      <c r="W19" s="58"/>
      <c r="Y19" s="58"/>
      <c r="AA19" s="58"/>
      <c r="AD19" s="58" t="s">
        <v>30</v>
      </c>
      <c r="AF19" s="58"/>
      <c r="AH19" s="58" t="str">
        <f aca="false">IF(Setup!$D$19="","",Setup!$D$19)</f>
        <v/>
      </c>
      <c r="AJ19" s="58" t="s">
        <v>73</v>
      </c>
    </row>
    <row r="20" customFormat="false" ht="15" hidden="false" customHeight="false" outlineLevel="0" collapsed="false">
      <c r="M20" s="58" t="s">
        <v>32</v>
      </c>
      <c r="O20" s="58"/>
      <c r="Q20" s="58" t="s">
        <v>939</v>
      </c>
      <c r="S20" s="58"/>
      <c r="U20" s="58" t="s">
        <v>133</v>
      </c>
      <c r="W20" s="58"/>
      <c r="Y20" s="58"/>
      <c r="AA20" s="58"/>
      <c r="AD20" s="58" t="s">
        <v>31</v>
      </c>
      <c r="AF20" s="58"/>
      <c r="AH20" s="58"/>
      <c r="AJ20" s="58"/>
    </row>
    <row r="21" customFormat="false" ht="15" hidden="false" customHeight="false" outlineLevel="0" collapsed="false">
      <c r="B21" s="53" t="s">
        <v>962</v>
      </c>
      <c r="M21" s="58" t="s">
        <v>33</v>
      </c>
      <c r="O21" s="58"/>
      <c r="Q21" s="58" t="s">
        <v>959</v>
      </c>
      <c r="S21" s="58"/>
      <c r="U21" s="58"/>
      <c r="W21" s="58"/>
      <c r="Y21" s="58"/>
      <c r="AA21" s="58"/>
      <c r="AD21" s="58" t="s">
        <v>32</v>
      </c>
      <c r="AF21" s="58"/>
      <c r="AH21" s="58"/>
      <c r="AJ21" s="58"/>
    </row>
    <row r="22" customFormat="false" ht="15" hidden="false" customHeight="false" outlineLevel="0" collapsed="false">
      <c r="B22" s="62" t="s">
        <v>963</v>
      </c>
      <c r="C22" s="63" t="s">
        <v>964</v>
      </c>
      <c r="D22" s="63"/>
      <c r="E22" s="63"/>
      <c r="F22" s="63"/>
      <c r="G22" s="63"/>
      <c r="H22" s="63"/>
      <c r="I22" s="63"/>
      <c r="J22" s="63"/>
      <c r="K22" s="63"/>
      <c r="M22" s="58" t="s">
        <v>34</v>
      </c>
      <c r="O22" s="58"/>
      <c r="Q22" s="58"/>
      <c r="U22" s="58"/>
      <c r="AD22" s="58" t="s">
        <v>33</v>
      </c>
    </row>
    <row r="23" customFormat="false" ht="15" hidden="false" customHeight="false" outlineLevel="0" collapsed="false">
      <c r="B23" s="64" t="s">
        <v>965</v>
      </c>
      <c r="C23" s="63" t="s">
        <v>966</v>
      </c>
      <c r="D23" s="63"/>
      <c r="E23" s="63"/>
      <c r="F23" s="63"/>
      <c r="G23" s="63"/>
      <c r="H23" s="63"/>
      <c r="I23" s="63"/>
      <c r="J23" s="63"/>
      <c r="K23" s="63"/>
      <c r="M23" s="58" t="s">
        <v>35</v>
      </c>
      <c r="O23" s="58"/>
      <c r="Q23" s="58"/>
      <c r="U23" s="58"/>
      <c r="AD23" s="58" t="s">
        <v>34</v>
      </c>
    </row>
    <row r="24" customFormat="false" ht="15" hidden="false" customHeight="false" outlineLevel="0" collapsed="false">
      <c r="B24" s="65" t="s">
        <v>967</v>
      </c>
      <c r="C24" s="63" t="s">
        <v>968</v>
      </c>
      <c r="D24" s="63"/>
      <c r="E24" s="63"/>
      <c r="F24" s="63"/>
      <c r="G24" s="63"/>
      <c r="H24" s="63"/>
      <c r="I24" s="63"/>
      <c r="J24" s="63"/>
      <c r="K24" s="63"/>
      <c r="M24" s="58" t="s">
        <v>36</v>
      </c>
      <c r="Q24" s="58"/>
      <c r="U24" s="58"/>
      <c r="AD24" s="58" t="s">
        <v>35</v>
      </c>
    </row>
    <row r="25" customFormat="false" ht="15" hidden="false" customHeight="false" outlineLevel="0" collapsed="false">
      <c r="B25" s="66" t="s">
        <v>969</v>
      </c>
      <c r="C25" s="63" t="s">
        <v>970</v>
      </c>
      <c r="D25" s="63"/>
      <c r="E25" s="63"/>
      <c r="F25" s="63"/>
      <c r="G25" s="63"/>
      <c r="H25" s="63"/>
      <c r="I25" s="63"/>
      <c r="J25" s="63"/>
      <c r="K25" s="63"/>
      <c r="M25" s="58" t="s">
        <v>37</v>
      </c>
      <c r="Q25" s="58"/>
      <c r="U25" s="58"/>
      <c r="AD25" s="58" t="s">
        <v>36</v>
      </c>
    </row>
    <row r="26" customFormat="false" ht="15" hidden="false" customHeight="false" outlineLevel="0" collapsed="false">
      <c r="B26" s="67" t="s">
        <v>971</v>
      </c>
      <c r="C26" s="63" t="s">
        <v>972</v>
      </c>
      <c r="D26" s="63"/>
      <c r="E26" s="63"/>
      <c r="F26" s="63"/>
      <c r="G26" s="63"/>
      <c r="H26" s="63"/>
      <c r="I26" s="63"/>
      <c r="J26" s="63"/>
      <c r="K26" s="63"/>
      <c r="M26" s="58" t="s">
        <v>38</v>
      </c>
      <c r="Q26" s="58"/>
      <c r="AD26" s="58" t="s">
        <v>37</v>
      </c>
    </row>
    <row r="27" customFormat="false" ht="15" hidden="false" customHeight="false" outlineLevel="0" collapsed="false">
      <c r="M27" s="58" t="s">
        <v>39</v>
      </c>
      <c r="Q27" s="58"/>
      <c r="AD27" s="58" t="s">
        <v>38</v>
      </c>
    </row>
    <row r="28" customFormat="false" ht="15" hidden="false" customHeight="false" outlineLevel="0" collapsed="false">
      <c r="M28" s="58" t="s">
        <v>40</v>
      </c>
      <c r="AD28" s="58" t="s">
        <v>39</v>
      </c>
    </row>
    <row r="29" customFormat="false" ht="15" hidden="false" customHeight="false" outlineLevel="0" collapsed="false">
      <c r="B29" s="53" t="s">
        <v>973</v>
      </c>
      <c r="M29" s="58" t="s">
        <v>41</v>
      </c>
      <c r="AD29" s="58" t="s">
        <v>40</v>
      </c>
    </row>
    <row r="30" customFormat="false" ht="24" hidden="false" customHeight="true" outlineLevel="0" collapsed="false">
      <c r="B30" s="68" t="s">
        <v>974</v>
      </c>
      <c r="C30" s="68"/>
      <c r="D30" s="68"/>
      <c r="E30" s="68"/>
      <c r="F30" s="68"/>
      <c r="G30" s="68"/>
      <c r="H30" s="68"/>
      <c r="I30" s="68"/>
      <c r="J30" s="68"/>
      <c r="K30" s="68"/>
      <c r="M30" s="58" t="s">
        <v>42</v>
      </c>
      <c r="AD30" s="58" t="s">
        <v>41</v>
      </c>
    </row>
    <row r="31" customFormat="false" ht="24" hidden="false" customHeight="true" outlineLevel="0" collapsed="false">
      <c r="B31" s="68" t="s">
        <v>975</v>
      </c>
      <c r="C31" s="68"/>
      <c r="D31" s="68"/>
      <c r="E31" s="68"/>
      <c r="F31" s="68"/>
      <c r="G31" s="68"/>
      <c r="H31" s="68"/>
      <c r="I31" s="68"/>
      <c r="J31" s="68"/>
      <c r="K31" s="68"/>
      <c r="M31" s="58" t="s">
        <v>43</v>
      </c>
      <c r="AD31" s="58" t="s">
        <v>42</v>
      </c>
    </row>
    <row r="32" customFormat="false" ht="24" hidden="false" customHeight="true" outlineLevel="0" collapsed="false">
      <c r="B32" s="68" t="s">
        <v>976</v>
      </c>
      <c r="C32" s="68"/>
      <c r="D32" s="68"/>
      <c r="E32" s="68"/>
      <c r="F32" s="68"/>
      <c r="G32" s="68"/>
      <c r="H32" s="68"/>
      <c r="I32" s="68"/>
      <c r="J32" s="68"/>
      <c r="K32" s="68"/>
      <c r="M32" s="58" t="s">
        <v>44</v>
      </c>
      <c r="AD32" s="58" t="s">
        <v>43</v>
      </c>
    </row>
    <row r="33" customFormat="false" ht="24" hidden="false" customHeight="true" outlineLevel="0" collapsed="false">
      <c r="B33" s="68" t="s">
        <v>977</v>
      </c>
      <c r="C33" s="68"/>
      <c r="D33" s="68"/>
      <c r="E33" s="68"/>
      <c r="F33" s="68"/>
      <c r="G33" s="68"/>
      <c r="H33" s="68"/>
      <c r="I33" s="68"/>
      <c r="J33" s="68"/>
      <c r="K33" s="68"/>
      <c r="M33" s="58" t="s">
        <v>45</v>
      </c>
      <c r="AD33" s="58" t="s">
        <v>44</v>
      </c>
    </row>
    <row r="34" customFormat="false" ht="24" hidden="false" customHeight="true" outlineLevel="0" collapsed="false">
      <c r="B34" s="68" t="s">
        <v>978</v>
      </c>
      <c r="C34" s="68"/>
      <c r="D34" s="68"/>
      <c r="E34" s="68"/>
      <c r="F34" s="68"/>
      <c r="G34" s="68"/>
      <c r="H34" s="68"/>
      <c r="I34" s="68"/>
      <c r="J34" s="68"/>
      <c r="K34" s="68"/>
      <c r="M34" s="58" t="s">
        <v>46</v>
      </c>
      <c r="AD34" s="58" t="s">
        <v>45</v>
      </c>
    </row>
    <row r="35" customFormat="false" ht="24" hidden="false" customHeight="true" outlineLevel="0" collapsed="false">
      <c r="B35" s="68" t="s">
        <v>979</v>
      </c>
      <c r="C35" s="68"/>
      <c r="D35" s="68"/>
      <c r="E35" s="68"/>
      <c r="F35" s="68"/>
      <c r="G35" s="68"/>
      <c r="H35" s="68"/>
      <c r="I35" s="68"/>
      <c r="J35" s="68"/>
      <c r="K35" s="68"/>
      <c r="M35" s="58" t="s">
        <v>47</v>
      </c>
      <c r="AD35" s="58" t="s">
        <v>46</v>
      </c>
    </row>
    <row r="36" customFormat="false" ht="24" hidden="false" customHeight="true" outlineLevel="0" collapsed="false">
      <c r="B36" s="68" t="s">
        <v>980</v>
      </c>
      <c r="C36" s="68"/>
      <c r="D36" s="68"/>
      <c r="E36" s="68"/>
      <c r="F36" s="68"/>
      <c r="G36" s="68"/>
      <c r="H36" s="68"/>
      <c r="I36" s="68"/>
      <c r="J36" s="68"/>
      <c r="K36" s="68"/>
      <c r="M36" s="58"/>
      <c r="AD36" s="58" t="s">
        <v>47</v>
      </c>
    </row>
    <row r="37" customFormat="false" ht="24" hidden="false" customHeight="true" outlineLevel="0" collapsed="false">
      <c r="B37" s="68" t="s">
        <v>981</v>
      </c>
      <c r="C37" s="68"/>
      <c r="D37" s="68"/>
      <c r="E37" s="68"/>
      <c r="F37" s="68"/>
      <c r="G37" s="68"/>
      <c r="H37" s="68"/>
      <c r="I37" s="68"/>
      <c r="J37" s="68"/>
      <c r="K37" s="68"/>
      <c r="M37" s="58"/>
      <c r="AD37" s="58"/>
    </row>
    <row r="38" customFormat="false" ht="15" hidden="false" customHeight="false" outlineLevel="0" collapsed="false">
      <c r="M38" s="58"/>
      <c r="AD38" s="58"/>
    </row>
    <row r="39" customFormat="false" ht="15" hidden="false" customHeight="false" outlineLevel="0" collapsed="false">
      <c r="M39" s="58"/>
      <c r="AD39" s="58"/>
    </row>
    <row r="40" customFormat="false" ht="15" hidden="false" customHeight="false" outlineLevel="0" collapsed="false">
      <c r="M40" s="58"/>
      <c r="AD40" s="58"/>
    </row>
    <row r="41" customFormat="false" ht="15" hidden="false" customHeight="false" outlineLevel="0" collapsed="false">
      <c r="M41" s="58"/>
      <c r="AD41" s="58"/>
    </row>
    <row r="42" customFormat="false" ht="15" hidden="false" customHeight="false" outlineLevel="0" collapsed="false">
      <c r="M42" s="58"/>
      <c r="AD42" s="58"/>
    </row>
    <row r="43" customFormat="false" ht="15" hidden="false" customHeight="false" outlineLevel="0" collapsed="false">
      <c r="M43" s="58"/>
      <c r="AD43" s="58"/>
    </row>
    <row r="44" customFormat="false" ht="15" hidden="false" customHeight="false" outlineLevel="0" collapsed="false">
      <c r="M44" s="58"/>
      <c r="AD44" s="58"/>
    </row>
    <row r="45" customFormat="false" ht="15" hidden="false" customHeight="false" outlineLevel="0" collapsed="false">
      <c r="M45" s="58"/>
      <c r="AD45" s="58"/>
    </row>
    <row r="46" customFormat="false" ht="15" hidden="false" customHeight="false" outlineLevel="0" collapsed="false">
      <c r="M46" s="58"/>
      <c r="AD46" s="58"/>
    </row>
    <row r="47" customFormat="false" ht="15" hidden="false" customHeight="false" outlineLevel="0" collapsed="false">
      <c r="M47" s="58"/>
      <c r="AD47" s="58"/>
    </row>
    <row r="48" customFormat="false" ht="15" hidden="false" customHeight="false" outlineLevel="0" collapsed="false">
      <c r="M48" s="58"/>
      <c r="AD48" s="58"/>
    </row>
    <row r="49" customFormat="false" ht="15" hidden="false" customHeight="false" outlineLevel="0" collapsed="false">
      <c r="M49" s="58"/>
      <c r="AD49" s="58"/>
    </row>
    <row r="50" customFormat="false" ht="15" hidden="false" customHeight="false" outlineLevel="0" collapsed="false">
      <c r="M50" s="58"/>
      <c r="AD50" s="58"/>
    </row>
    <row r="51" customFormat="false" ht="15" hidden="false" customHeight="false" outlineLevel="0" collapsed="false">
      <c r="M51" s="58"/>
      <c r="AD51" s="58"/>
    </row>
    <row r="52" customFormat="false" ht="15" hidden="false" customHeight="false" outlineLevel="0" collapsed="false">
      <c r="M52" s="58"/>
      <c r="AD52" s="58"/>
    </row>
    <row r="53" customFormat="false" ht="15" hidden="false" customHeight="false" outlineLevel="0" collapsed="false">
      <c r="M53" s="58"/>
      <c r="AD53" s="58"/>
    </row>
    <row r="54" customFormat="false" ht="15" hidden="false" customHeight="false" outlineLevel="0" collapsed="false">
      <c r="M54" s="58"/>
      <c r="AD54" s="58"/>
    </row>
    <row r="55" customFormat="false" ht="15" hidden="false" customHeight="false" outlineLevel="0" collapsed="false">
      <c r="M55" s="58"/>
      <c r="AD55" s="58"/>
    </row>
    <row r="56" customFormat="false" ht="15" hidden="false" customHeight="false" outlineLevel="0" collapsed="false">
      <c r="M56" s="58"/>
      <c r="AD56" s="58"/>
    </row>
    <row r="57" customFormat="false" ht="15" hidden="false" customHeight="false" outlineLevel="0" collapsed="false">
      <c r="M57" s="58"/>
      <c r="AD57" s="58"/>
    </row>
    <row r="58" customFormat="false" ht="15" hidden="false" customHeight="false" outlineLevel="0" collapsed="false">
      <c r="M58" s="58"/>
      <c r="AD58" s="58"/>
    </row>
    <row r="59" customFormat="false" ht="15" hidden="false" customHeight="false" outlineLevel="0" collapsed="false">
      <c r="M59" s="58"/>
      <c r="AD59" s="58"/>
    </row>
    <row r="60" customFormat="false" ht="15" hidden="false" customHeight="false" outlineLevel="0" collapsed="false">
      <c r="M60" s="58"/>
      <c r="AD60" s="58"/>
    </row>
    <row r="61" customFormat="false" ht="15" hidden="false" customHeight="false" outlineLevel="0" collapsed="false">
      <c r="M61" s="58"/>
      <c r="AD61" s="58"/>
    </row>
    <row r="62" customFormat="false" ht="15" hidden="false" customHeight="false" outlineLevel="0" collapsed="false">
      <c r="M62" s="58"/>
      <c r="AD62" s="58"/>
    </row>
    <row r="63" customFormat="false" ht="15" hidden="false" customHeight="false" outlineLevel="0" collapsed="false">
      <c r="M63" s="58"/>
      <c r="AD63" s="58"/>
    </row>
    <row r="64" customFormat="false" ht="15" hidden="false" customHeight="false" outlineLevel="0" collapsed="false">
      <c r="M64" s="58"/>
      <c r="AD64" s="58"/>
    </row>
    <row r="65" customFormat="false" ht="15" hidden="false" customHeight="false" outlineLevel="0" collapsed="false">
      <c r="M65" s="58"/>
      <c r="AD65" s="58"/>
    </row>
    <row r="66" customFormat="false" ht="15" hidden="false" customHeight="false" outlineLevel="0" collapsed="false">
      <c r="M66" s="58"/>
      <c r="AD66" s="58"/>
    </row>
    <row r="67" customFormat="false" ht="15" hidden="false" customHeight="false" outlineLevel="0" collapsed="false">
      <c r="M67" s="58"/>
      <c r="AD67" s="58"/>
    </row>
    <row r="68" customFormat="false" ht="15" hidden="false" customHeight="false" outlineLevel="0" collapsed="false">
      <c r="M68" s="58"/>
      <c r="AD68" s="58"/>
    </row>
    <row r="69" customFormat="false" ht="15" hidden="false" customHeight="false" outlineLevel="0" collapsed="false">
      <c r="M69" s="58"/>
      <c r="AD69" s="58"/>
    </row>
    <row r="70" customFormat="false" ht="15" hidden="false" customHeight="false" outlineLevel="0" collapsed="false">
      <c r="M70" s="58"/>
      <c r="AD70" s="58"/>
    </row>
    <row r="71" customFormat="false" ht="15" hidden="false" customHeight="false" outlineLevel="0" collapsed="false">
      <c r="M71" s="58"/>
      <c r="AD71" s="58"/>
    </row>
    <row r="72" customFormat="false" ht="15" hidden="false" customHeight="false" outlineLevel="0" collapsed="false">
      <c r="M72" s="58"/>
      <c r="AD72" s="58"/>
    </row>
    <row r="73" customFormat="false" ht="15" hidden="false" customHeight="false" outlineLevel="0" collapsed="false">
      <c r="M73" s="58"/>
      <c r="AD73" s="58"/>
    </row>
    <row r="74" customFormat="false" ht="15" hidden="false" customHeight="false" outlineLevel="0" collapsed="false">
      <c r="AD74" s="58"/>
    </row>
    <row r="75" customFormat="false" ht="15" hidden="false" customHeight="false" outlineLevel="0" collapsed="false">
      <c r="AD75" s="58"/>
    </row>
  </sheetData>
  <mergeCells count="19">
    <mergeCell ref="D5:K5"/>
    <mergeCell ref="D6:K6"/>
    <mergeCell ref="D7:K7"/>
    <mergeCell ref="D8:K8"/>
    <mergeCell ref="D9:K9"/>
    <mergeCell ref="D10:K10"/>
    <mergeCell ref="C22:K22"/>
    <mergeCell ref="C23:K23"/>
    <mergeCell ref="C24:K24"/>
    <mergeCell ref="C25:K25"/>
    <mergeCell ref="C26:K26"/>
    <mergeCell ref="B30:K30"/>
    <mergeCell ref="B31:K31"/>
    <mergeCell ref="B32:K32"/>
    <mergeCell ref="B33:K33"/>
    <mergeCell ref="B34:K34"/>
    <mergeCell ref="B35:K35"/>
    <mergeCell ref="B36:K36"/>
    <mergeCell ref="B37:K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O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3" min="1" style="0" width="20"/>
  </cols>
  <sheetData>
    <row r="1" customFormat="false" ht="15" hidden="false" customHeight="false" outlineLevel="0" collapsed="false">
      <c r="J1" s="69" t="n">
        <v>121</v>
      </c>
      <c r="K1" s="69" t="n">
        <v>65</v>
      </c>
      <c r="L1" s="69" t="n">
        <v>68</v>
      </c>
      <c r="M1" s="69" t="n">
        <v>39</v>
      </c>
      <c r="O1" s="70" t="s">
        <v>982</v>
      </c>
    </row>
    <row r="2" customFormat="false" ht="15" hidden="false" customHeight="false" outlineLevel="0" collapsed="false">
      <c r="A2" s="71" t="s">
        <v>983</v>
      </c>
      <c r="B2" s="71" t="s">
        <v>99</v>
      </c>
      <c r="C2" s="71" t="s">
        <v>16</v>
      </c>
      <c r="D2" s="71" t="s">
        <v>984</v>
      </c>
      <c r="E2" s="71" t="s">
        <v>985</v>
      </c>
      <c r="F2" s="71" t="s">
        <v>986</v>
      </c>
      <c r="G2" s="71" t="s">
        <v>91</v>
      </c>
      <c r="H2" s="71" t="s">
        <v>987</v>
      </c>
      <c r="I2" s="71" t="s">
        <v>985</v>
      </c>
      <c r="J2" s="71" t="s">
        <v>988</v>
      </c>
      <c r="K2" s="71" t="s">
        <v>953</v>
      </c>
      <c r="L2" s="71" t="s">
        <v>989</v>
      </c>
      <c r="M2" s="71" t="s">
        <v>990</v>
      </c>
    </row>
    <row r="3" customFormat="false" ht="15" hidden="false" customHeight="false" outlineLevel="0" collapsed="false">
      <c r="A3" s="71" t="s">
        <v>386</v>
      </c>
      <c r="B3" s="71" t="s">
        <v>387</v>
      </c>
      <c r="C3" s="71" t="s">
        <v>34</v>
      </c>
      <c r="D3" s="71" t="s">
        <v>142</v>
      </c>
      <c r="E3" s="71" t="s">
        <v>948</v>
      </c>
      <c r="F3" s="71" t="s">
        <v>132</v>
      </c>
      <c r="G3" s="71" t="s">
        <v>991</v>
      </c>
      <c r="H3" s="71" t="s">
        <v>132</v>
      </c>
      <c r="I3" s="71" t="s">
        <v>951</v>
      </c>
      <c r="J3" s="71" t="n">
        <v>1</v>
      </c>
    </row>
    <row r="4" customFormat="false" ht="15" hidden="false" customHeight="false" outlineLevel="0" collapsed="false">
      <c r="A4" s="71" t="s">
        <v>790</v>
      </c>
      <c r="B4" s="71" t="s">
        <v>791</v>
      </c>
      <c r="C4" s="71" t="s">
        <v>26</v>
      </c>
      <c r="D4" s="71" t="s">
        <v>142</v>
      </c>
      <c r="E4" s="71" t="s">
        <v>948</v>
      </c>
      <c r="F4" s="71" t="s">
        <v>142</v>
      </c>
      <c r="G4" s="72" t="n">
        <v>45924</v>
      </c>
      <c r="H4" s="71" t="s">
        <v>132</v>
      </c>
      <c r="I4" s="71" t="s">
        <v>951</v>
      </c>
      <c r="J4" s="71" t="n">
        <v>1</v>
      </c>
      <c r="K4" s="71" t="n">
        <v>1</v>
      </c>
      <c r="L4" s="71" t="n">
        <v>1</v>
      </c>
    </row>
    <row r="5" customFormat="false" ht="15" hidden="false" customHeight="false" outlineLevel="0" collapsed="false">
      <c r="A5" s="71" t="s">
        <v>992</v>
      </c>
      <c r="B5" s="71" t="s">
        <v>385</v>
      </c>
      <c r="C5" s="71" t="s">
        <v>34</v>
      </c>
      <c r="D5" s="71" t="s">
        <v>993</v>
      </c>
      <c r="F5" s="71" t="s">
        <v>132</v>
      </c>
      <c r="G5" s="71" t="s">
        <v>991</v>
      </c>
      <c r="H5" s="71" t="s">
        <v>132</v>
      </c>
      <c r="I5" s="71" t="s">
        <v>951</v>
      </c>
      <c r="J5" s="71" t="n">
        <v>1</v>
      </c>
      <c r="K5" s="71" t="s">
        <v>993</v>
      </c>
    </row>
    <row r="6" customFormat="false" ht="15" hidden="false" customHeight="false" outlineLevel="0" collapsed="false">
      <c r="A6" s="71" t="s">
        <v>911</v>
      </c>
      <c r="B6" s="71" t="s">
        <v>994</v>
      </c>
      <c r="C6" s="71" t="s">
        <v>29</v>
      </c>
      <c r="D6" s="71" t="s">
        <v>993</v>
      </c>
      <c r="F6" s="71" t="s">
        <v>132</v>
      </c>
      <c r="G6" s="71" t="s">
        <v>991</v>
      </c>
      <c r="H6" s="71" t="s">
        <v>132</v>
      </c>
      <c r="I6" s="71" t="s">
        <v>951</v>
      </c>
      <c r="J6" s="71" t="n">
        <v>1</v>
      </c>
      <c r="K6" s="71" t="s">
        <v>993</v>
      </c>
      <c r="M6" s="71" t="n">
        <v>1</v>
      </c>
    </row>
    <row r="7" customFormat="false" ht="15" hidden="false" customHeight="false" outlineLevel="0" collapsed="false">
      <c r="A7" s="71" t="s">
        <v>287</v>
      </c>
      <c r="B7" s="71" t="s">
        <v>288</v>
      </c>
      <c r="C7" s="71" t="s">
        <v>995</v>
      </c>
      <c r="F7" s="71" t="s">
        <v>132</v>
      </c>
      <c r="G7" s="71" t="s">
        <v>991</v>
      </c>
      <c r="H7" s="71" t="s">
        <v>132</v>
      </c>
      <c r="I7" s="71" t="s">
        <v>951</v>
      </c>
      <c r="J7" s="71" t="n">
        <v>1</v>
      </c>
      <c r="K7" s="71" t="n">
        <v>1</v>
      </c>
      <c r="L7" s="71" t="n">
        <v>1</v>
      </c>
      <c r="M7" s="71" t="n">
        <v>1</v>
      </c>
    </row>
    <row r="8" customFormat="false" ht="15" hidden="false" customHeight="false" outlineLevel="0" collapsed="false">
      <c r="A8" s="71" t="s">
        <v>996</v>
      </c>
      <c r="B8" s="71" t="s">
        <v>191</v>
      </c>
      <c r="C8" s="71" t="s">
        <v>31</v>
      </c>
      <c r="I8" s="71" t="s">
        <v>951</v>
      </c>
      <c r="J8" s="71" t="n">
        <v>1</v>
      </c>
      <c r="K8" s="71" t="s">
        <v>57</v>
      </c>
      <c r="L8" s="71" t="n">
        <v>0</v>
      </c>
      <c r="M8" s="71" t="n">
        <v>0</v>
      </c>
    </row>
    <row r="9" customFormat="false" ht="15" hidden="false" customHeight="false" outlineLevel="0" collapsed="false">
      <c r="A9" s="71" t="s">
        <v>908</v>
      </c>
      <c r="B9" s="71" t="s">
        <v>997</v>
      </c>
      <c r="C9" s="71" t="s">
        <v>29</v>
      </c>
      <c r="I9" s="71" t="s">
        <v>951</v>
      </c>
      <c r="J9" s="71" t="n">
        <v>1</v>
      </c>
      <c r="M9" s="71" t="n">
        <v>1</v>
      </c>
    </row>
    <row r="10" customFormat="false" ht="15" hidden="false" customHeight="false" outlineLevel="0" collapsed="false">
      <c r="A10" s="71" t="s">
        <v>906</v>
      </c>
      <c r="B10" s="71" t="s">
        <v>907</v>
      </c>
      <c r="C10" s="71" t="s">
        <v>29</v>
      </c>
      <c r="D10" s="71" t="s">
        <v>142</v>
      </c>
      <c r="E10" s="71" t="s">
        <v>948</v>
      </c>
      <c r="F10" s="71" t="s">
        <v>132</v>
      </c>
      <c r="G10" s="71" t="s">
        <v>991</v>
      </c>
      <c r="H10" s="71" t="s">
        <v>132</v>
      </c>
      <c r="I10" s="71" t="s">
        <v>951</v>
      </c>
      <c r="J10" s="71" t="n">
        <v>1</v>
      </c>
    </row>
    <row r="11" customFormat="false" ht="15" hidden="false" customHeight="false" outlineLevel="0" collapsed="false">
      <c r="A11" s="71" t="s">
        <v>338</v>
      </c>
      <c r="B11" s="71" t="s">
        <v>339</v>
      </c>
      <c r="C11" s="71" t="s">
        <v>998</v>
      </c>
      <c r="I11" s="71" t="s">
        <v>951</v>
      </c>
      <c r="J11" s="71" t="n">
        <v>1</v>
      </c>
      <c r="K11" s="71" t="n">
        <v>1</v>
      </c>
      <c r="L11" s="71" t="n">
        <v>1</v>
      </c>
    </row>
    <row r="12" customFormat="false" ht="15" hidden="false" customHeight="false" outlineLevel="0" collapsed="false">
      <c r="A12" s="71" t="s">
        <v>805</v>
      </c>
      <c r="B12" s="71" t="s">
        <v>806</v>
      </c>
      <c r="C12" s="71" t="s">
        <v>47</v>
      </c>
      <c r="I12" s="71" t="s">
        <v>951</v>
      </c>
      <c r="J12" s="71" t="n">
        <v>1</v>
      </c>
      <c r="K12" s="71" t="n">
        <v>1</v>
      </c>
      <c r="L12" s="71" t="n">
        <v>1</v>
      </c>
      <c r="M12" s="71" t="n">
        <v>1</v>
      </c>
    </row>
    <row r="13" customFormat="false" ht="15" hidden="false" customHeight="false" outlineLevel="0" collapsed="false">
      <c r="A13" s="71" t="s">
        <v>388</v>
      </c>
      <c r="B13" s="71" t="s">
        <v>389</v>
      </c>
      <c r="C13" s="71" t="s">
        <v>43</v>
      </c>
      <c r="D13" s="71" t="s">
        <v>132</v>
      </c>
      <c r="F13" s="71" t="s">
        <v>142</v>
      </c>
      <c r="G13" s="72" t="n">
        <v>46084</v>
      </c>
      <c r="H13" s="71" t="s">
        <v>132</v>
      </c>
      <c r="I13" s="71" t="s">
        <v>951</v>
      </c>
      <c r="J13" s="71" t="n">
        <v>1</v>
      </c>
      <c r="K13" s="71" t="n">
        <v>1</v>
      </c>
      <c r="L13" s="71" t="n">
        <v>1</v>
      </c>
      <c r="M13" s="71" t="n">
        <v>1</v>
      </c>
    </row>
    <row r="14" customFormat="false" ht="15" hidden="false" customHeight="false" outlineLevel="0" collapsed="false">
      <c r="A14" s="71" t="s">
        <v>188</v>
      </c>
      <c r="B14" s="71" t="s">
        <v>189</v>
      </c>
      <c r="C14" s="71" t="s">
        <v>31</v>
      </c>
      <c r="I14" s="71" t="s">
        <v>951</v>
      </c>
      <c r="J14" s="71" t="n">
        <v>1</v>
      </c>
      <c r="K14" s="71" t="n">
        <v>1</v>
      </c>
      <c r="L14" s="71" t="n">
        <v>1</v>
      </c>
    </row>
    <row r="15" customFormat="false" ht="15" hidden="false" customHeight="false" outlineLevel="0" collapsed="false">
      <c r="A15" s="71" t="s">
        <v>186</v>
      </c>
      <c r="B15" s="71" t="s">
        <v>999</v>
      </c>
      <c r="C15" s="71" t="s">
        <v>31</v>
      </c>
      <c r="I15" s="71" t="s">
        <v>951</v>
      </c>
      <c r="J15" s="71" t="n">
        <v>1</v>
      </c>
      <c r="K15" s="71" t="n">
        <v>1</v>
      </c>
      <c r="L15" s="71" t="n">
        <v>1</v>
      </c>
      <c r="M15" s="71" t="n">
        <v>1</v>
      </c>
    </row>
    <row r="16" customFormat="false" ht="15" hidden="false" customHeight="false" outlineLevel="0" collapsed="false">
      <c r="A16" s="71" t="s">
        <v>382</v>
      </c>
      <c r="B16" s="71" t="s">
        <v>383</v>
      </c>
      <c r="C16" s="71" t="s">
        <v>34</v>
      </c>
      <c r="I16" s="71" t="s">
        <v>951</v>
      </c>
      <c r="J16" s="71" t="n">
        <v>1</v>
      </c>
      <c r="K16" s="71" t="n">
        <v>1</v>
      </c>
      <c r="L16" s="71" t="n">
        <v>1</v>
      </c>
    </row>
    <row r="17" customFormat="false" ht="15" hidden="false" customHeight="false" outlineLevel="0" collapsed="false">
      <c r="A17" s="71" t="s">
        <v>336</v>
      </c>
      <c r="B17" s="71" t="s">
        <v>337</v>
      </c>
      <c r="C17" s="71" t="s">
        <v>1000</v>
      </c>
      <c r="D17" s="71" t="s">
        <v>142</v>
      </c>
      <c r="E17" s="71" t="s">
        <v>948</v>
      </c>
      <c r="F17" s="71" t="s">
        <v>132</v>
      </c>
      <c r="G17" s="71" t="s">
        <v>991</v>
      </c>
      <c r="H17" s="71" t="s">
        <v>132</v>
      </c>
      <c r="I17" s="71" t="s">
        <v>951</v>
      </c>
      <c r="J17" s="71" t="n">
        <v>1</v>
      </c>
      <c r="K17" s="71" t="n">
        <v>1</v>
      </c>
      <c r="L17" s="71" t="n">
        <v>1</v>
      </c>
    </row>
    <row r="18" customFormat="false" ht="15" hidden="false" customHeight="false" outlineLevel="0" collapsed="false">
      <c r="A18" s="71" t="s">
        <v>554</v>
      </c>
      <c r="B18" s="71" t="s">
        <v>1001</v>
      </c>
      <c r="C18" s="71" t="s">
        <v>1002</v>
      </c>
      <c r="D18" s="71" t="s">
        <v>132</v>
      </c>
      <c r="F18" s="71" t="s">
        <v>132</v>
      </c>
      <c r="G18" s="71" t="s">
        <v>1001</v>
      </c>
      <c r="H18" s="71" t="s">
        <v>132</v>
      </c>
      <c r="I18" s="71" t="s">
        <v>951</v>
      </c>
      <c r="J18" s="71" t="n">
        <v>1</v>
      </c>
      <c r="K18" s="71" t="s">
        <v>993</v>
      </c>
    </row>
    <row r="19" customFormat="false" ht="15" hidden="false" customHeight="false" outlineLevel="0" collapsed="false">
      <c r="A19" s="71" t="s">
        <v>184</v>
      </c>
      <c r="B19" s="71" t="s">
        <v>185</v>
      </c>
      <c r="C19" s="71" t="s">
        <v>31</v>
      </c>
      <c r="I19" s="71" t="s">
        <v>951</v>
      </c>
      <c r="J19" s="71" t="n">
        <v>1</v>
      </c>
      <c r="K19" s="71" t="n">
        <v>1</v>
      </c>
      <c r="L19" s="71" t="n">
        <v>1</v>
      </c>
    </row>
    <row r="20" customFormat="false" ht="15" hidden="false" customHeight="false" outlineLevel="0" collapsed="false">
      <c r="A20" s="71" t="s">
        <v>334</v>
      </c>
      <c r="B20" s="71" t="s">
        <v>335</v>
      </c>
      <c r="C20" s="71" t="s">
        <v>1000</v>
      </c>
      <c r="D20" s="71" t="s">
        <v>142</v>
      </c>
      <c r="E20" s="71" t="s">
        <v>948</v>
      </c>
      <c r="F20" s="71" t="s">
        <v>132</v>
      </c>
      <c r="G20" s="71" t="s">
        <v>991</v>
      </c>
      <c r="H20" s="71" t="s">
        <v>132</v>
      </c>
      <c r="I20" s="71" t="s">
        <v>951</v>
      </c>
      <c r="J20" s="71" t="n">
        <v>1</v>
      </c>
      <c r="K20" s="71" t="s">
        <v>993</v>
      </c>
    </row>
    <row r="21" customFormat="false" ht="15" hidden="false" customHeight="false" outlineLevel="0" collapsed="false">
      <c r="A21" s="71" t="s">
        <v>552</v>
      </c>
      <c r="B21" s="71" t="s">
        <v>553</v>
      </c>
      <c r="C21" s="71" t="s">
        <v>1002</v>
      </c>
      <c r="I21" s="71" t="s">
        <v>951</v>
      </c>
      <c r="J21" s="71" t="n">
        <v>1</v>
      </c>
      <c r="K21" s="71" t="n">
        <v>1</v>
      </c>
      <c r="L21" s="71" t="n">
        <v>1</v>
      </c>
    </row>
    <row r="22" customFormat="false" ht="15" hidden="false" customHeight="false" outlineLevel="0" collapsed="false">
      <c r="A22" s="71" t="s">
        <v>182</v>
      </c>
      <c r="B22" s="71" t="s">
        <v>183</v>
      </c>
      <c r="C22" s="71" t="s">
        <v>31</v>
      </c>
      <c r="I22" s="71" t="s">
        <v>951</v>
      </c>
      <c r="J22" s="71" t="n">
        <v>1</v>
      </c>
      <c r="K22" s="71" t="n">
        <v>1</v>
      </c>
      <c r="L22" s="71" t="n">
        <v>1</v>
      </c>
    </row>
    <row r="23" customFormat="false" ht="15" hidden="false" customHeight="false" outlineLevel="0" collapsed="false">
      <c r="A23" s="71" t="s">
        <v>901</v>
      </c>
      <c r="B23" s="71" t="s">
        <v>1003</v>
      </c>
      <c r="C23" s="71" t="s">
        <v>1004</v>
      </c>
      <c r="I23" s="71" t="s">
        <v>951</v>
      </c>
      <c r="J23" s="71" t="n">
        <v>1</v>
      </c>
      <c r="K23" s="71" t="s">
        <v>993</v>
      </c>
    </row>
    <row r="24" customFormat="false" ht="15" hidden="false" customHeight="false" outlineLevel="0" collapsed="false">
      <c r="A24" s="71" t="s">
        <v>333</v>
      </c>
      <c r="C24" s="71" t="s">
        <v>1005</v>
      </c>
      <c r="D24" s="71" t="s">
        <v>132</v>
      </c>
      <c r="F24" s="71" t="s">
        <v>142</v>
      </c>
      <c r="G24" s="72" t="n">
        <v>46132</v>
      </c>
      <c r="H24" s="71" t="s">
        <v>132</v>
      </c>
      <c r="I24" s="71" t="s">
        <v>951</v>
      </c>
      <c r="J24" s="71" t="n">
        <v>1</v>
      </c>
    </row>
    <row r="25" customFormat="false" ht="15" hidden="false" customHeight="false" outlineLevel="0" collapsed="false">
      <c r="A25" s="71" t="s">
        <v>899</v>
      </c>
      <c r="B25" s="71" t="s">
        <v>900</v>
      </c>
      <c r="C25" s="71" t="s">
        <v>1004</v>
      </c>
      <c r="I25" s="71" t="s">
        <v>951</v>
      </c>
      <c r="J25" s="71" t="n">
        <v>1</v>
      </c>
      <c r="K25" s="71" t="n">
        <v>1</v>
      </c>
      <c r="L25" s="71" t="n">
        <v>1</v>
      </c>
      <c r="M25" s="71" t="n">
        <v>1</v>
      </c>
    </row>
    <row r="26" customFormat="false" ht="15" hidden="false" customHeight="false" outlineLevel="0" collapsed="false">
      <c r="A26" s="71" t="s">
        <v>380</v>
      </c>
      <c r="B26" s="71" t="s">
        <v>381</v>
      </c>
      <c r="C26" s="71" t="s">
        <v>34</v>
      </c>
      <c r="I26" s="71" t="s">
        <v>951</v>
      </c>
      <c r="J26" s="71" t="n">
        <v>1</v>
      </c>
      <c r="K26" s="71" t="n">
        <v>1</v>
      </c>
      <c r="L26" s="71" t="n">
        <v>1</v>
      </c>
    </row>
    <row r="27" customFormat="false" ht="15" hidden="false" customHeight="false" outlineLevel="0" collapsed="false">
      <c r="A27" s="71" t="s">
        <v>897</v>
      </c>
      <c r="B27" s="71" t="s">
        <v>898</v>
      </c>
      <c r="C27" s="71" t="s">
        <v>29</v>
      </c>
      <c r="I27" s="71" t="s">
        <v>951</v>
      </c>
      <c r="J27" s="71" t="n">
        <v>1</v>
      </c>
      <c r="K27" s="71" t="n">
        <v>1</v>
      </c>
      <c r="L27" s="71" t="n">
        <v>1</v>
      </c>
    </row>
    <row r="28" customFormat="false" ht="15" hidden="false" customHeight="false" outlineLevel="0" collapsed="false">
      <c r="A28" s="71" t="s">
        <v>179</v>
      </c>
      <c r="B28" s="71" t="s">
        <v>180</v>
      </c>
      <c r="C28" s="71" t="s">
        <v>31</v>
      </c>
      <c r="D28" s="71" t="s">
        <v>142</v>
      </c>
      <c r="E28" s="71" t="s">
        <v>948</v>
      </c>
      <c r="F28" s="71" t="s">
        <v>142</v>
      </c>
      <c r="G28" s="72" t="n">
        <v>45819</v>
      </c>
      <c r="H28" s="71" t="s">
        <v>132</v>
      </c>
      <c r="I28" s="71" t="s">
        <v>951</v>
      </c>
      <c r="J28" s="71" t="n">
        <v>1</v>
      </c>
      <c r="K28" s="71" t="s">
        <v>993</v>
      </c>
    </row>
    <row r="29" customFormat="false" ht="15" hidden="false" customHeight="false" outlineLevel="0" collapsed="false">
      <c r="A29" s="71" t="s">
        <v>895</v>
      </c>
      <c r="B29" s="71" t="s">
        <v>896</v>
      </c>
      <c r="C29" s="71" t="s">
        <v>1004</v>
      </c>
      <c r="D29" s="71" t="s">
        <v>132</v>
      </c>
      <c r="F29" s="71" t="s">
        <v>142</v>
      </c>
      <c r="G29" s="72" t="n">
        <v>46050</v>
      </c>
      <c r="H29" s="71" t="s">
        <v>132</v>
      </c>
      <c r="I29" s="71" t="s">
        <v>951</v>
      </c>
      <c r="J29" s="71" t="n">
        <v>1</v>
      </c>
      <c r="K29" s="71" t="s">
        <v>993</v>
      </c>
    </row>
    <row r="30" customFormat="false" ht="15" hidden="false" customHeight="false" outlineLevel="0" collapsed="false">
      <c r="A30" s="71" t="s">
        <v>893</v>
      </c>
      <c r="B30" s="71" t="s">
        <v>894</v>
      </c>
      <c r="C30" s="71" t="s">
        <v>1004</v>
      </c>
      <c r="D30" s="71" t="s">
        <v>132</v>
      </c>
      <c r="F30" s="71" t="s">
        <v>142</v>
      </c>
      <c r="G30" s="72" t="n">
        <v>46034</v>
      </c>
      <c r="H30" s="71" t="s">
        <v>132</v>
      </c>
      <c r="I30" s="71" t="s">
        <v>951</v>
      </c>
      <c r="J30" s="71" t="n">
        <v>1</v>
      </c>
      <c r="K30" s="71" t="n">
        <v>1</v>
      </c>
      <c r="L30" s="71" t="n">
        <v>1</v>
      </c>
    </row>
    <row r="31" customFormat="false" ht="15" hidden="false" customHeight="false" outlineLevel="0" collapsed="false">
      <c r="A31" s="71" t="s">
        <v>890</v>
      </c>
      <c r="B31" s="71" t="s">
        <v>1006</v>
      </c>
      <c r="C31" s="71" t="s">
        <v>29</v>
      </c>
      <c r="I31" s="71" t="s">
        <v>951</v>
      </c>
      <c r="J31" s="71" t="n">
        <v>1</v>
      </c>
    </row>
    <row r="32" customFormat="false" ht="15" hidden="false" customHeight="false" outlineLevel="0" collapsed="false">
      <c r="A32" s="71" t="s">
        <v>176</v>
      </c>
      <c r="B32" s="71" t="s">
        <v>177</v>
      </c>
      <c r="C32" s="71" t="s">
        <v>31</v>
      </c>
      <c r="D32" s="71" t="s">
        <v>142</v>
      </c>
      <c r="E32" s="71" t="s">
        <v>948</v>
      </c>
      <c r="F32" s="71" t="s">
        <v>132</v>
      </c>
      <c r="G32" s="71" t="s">
        <v>991</v>
      </c>
      <c r="H32" s="71" t="s">
        <v>132</v>
      </c>
      <c r="I32" s="71" t="s">
        <v>951</v>
      </c>
      <c r="J32" s="71" t="n">
        <v>1</v>
      </c>
      <c r="K32" s="71" t="n">
        <v>1</v>
      </c>
      <c r="L32" s="71" t="n">
        <v>1</v>
      </c>
    </row>
    <row r="33" customFormat="false" ht="15" hidden="false" customHeight="false" outlineLevel="0" collapsed="false">
      <c r="A33" s="71" t="s">
        <v>887</v>
      </c>
      <c r="B33" s="71" t="s">
        <v>888</v>
      </c>
      <c r="C33" s="71" t="s">
        <v>1004</v>
      </c>
      <c r="I33" s="71" t="s">
        <v>951</v>
      </c>
      <c r="J33" s="71" t="n">
        <v>1</v>
      </c>
    </row>
    <row r="34" customFormat="false" ht="15" hidden="false" customHeight="false" outlineLevel="0" collapsed="false">
      <c r="A34" s="71" t="s">
        <v>826</v>
      </c>
      <c r="B34" s="71" t="s">
        <v>827</v>
      </c>
      <c r="C34" s="71" t="s">
        <v>33</v>
      </c>
      <c r="D34" s="71" t="s">
        <v>142</v>
      </c>
      <c r="E34" s="71" t="s">
        <v>948</v>
      </c>
      <c r="F34" s="71" t="s">
        <v>142</v>
      </c>
      <c r="G34" s="72" t="n">
        <v>45897</v>
      </c>
      <c r="H34" s="71" t="s">
        <v>132</v>
      </c>
      <c r="I34" s="71" t="s">
        <v>951</v>
      </c>
      <c r="J34" s="71" t="n">
        <v>1</v>
      </c>
      <c r="K34" s="71" t="n">
        <v>1</v>
      </c>
      <c r="L34" s="71" t="n">
        <v>1</v>
      </c>
    </row>
    <row r="35" customFormat="false" ht="15" hidden="false" customHeight="false" outlineLevel="0" collapsed="false">
      <c r="A35" s="71" t="s">
        <v>174</v>
      </c>
      <c r="B35" s="71" t="s">
        <v>175</v>
      </c>
      <c r="C35" s="71" t="s">
        <v>31</v>
      </c>
      <c r="D35" s="71" t="s">
        <v>132</v>
      </c>
      <c r="F35" s="71" t="s">
        <v>142</v>
      </c>
      <c r="G35" s="72" t="n">
        <v>45829</v>
      </c>
      <c r="H35" s="71" t="s">
        <v>142</v>
      </c>
      <c r="I35" s="71" t="s">
        <v>951</v>
      </c>
      <c r="J35" s="71" t="n">
        <v>1</v>
      </c>
      <c r="K35" s="71" t="s">
        <v>993</v>
      </c>
    </row>
    <row r="36" customFormat="false" ht="15" hidden="false" customHeight="false" outlineLevel="0" collapsed="false">
      <c r="A36" s="71" t="s">
        <v>1007</v>
      </c>
      <c r="B36" s="71" t="s">
        <v>885</v>
      </c>
      <c r="C36" s="71" t="s">
        <v>1004</v>
      </c>
      <c r="I36" s="71" t="s">
        <v>951</v>
      </c>
      <c r="J36" s="71" t="n">
        <v>1</v>
      </c>
    </row>
    <row r="37" customFormat="false" ht="15" hidden="false" customHeight="false" outlineLevel="0" collapsed="false">
      <c r="A37" s="71" t="s">
        <v>304</v>
      </c>
      <c r="B37" s="71" t="s">
        <v>305</v>
      </c>
      <c r="C37" s="71" t="s">
        <v>42</v>
      </c>
      <c r="D37" s="71" t="s">
        <v>132</v>
      </c>
      <c r="F37" s="71" t="s">
        <v>142</v>
      </c>
      <c r="G37" s="72" t="n">
        <v>46062</v>
      </c>
      <c r="H37" s="71" t="s">
        <v>132</v>
      </c>
      <c r="I37" s="71" t="s">
        <v>951</v>
      </c>
      <c r="J37" s="71" t="n">
        <v>1</v>
      </c>
      <c r="K37" s="71" t="s">
        <v>993</v>
      </c>
    </row>
    <row r="38" customFormat="false" ht="15" hidden="false" customHeight="false" outlineLevel="0" collapsed="false">
      <c r="A38" s="71" t="s">
        <v>302</v>
      </c>
      <c r="B38" s="71" t="s">
        <v>303</v>
      </c>
      <c r="C38" s="71" t="s">
        <v>1008</v>
      </c>
      <c r="I38" s="71" t="s">
        <v>951</v>
      </c>
      <c r="J38" s="71" t="n">
        <v>1</v>
      </c>
      <c r="K38" s="71" t="n">
        <v>1</v>
      </c>
      <c r="L38" s="71" t="n">
        <v>1</v>
      </c>
    </row>
    <row r="39" customFormat="false" ht="15" hidden="false" customHeight="false" outlineLevel="0" collapsed="false">
      <c r="A39" s="71" t="s">
        <v>272</v>
      </c>
      <c r="B39" s="71" t="s">
        <v>273</v>
      </c>
      <c r="C39" s="71" t="s">
        <v>995</v>
      </c>
      <c r="D39" s="71" t="s">
        <v>993</v>
      </c>
      <c r="F39" s="71" t="s">
        <v>1009</v>
      </c>
      <c r="G39" s="72" t="n">
        <v>45933</v>
      </c>
      <c r="H39" s="71" t="s">
        <v>132</v>
      </c>
      <c r="I39" s="71" t="s">
        <v>951</v>
      </c>
      <c r="J39" s="71" t="n">
        <v>1</v>
      </c>
      <c r="K39" s="71" t="n">
        <v>1</v>
      </c>
      <c r="L39" s="71" t="n">
        <v>1</v>
      </c>
    </row>
    <row r="40" customFormat="false" ht="15" hidden="false" customHeight="false" outlineLevel="0" collapsed="false">
      <c r="A40" s="71" t="s">
        <v>715</v>
      </c>
      <c r="B40" s="71" t="s">
        <v>714</v>
      </c>
      <c r="C40" s="71" t="s">
        <v>26</v>
      </c>
      <c r="I40" s="71" t="s">
        <v>951</v>
      </c>
      <c r="J40" s="71" t="n">
        <v>1</v>
      </c>
      <c r="K40" s="71" t="n">
        <v>1</v>
      </c>
      <c r="L40" s="71" t="n">
        <v>1</v>
      </c>
    </row>
    <row r="41" customFormat="false" ht="15" hidden="false" customHeight="false" outlineLevel="0" collapsed="false">
      <c r="A41" s="71" t="s">
        <v>172</v>
      </c>
      <c r="B41" s="71" t="s">
        <v>173</v>
      </c>
      <c r="C41" s="71" t="s">
        <v>31</v>
      </c>
      <c r="I41" s="71" t="s">
        <v>951</v>
      </c>
      <c r="J41" s="71" t="n">
        <v>1</v>
      </c>
      <c r="K41" s="71" t="n">
        <v>1</v>
      </c>
      <c r="L41" s="71" t="n">
        <v>1</v>
      </c>
    </row>
    <row r="42" customFormat="false" ht="15" hidden="false" customHeight="false" outlineLevel="0" collapsed="false">
      <c r="A42" s="71" t="s">
        <v>170</v>
      </c>
      <c r="B42" s="71" t="s">
        <v>171</v>
      </c>
      <c r="C42" s="71" t="s">
        <v>31</v>
      </c>
      <c r="D42" s="71" t="s">
        <v>132</v>
      </c>
      <c r="F42" s="71" t="s">
        <v>142</v>
      </c>
      <c r="G42" s="72" t="n">
        <v>46043</v>
      </c>
      <c r="H42" s="71" t="s">
        <v>132</v>
      </c>
      <c r="I42" s="71" t="s">
        <v>951</v>
      </c>
      <c r="J42" s="71" t="n">
        <v>1</v>
      </c>
      <c r="K42" s="71" t="s">
        <v>57</v>
      </c>
      <c r="L42" s="71" t="n">
        <v>1</v>
      </c>
    </row>
    <row r="43" customFormat="false" ht="15" hidden="false" customHeight="false" outlineLevel="0" collapsed="false">
      <c r="A43" s="71" t="s">
        <v>882</v>
      </c>
      <c r="B43" s="71" t="s">
        <v>883</v>
      </c>
      <c r="C43" s="71" t="s">
        <v>1004</v>
      </c>
      <c r="D43" s="71" t="s">
        <v>132</v>
      </c>
      <c r="F43" s="71" t="s">
        <v>132</v>
      </c>
      <c r="G43" s="72" t="n">
        <v>45902</v>
      </c>
      <c r="H43" s="71" t="s">
        <v>132</v>
      </c>
      <c r="I43" s="71" t="s">
        <v>951</v>
      </c>
      <c r="J43" s="71" t="n">
        <v>1</v>
      </c>
      <c r="K43" s="71" t="s">
        <v>993</v>
      </c>
    </row>
    <row r="44" customFormat="false" ht="15" hidden="false" customHeight="false" outlineLevel="0" collapsed="false">
      <c r="A44" s="71" t="s">
        <v>167</v>
      </c>
      <c r="B44" s="71" t="s">
        <v>168</v>
      </c>
      <c r="C44" s="71" t="s">
        <v>31</v>
      </c>
      <c r="D44" s="71" t="s">
        <v>142</v>
      </c>
      <c r="E44" s="71" t="s">
        <v>948</v>
      </c>
      <c r="F44" s="71" t="s">
        <v>132</v>
      </c>
      <c r="G44" s="71" t="s">
        <v>991</v>
      </c>
      <c r="H44" s="71" t="s">
        <v>132</v>
      </c>
      <c r="I44" s="71" t="s">
        <v>951</v>
      </c>
      <c r="J44" s="71" t="n">
        <v>1</v>
      </c>
      <c r="K44" s="71" t="s">
        <v>1010</v>
      </c>
    </row>
    <row r="45" customFormat="false" ht="15" hidden="false" customHeight="false" outlineLevel="0" collapsed="false">
      <c r="A45" s="71" t="s">
        <v>549</v>
      </c>
      <c r="B45" s="71" t="s">
        <v>550</v>
      </c>
      <c r="C45" s="71" t="s">
        <v>1002</v>
      </c>
      <c r="D45" s="71" t="s">
        <v>993</v>
      </c>
      <c r="F45" s="71" t="s">
        <v>142</v>
      </c>
      <c r="G45" s="72" t="n">
        <v>46045</v>
      </c>
      <c r="H45" s="71" t="s">
        <v>132</v>
      </c>
      <c r="I45" s="71" t="s">
        <v>951</v>
      </c>
      <c r="J45" s="71" t="s">
        <v>1011</v>
      </c>
      <c r="K45" s="71" t="s">
        <v>993</v>
      </c>
    </row>
    <row r="46" customFormat="false" ht="15" hidden="false" customHeight="false" outlineLevel="0" collapsed="false">
      <c r="A46" s="71" t="s">
        <v>503</v>
      </c>
      <c r="B46" s="71" t="s">
        <v>1012</v>
      </c>
      <c r="C46" s="71" t="s">
        <v>1013</v>
      </c>
      <c r="I46" s="71" t="s">
        <v>951</v>
      </c>
      <c r="J46" s="71" t="n">
        <v>1</v>
      </c>
      <c r="K46" s="71" t="n">
        <v>1</v>
      </c>
      <c r="L46" s="71" t="n">
        <v>1</v>
      </c>
    </row>
    <row r="47" customFormat="false" ht="15" hidden="false" customHeight="false" outlineLevel="0" collapsed="false">
      <c r="A47" s="71" t="s">
        <v>707</v>
      </c>
      <c r="B47" s="71" t="s">
        <v>708</v>
      </c>
      <c r="C47" s="71" t="s">
        <v>26</v>
      </c>
      <c r="D47" s="71" t="s">
        <v>993</v>
      </c>
      <c r="F47" s="71" t="s">
        <v>142</v>
      </c>
      <c r="G47" s="72" t="n">
        <v>45838</v>
      </c>
      <c r="H47" s="71" t="s">
        <v>132</v>
      </c>
      <c r="I47" s="71" t="s">
        <v>951</v>
      </c>
      <c r="J47" s="71" t="n">
        <v>1</v>
      </c>
      <c r="K47" s="71" t="s">
        <v>57</v>
      </c>
    </row>
    <row r="48" customFormat="false" ht="15" hidden="false" customHeight="false" outlineLevel="0" collapsed="false">
      <c r="A48" s="71" t="s">
        <v>165</v>
      </c>
      <c r="B48" s="71" t="s">
        <v>166</v>
      </c>
      <c r="C48" s="71" t="s">
        <v>31</v>
      </c>
      <c r="D48" s="71" t="s">
        <v>132</v>
      </c>
      <c r="F48" s="71" t="s">
        <v>142</v>
      </c>
      <c r="G48" s="72" t="n">
        <v>45965</v>
      </c>
      <c r="H48" s="71" t="s">
        <v>132</v>
      </c>
      <c r="I48" s="71" t="s">
        <v>951</v>
      </c>
      <c r="J48" s="71" t="n">
        <v>1</v>
      </c>
      <c r="K48" s="71" t="n">
        <v>1</v>
      </c>
      <c r="L48" s="71" t="n">
        <v>1</v>
      </c>
    </row>
    <row r="49" customFormat="false" ht="15" hidden="false" customHeight="false" outlineLevel="0" collapsed="false">
      <c r="A49" s="71" t="s">
        <v>700</v>
      </c>
      <c r="B49" s="71" t="s">
        <v>825</v>
      </c>
      <c r="C49" s="71" t="s">
        <v>1014</v>
      </c>
      <c r="D49" s="71" t="s">
        <v>993</v>
      </c>
      <c r="F49" s="71" t="s">
        <v>132</v>
      </c>
      <c r="G49" s="72" t="n">
        <v>45812</v>
      </c>
      <c r="H49" s="71" t="s">
        <v>132</v>
      </c>
      <c r="I49" s="71" t="s">
        <v>951</v>
      </c>
      <c r="J49" s="71" t="n">
        <v>1</v>
      </c>
      <c r="K49" s="71" t="s">
        <v>993</v>
      </c>
      <c r="M49" s="71" t="n">
        <v>1</v>
      </c>
    </row>
    <row r="50" customFormat="false" ht="15" hidden="false" customHeight="false" outlineLevel="0" collapsed="false">
      <c r="A50" s="71" t="s">
        <v>880</v>
      </c>
      <c r="B50" s="71" t="s">
        <v>881</v>
      </c>
      <c r="C50" s="71" t="s">
        <v>29</v>
      </c>
      <c r="D50" s="71" t="s">
        <v>142</v>
      </c>
      <c r="E50" s="71" t="s">
        <v>948</v>
      </c>
      <c r="F50" s="71" t="s">
        <v>132</v>
      </c>
      <c r="G50" s="71" t="s">
        <v>991</v>
      </c>
      <c r="H50" s="71" t="s">
        <v>132</v>
      </c>
      <c r="I50" s="71" t="s">
        <v>951</v>
      </c>
      <c r="J50" s="71" t="n">
        <v>1</v>
      </c>
      <c r="K50" s="71" t="s">
        <v>993</v>
      </c>
    </row>
    <row r="51" customFormat="false" ht="15" hidden="false" customHeight="false" outlineLevel="0" collapsed="false">
      <c r="A51" s="71" t="s">
        <v>695</v>
      </c>
      <c r="B51" s="71" t="s">
        <v>696</v>
      </c>
      <c r="C51" s="71" t="s">
        <v>26</v>
      </c>
      <c r="D51" s="71" t="s">
        <v>142</v>
      </c>
      <c r="E51" s="71" t="s">
        <v>948</v>
      </c>
      <c r="F51" s="71" t="s">
        <v>142</v>
      </c>
      <c r="G51" s="72" t="n">
        <v>45933</v>
      </c>
      <c r="H51" s="71" t="s">
        <v>132</v>
      </c>
      <c r="I51" s="71" t="s">
        <v>951</v>
      </c>
      <c r="J51" s="71" t="n">
        <v>1</v>
      </c>
      <c r="K51" s="71" t="n">
        <v>1</v>
      </c>
      <c r="L51" s="71" t="n">
        <v>1</v>
      </c>
    </row>
    <row r="52" customFormat="false" ht="15" hidden="false" customHeight="false" outlineLevel="0" collapsed="false">
      <c r="A52" s="71" t="s">
        <v>500</v>
      </c>
      <c r="B52" s="71" t="s">
        <v>501</v>
      </c>
      <c r="C52" s="71" t="s">
        <v>45</v>
      </c>
      <c r="D52" s="71" t="s">
        <v>132</v>
      </c>
      <c r="F52" s="71" t="s">
        <v>142</v>
      </c>
      <c r="G52" s="72" t="n">
        <v>46134</v>
      </c>
      <c r="H52" s="71" t="s">
        <v>132</v>
      </c>
      <c r="I52" s="71" t="s">
        <v>951</v>
      </c>
      <c r="J52" s="71" t="n">
        <v>1</v>
      </c>
    </row>
    <row r="53" customFormat="false" ht="15" hidden="false" customHeight="false" outlineLevel="0" collapsed="false">
      <c r="A53" s="71" t="s">
        <v>259</v>
      </c>
      <c r="B53" s="71" t="s">
        <v>260</v>
      </c>
      <c r="C53" s="71" t="s">
        <v>995</v>
      </c>
      <c r="D53" s="71" t="s">
        <v>993</v>
      </c>
      <c r="F53" s="71" t="s">
        <v>1009</v>
      </c>
      <c r="G53" s="72" t="n">
        <v>45933</v>
      </c>
      <c r="H53" s="71" t="s">
        <v>132</v>
      </c>
      <c r="I53" s="71" t="s">
        <v>951</v>
      </c>
      <c r="J53" s="71" t="n">
        <v>1</v>
      </c>
      <c r="K53" s="71" t="n">
        <v>1</v>
      </c>
      <c r="L53" s="71" t="n">
        <v>1</v>
      </c>
    </row>
    <row r="54" customFormat="false" ht="15" hidden="false" customHeight="false" outlineLevel="0" collapsed="false">
      <c r="A54" s="71" t="s">
        <v>257</v>
      </c>
      <c r="B54" s="71" t="s">
        <v>258</v>
      </c>
      <c r="C54" s="71" t="s">
        <v>995</v>
      </c>
      <c r="D54" s="71" t="s">
        <v>993</v>
      </c>
      <c r="F54" s="71" t="s">
        <v>142</v>
      </c>
      <c r="G54" s="72" t="n">
        <v>45936</v>
      </c>
      <c r="H54" s="71" t="s">
        <v>132</v>
      </c>
      <c r="I54" s="71" t="s">
        <v>951</v>
      </c>
      <c r="J54" s="71" t="n">
        <v>1</v>
      </c>
      <c r="M54" s="71" t="n">
        <v>1</v>
      </c>
    </row>
    <row r="55" customFormat="false" ht="15" hidden="false" customHeight="false" outlineLevel="0" collapsed="false">
      <c r="A55" s="71" t="s">
        <v>876</v>
      </c>
      <c r="B55" s="71" t="s">
        <v>877</v>
      </c>
      <c r="C55" s="71" t="s">
        <v>29</v>
      </c>
      <c r="D55" s="71" t="s">
        <v>142</v>
      </c>
      <c r="E55" s="71" t="s">
        <v>948</v>
      </c>
      <c r="F55" s="71" t="s">
        <v>132</v>
      </c>
      <c r="G55" s="71" t="s">
        <v>991</v>
      </c>
      <c r="H55" s="71" t="s">
        <v>132</v>
      </c>
      <c r="I55" s="71" t="s">
        <v>951</v>
      </c>
      <c r="J55" s="71" t="n">
        <v>1</v>
      </c>
      <c r="M55" s="71" t="n">
        <v>1</v>
      </c>
    </row>
    <row r="56" customFormat="false" ht="15" hidden="false" customHeight="false" outlineLevel="0" collapsed="false">
      <c r="A56" s="71" t="s">
        <v>137</v>
      </c>
      <c r="B56" s="71" t="s">
        <v>138</v>
      </c>
      <c r="C56" s="71" t="s">
        <v>1015</v>
      </c>
      <c r="I56" s="71" t="s">
        <v>951</v>
      </c>
      <c r="J56" s="71" t="n">
        <v>1</v>
      </c>
      <c r="K56" s="71" t="n">
        <v>1</v>
      </c>
      <c r="L56" s="71" t="n">
        <v>1</v>
      </c>
    </row>
    <row r="57" customFormat="false" ht="15" hidden="false" customHeight="false" outlineLevel="0" collapsed="false">
      <c r="A57" s="71" t="s">
        <v>1016</v>
      </c>
      <c r="B57" s="71" t="s">
        <v>688</v>
      </c>
      <c r="C57" s="71" t="s">
        <v>26</v>
      </c>
      <c r="D57" s="71" t="s">
        <v>132</v>
      </c>
      <c r="F57" s="71" t="s">
        <v>299</v>
      </c>
      <c r="G57" s="72" t="n">
        <v>46090</v>
      </c>
      <c r="H57" s="71" t="s">
        <v>132</v>
      </c>
      <c r="I57" s="71" t="s">
        <v>951</v>
      </c>
      <c r="J57" s="71" t="n">
        <v>1</v>
      </c>
      <c r="K57" s="71" t="s">
        <v>993</v>
      </c>
    </row>
    <row r="58" customFormat="false" ht="15" hidden="false" customHeight="false" outlineLevel="0" collapsed="false">
      <c r="A58" s="71" t="s">
        <v>797</v>
      </c>
      <c r="B58" s="71" t="s">
        <v>798</v>
      </c>
      <c r="C58" s="71" t="s">
        <v>36</v>
      </c>
      <c r="D58" s="71" t="s">
        <v>993</v>
      </c>
      <c r="F58" s="71" t="s">
        <v>132</v>
      </c>
      <c r="G58" s="72" t="n">
        <v>45693</v>
      </c>
      <c r="H58" s="71" t="s">
        <v>132</v>
      </c>
      <c r="I58" s="71" t="s">
        <v>951</v>
      </c>
      <c r="J58" s="71" t="n">
        <v>1</v>
      </c>
    </row>
    <row r="59" customFormat="false" ht="15" hidden="false" customHeight="false" outlineLevel="0" collapsed="false">
      <c r="A59" s="71" t="s">
        <v>874</v>
      </c>
      <c r="B59" s="71" t="s">
        <v>875</v>
      </c>
      <c r="C59" s="71" t="s">
        <v>1017</v>
      </c>
      <c r="D59" s="71" t="s">
        <v>132</v>
      </c>
      <c r="F59" s="71" t="s">
        <v>142</v>
      </c>
      <c r="G59" s="72" t="n">
        <v>46091</v>
      </c>
      <c r="H59" s="71" t="s">
        <v>132</v>
      </c>
      <c r="I59" s="71" t="s">
        <v>951</v>
      </c>
      <c r="J59" s="71" t="n">
        <v>1</v>
      </c>
      <c r="M59" s="71" t="n">
        <v>1</v>
      </c>
    </row>
    <row r="60" customFormat="false" ht="15" hidden="false" customHeight="false" outlineLevel="0" collapsed="false">
      <c r="A60" s="71" t="s">
        <v>378</v>
      </c>
      <c r="B60" s="71" t="s">
        <v>379</v>
      </c>
      <c r="C60" s="71" t="s">
        <v>34</v>
      </c>
      <c r="I60" s="71" t="s">
        <v>951</v>
      </c>
      <c r="J60" s="71" t="n">
        <v>1</v>
      </c>
      <c r="K60" s="71" t="n">
        <v>1</v>
      </c>
      <c r="L60" s="71" t="n">
        <v>1</v>
      </c>
    </row>
    <row r="61" customFormat="false" ht="15" hidden="false" customHeight="false" outlineLevel="0" collapsed="false">
      <c r="A61" s="71" t="s">
        <v>163</v>
      </c>
      <c r="B61" s="71" t="s">
        <v>164</v>
      </c>
      <c r="C61" s="71" t="s">
        <v>31</v>
      </c>
      <c r="D61" s="71" t="s">
        <v>142</v>
      </c>
      <c r="E61" s="71" t="s">
        <v>948</v>
      </c>
      <c r="F61" s="71" t="s">
        <v>142</v>
      </c>
      <c r="G61" s="72" t="n">
        <v>45919</v>
      </c>
      <c r="H61" s="71" t="s">
        <v>132</v>
      </c>
      <c r="I61" s="71" t="s">
        <v>951</v>
      </c>
      <c r="J61" s="71" t="n">
        <v>1</v>
      </c>
      <c r="K61" s="71" t="s">
        <v>57</v>
      </c>
    </row>
    <row r="62" customFormat="false" ht="15" hidden="false" customHeight="false" outlineLevel="0" collapsed="false">
      <c r="A62" s="71" t="s">
        <v>545</v>
      </c>
      <c r="C62" s="71" t="s">
        <v>1002</v>
      </c>
      <c r="D62" s="71" t="s">
        <v>132</v>
      </c>
      <c r="F62" s="71" t="s">
        <v>132</v>
      </c>
      <c r="G62" s="71" t="s">
        <v>1001</v>
      </c>
      <c r="H62" s="71" t="s">
        <v>132</v>
      </c>
      <c r="I62" s="71" t="s">
        <v>951</v>
      </c>
      <c r="J62" s="71" t="n">
        <v>1</v>
      </c>
    </row>
    <row r="63" customFormat="false" ht="15" hidden="false" customHeight="false" outlineLevel="0" collapsed="false">
      <c r="A63" s="71" t="s">
        <v>161</v>
      </c>
      <c r="B63" s="71" t="s">
        <v>162</v>
      </c>
      <c r="C63" s="71" t="s">
        <v>31</v>
      </c>
      <c r="I63" s="71" t="s">
        <v>951</v>
      </c>
      <c r="J63" s="71" t="n">
        <v>1</v>
      </c>
      <c r="K63" s="71" t="n">
        <v>1</v>
      </c>
      <c r="L63" s="71" t="n">
        <v>1</v>
      </c>
      <c r="M63" s="71" t="n">
        <v>1</v>
      </c>
    </row>
    <row r="64" customFormat="false" ht="15" hidden="false" customHeight="false" outlineLevel="0" collapsed="false">
      <c r="A64" s="71" t="s">
        <v>872</v>
      </c>
      <c r="B64" s="71" t="s">
        <v>873</v>
      </c>
      <c r="C64" s="71" t="s">
        <v>1018</v>
      </c>
      <c r="I64" s="71" t="s">
        <v>951</v>
      </c>
      <c r="J64" s="71" t="n">
        <v>1</v>
      </c>
      <c r="K64" s="71" t="n">
        <v>1</v>
      </c>
      <c r="L64" s="71" t="n">
        <v>1</v>
      </c>
    </row>
    <row r="65" customFormat="false" ht="15" hidden="false" customHeight="false" outlineLevel="0" collapsed="false">
      <c r="A65" s="71" t="s">
        <v>870</v>
      </c>
      <c r="B65" s="71" t="s">
        <v>1019</v>
      </c>
      <c r="C65" s="71" t="s">
        <v>29</v>
      </c>
      <c r="D65" s="71" t="s">
        <v>142</v>
      </c>
      <c r="E65" s="71" t="s">
        <v>948</v>
      </c>
      <c r="F65" s="71" t="s">
        <v>132</v>
      </c>
      <c r="G65" s="71" t="s">
        <v>991</v>
      </c>
      <c r="H65" s="71" t="s">
        <v>132</v>
      </c>
      <c r="I65" s="71" t="s">
        <v>951</v>
      </c>
      <c r="J65" s="71" t="n">
        <v>1</v>
      </c>
      <c r="K65" s="71" t="s">
        <v>993</v>
      </c>
      <c r="M65" s="71" t="n">
        <v>1</v>
      </c>
    </row>
    <row r="66" customFormat="false" ht="15" hidden="false" customHeight="false" outlineLevel="0" collapsed="false">
      <c r="A66" s="71" t="s">
        <v>819</v>
      </c>
      <c r="B66" s="71" t="s">
        <v>820</v>
      </c>
      <c r="C66" s="71" t="s">
        <v>33</v>
      </c>
      <c r="D66" s="71" t="s">
        <v>142</v>
      </c>
      <c r="E66" s="71" t="s">
        <v>948</v>
      </c>
      <c r="F66" s="71" t="s">
        <v>132</v>
      </c>
      <c r="G66" s="71" t="s">
        <v>991</v>
      </c>
      <c r="H66" s="71" t="s">
        <v>132</v>
      </c>
      <c r="I66" s="71" t="s">
        <v>951</v>
      </c>
    </row>
    <row r="67" customFormat="false" ht="15" hidden="false" customHeight="false" outlineLevel="0" collapsed="false">
      <c r="A67" s="71" t="s">
        <v>543</v>
      </c>
      <c r="B67" s="71" t="s">
        <v>544</v>
      </c>
      <c r="C67" s="71" t="s">
        <v>1002</v>
      </c>
      <c r="D67" s="71" t="s">
        <v>993</v>
      </c>
      <c r="F67" s="71" t="s">
        <v>142</v>
      </c>
      <c r="G67" s="72" t="n">
        <v>45925</v>
      </c>
      <c r="H67" s="71" t="s">
        <v>132</v>
      </c>
      <c r="I67" s="71" t="s">
        <v>951</v>
      </c>
      <c r="J67" s="71" t="n">
        <v>1</v>
      </c>
      <c r="K67" s="71" t="s">
        <v>57</v>
      </c>
    </row>
    <row r="68" customFormat="false" ht="15" hidden="false" customHeight="false" outlineLevel="0" collapsed="false">
      <c r="A68" s="71" t="s">
        <v>656</v>
      </c>
      <c r="B68" s="71" t="s">
        <v>657</v>
      </c>
      <c r="C68" s="71" t="s">
        <v>26</v>
      </c>
      <c r="D68" s="71" t="s">
        <v>142</v>
      </c>
      <c r="E68" s="71" t="s">
        <v>948</v>
      </c>
      <c r="F68" s="71" t="s">
        <v>142</v>
      </c>
      <c r="G68" s="72" t="n">
        <v>45960</v>
      </c>
      <c r="H68" s="71" t="s">
        <v>142</v>
      </c>
      <c r="I68" s="71" t="s">
        <v>951</v>
      </c>
      <c r="J68" s="71" t="n">
        <v>1</v>
      </c>
      <c r="K68" s="71" t="n">
        <v>1</v>
      </c>
      <c r="L68" s="71" t="n">
        <v>1</v>
      </c>
    </row>
    <row r="69" customFormat="false" ht="15" hidden="false" customHeight="false" outlineLevel="0" collapsed="false">
      <c r="A69" s="71" t="s">
        <v>241</v>
      </c>
      <c r="B69" s="71" t="s">
        <v>242</v>
      </c>
      <c r="C69" s="71" t="s">
        <v>995</v>
      </c>
      <c r="F69" s="71" t="s">
        <v>132</v>
      </c>
      <c r="G69" s="71" t="s">
        <v>991</v>
      </c>
      <c r="H69" s="71" t="s">
        <v>132</v>
      </c>
      <c r="I69" s="71" t="s">
        <v>951</v>
      </c>
      <c r="J69" s="71" t="n">
        <v>1</v>
      </c>
      <c r="K69" s="71" t="n">
        <v>1</v>
      </c>
      <c r="L69" s="71" t="n">
        <v>1</v>
      </c>
    </row>
    <row r="70" customFormat="false" ht="15" hidden="false" customHeight="false" outlineLevel="0" collapsed="false">
      <c r="A70" s="71" t="s">
        <v>239</v>
      </c>
      <c r="B70" s="71" t="s">
        <v>240</v>
      </c>
      <c r="C70" s="71" t="s">
        <v>995</v>
      </c>
      <c r="D70" s="71" t="s">
        <v>142</v>
      </c>
      <c r="E70" s="71" t="s">
        <v>948</v>
      </c>
      <c r="F70" s="71" t="s">
        <v>142</v>
      </c>
      <c r="G70" s="72" t="n">
        <v>45994</v>
      </c>
      <c r="H70" s="71" t="s">
        <v>142</v>
      </c>
      <c r="I70" s="71" t="s">
        <v>951</v>
      </c>
      <c r="J70" s="71" t="n">
        <v>1</v>
      </c>
      <c r="K70" s="71" t="n">
        <v>1</v>
      </c>
      <c r="L70" s="71" t="n">
        <v>1</v>
      </c>
    </row>
    <row r="71" customFormat="false" ht="15" hidden="false" customHeight="false" outlineLevel="0" collapsed="false">
      <c r="A71" s="71" t="s">
        <v>376</v>
      </c>
      <c r="B71" s="71" t="s">
        <v>377</v>
      </c>
      <c r="C71" s="71" t="s">
        <v>34</v>
      </c>
      <c r="I71" s="71" t="s">
        <v>951</v>
      </c>
      <c r="J71" s="71" t="n">
        <v>1</v>
      </c>
      <c r="K71" s="71" t="n">
        <v>1</v>
      </c>
      <c r="L71" s="71" t="n">
        <v>1</v>
      </c>
    </row>
    <row r="72" customFormat="false" ht="15" hidden="false" customHeight="false" outlineLevel="0" collapsed="false">
      <c r="A72" s="71" t="s">
        <v>866</v>
      </c>
      <c r="B72" s="71" t="s">
        <v>1020</v>
      </c>
      <c r="C72" s="71" t="s">
        <v>29</v>
      </c>
      <c r="I72" s="71" t="s">
        <v>951</v>
      </c>
      <c r="J72" s="71" t="n">
        <v>1</v>
      </c>
      <c r="K72" s="71" t="s">
        <v>993</v>
      </c>
    </row>
    <row r="73" customFormat="false" ht="15" hidden="false" customHeight="false" outlineLevel="0" collapsed="false">
      <c r="A73" s="71" t="s">
        <v>374</v>
      </c>
      <c r="B73" s="71" t="s">
        <v>375</v>
      </c>
      <c r="C73" s="71" t="s">
        <v>34</v>
      </c>
      <c r="D73" s="71" t="s">
        <v>142</v>
      </c>
      <c r="E73" s="71" t="s">
        <v>948</v>
      </c>
      <c r="F73" s="71" t="s">
        <v>132</v>
      </c>
      <c r="G73" s="71" t="s">
        <v>991</v>
      </c>
      <c r="H73" s="71" t="s">
        <v>132</v>
      </c>
      <c r="I73" s="71" t="s">
        <v>951</v>
      </c>
      <c r="J73" s="71" t="n">
        <v>1</v>
      </c>
    </row>
    <row r="74" customFormat="false" ht="15" hidden="false" customHeight="false" outlineLevel="0" collapsed="false">
      <c r="A74" s="71" t="s">
        <v>135</v>
      </c>
      <c r="B74" s="71" t="s">
        <v>136</v>
      </c>
      <c r="C74" s="71" t="s">
        <v>1015</v>
      </c>
      <c r="I74" s="71" t="s">
        <v>951</v>
      </c>
      <c r="J74" s="71" t="n">
        <v>1</v>
      </c>
      <c r="K74" s="71" t="n">
        <v>1</v>
      </c>
      <c r="L74" s="71" t="n">
        <v>1</v>
      </c>
    </row>
    <row r="75" customFormat="false" ht="15" hidden="false" customHeight="false" outlineLevel="0" collapsed="false">
      <c r="A75" s="71" t="s">
        <v>237</v>
      </c>
      <c r="B75" s="71" t="s">
        <v>238</v>
      </c>
      <c r="C75" s="71" t="s">
        <v>995</v>
      </c>
      <c r="I75" s="71" t="s">
        <v>951</v>
      </c>
      <c r="J75" s="71" t="n">
        <v>1</v>
      </c>
      <c r="K75" s="71" t="n">
        <v>1</v>
      </c>
      <c r="L75" s="71" t="n">
        <v>1</v>
      </c>
    </row>
    <row r="76" customFormat="false" ht="15" hidden="false" customHeight="false" outlineLevel="0" collapsed="false">
      <c r="A76" s="71" t="s">
        <v>1021</v>
      </c>
      <c r="B76" s="71" t="s">
        <v>639</v>
      </c>
      <c r="C76" s="71" t="s">
        <v>26</v>
      </c>
      <c r="D76" s="71" t="s">
        <v>993</v>
      </c>
      <c r="F76" s="71" t="s">
        <v>142</v>
      </c>
      <c r="G76" s="72" t="n">
        <v>45924</v>
      </c>
      <c r="H76" s="71" t="s">
        <v>132</v>
      </c>
      <c r="I76" s="71" t="s">
        <v>951</v>
      </c>
      <c r="J76" s="71" t="n">
        <v>1</v>
      </c>
      <c r="M76" s="71" t="n">
        <v>1</v>
      </c>
    </row>
    <row r="77" customFormat="false" ht="15" hidden="false" customHeight="false" outlineLevel="0" collapsed="false">
      <c r="A77" s="71" t="s">
        <v>541</v>
      </c>
      <c r="B77" s="71" t="s">
        <v>542</v>
      </c>
      <c r="C77" s="71" t="s">
        <v>1002</v>
      </c>
      <c r="D77" s="71" t="s">
        <v>142</v>
      </c>
      <c r="E77" s="71" t="s">
        <v>948</v>
      </c>
      <c r="F77" s="71" t="s">
        <v>142</v>
      </c>
      <c r="G77" s="72" t="n">
        <v>45925</v>
      </c>
      <c r="H77" s="71" t="s">
        <v>132</v>
      </c>
      <c r="I77" s="71" t="s">
        <v>951</v>
      </c>
      <c r="J77" s="71" t="n">
        <v>1</v>
      </c>
      <c r="K77" s="71" t="n">
        <v>1</v>
      </c>
      <c r="L77" s="71" t="n">
        <v>1</v>
      </c>
    </row>
    <row r="78" customFormat="false" ht="15" hidden="false" customHeight="false" outlineLevel="0" collapsed="false">
      <c r="A78" s="71" t="s">
        <v>862</v>
      </c>
      <c r="B78" s="71" t="s">
        <v>863</v>
      </c>
      <c r="C78" s="71" t="s">
        <v>29</v>
      </c>
      <c r="I78" s="71" t="s">
        <v>951</v>
      </c>
      <c r="J78" s="71" t="n">
        <v>1</v>
      </c>
      <c r="K78" s="71" t="n">
        <v>1</v>
      </c>
      <c r="L78" s="71" t="n">
        <v>1</v>
      </c>
      <c r="M78" s="71" t="n">
        <v>1</v>
      </c>
    </row>
    <row r="79" customFormat="false" ht="15" hidden="false" customHeight="false" outlineLevel="0" collapsed="false">
      <c r="A79" s="71" t="s">
        <v>536</v>
      </c>
      <c r="B79" s="71" t="s">
        <v>537</v>
      </c>
      <c r="C79" s="71" t="s">
        <v>1002</v>
      </c>
      <c r="I79" s="71" t="s">
        <v>951</v>
      </c>
      <c r="J79" s="71" t="n">
        <v>1</v>
      </c>
      <c r="K79" s="71" t="n">
        <v>1</v>
      </c>
      <c r="L79" s="71" t="n">
        <v>1</v>
      </c>
      <c r="M79" s="71" t="n">
        <v>1</v>
      </c>
    </row>
    <row r="80" customFormat="false" ht="15" hidden="false" customHeight="false" outlineLevel="0" collapsed="false">
      <c r="A80" s="71" t="s">
        <v>159</v>
      </c>
      <c r="B80" s="71" t="s">
        <v>160</v>
      </c>
      <c r="C80" s="71" t="s">
        <v>31</v>
      </c>
      <c r="I80" s="71" t="s">
        <v>951</v>
      </c>
      <c r="J80" s="71" t="n">
        <v>1</v>
      </c>
      <c r="K80" s="71" t="n">
        <v>1</v>
      </c>
      <c r="L80" s="71" t="n">
        <v>1</v>
      </c>
      <c r="M80" s="71" t="n">
        <v>1</v>
      </c>
    </row>
    <row r="81" customFormat="false" ht="15" hidden="false" customHeight="false" outlineLevel="0" collapsed="false">
      <c r="A81" s="71" t="s">
        <v>372</v>
      </c>
      <c r="B81" s="71" t="s">
        <v>373</v>
      </c>
      <c r="C81" s="71" t="s">
        <v>34</v>
      </c>
      <c r="I81" s="71" t="s">
        <v>951</v>
      </c>
      <c r="J81" s="71" t="n">
        <v>1</v>
      </c>
      <c r="K81" s="71" t="n">
        <v>1</v>
      </c>
      <c r="L81" s="71" t="n">
        <v>1</v>
      </c>
      <c r="M81" s="71" t="n">
        <v>1</v>
      </c>
    </row>
    <row r="82" customFormat="false" ht="15" hidden="false" customHeight="false" outlineLevel="0" collapsed="false">
      <c r="A82" s="71" t="s">
        <v>1022</v>
      </c>
      <c r="B82" s="71" t="s">
        <v>158</v>
      </c>
      <c r="C82" s="71" t="s">
        <v>31</v>
      </c>
      <c r="I82" s="71" t="s">
        <v>951</v>
      </c>
      <c r="J82" s="71" t="n">
        <v>1</v>
      </c>
    </row>
    <row r="83" customFormat="false" ht="15" hidden="false" customHeight="false" outlineLevel="0" collapsed="false">
      <c r="A83" s="71" t="s">
        <v>155</v>
      </c>
      <c r="B83" s="71" t="s">
        <v>156</v>
      </c>
      <c r="C83" s="71" t="s">
        <v>31</v>
      </c>
      <c r="D83" s="71" t="s">
        <v>993</v>
      </c>
      <c r="F83" s="71" t="s">
        <v>142</v>
      </c>
      <c r="G83" s="72" t="n">
        <v>45923</v>
      </c>
      <c r="H83" s="71" t="s">
        <v>132</v>
      </c>
      <c r="I83" s="71" t="s">
        <v>951</v>
      </c>
      <c r="J83" s="71" t="n">
        <v>1</v>
      </c>
      <c r="K83" s="71" t="s">
        <v>993</v>
      </c>
    </row>
    <row r="84" customFormat="false" ht="15" hidden="false" customHeight="false" outlineLevel="0" collapsed="false">
      <c r="A84" s="71" t="s">
        <v>860</v>
      </c>
      <c r="B84" s="71" t="s">
        <v>861</v>
      </c>
      <c r="C84" s="71" t="s">
        <v>29</v>
      </c>
      <c r="D84" s="71" t="s">
        <v>142</v>
      </c>
      <c r="E84" s="71" t="s">
        <v>948</v>
      </c>
      <c r="F84" s="71" t="s">
        <v>132</v>
      </c>
      <c r="G84" s="71" t="s">
        <v>991</v>
      </c>
      <c r="H84" s="71" t="s">
        <v>132</v>
      </c>
      <c r="I84" s="71" t="s">
        <v>951</v>
      </c>
      <c r="J84" s="71" t="n">
        <v>1</v>
      </c>
    </row>
    <row r="85" customFormat="false" ht="15" hidden="false" customHeight="false" outlineLevel="0" collapsed="false">
      <c r="A85" s="71" t="s">
        <v>319</v>
      </c>
      <c r="B85" s="71" t="s">
        <v>320</v>
      </c>
      <c r="C85" s="71" t="s">
        <v>998</v>
      </c>
      <c r="D85" s="71" t="s">
        <v>142</v>
      </c>
      <c r="E85" s="71" t="s">
        <v>948</v>
      </c>
      <c r="F85" s="71" t="s">
        <v>142</v>
      </c>
      <c r="G85" s="72" t="n">
        <v>45985</v>
      </c>
      <c r="H85" s="71" t="s">
        <v>142</v>
      </c>
      <c r="I85" s="71" t="s">
        <v>951</v>
      </c>
      <c r="J85" s="71" t="n">
        <v>1</v>
      </c>
      <c r="K85" s="71" t="s">
        <v>993</v>
      </c>
    </row>
    <row r="86" customFormat="false" ht="15" hidden="false" customHeight="false" outlineLevel="0" collapsed="false">
      <c r="A86" s="71" t="s">
        <v>153</v>
      </c>
      <c r="B86" s="71" t="s">
        <v>154</v>
      </c>
      <c r="C86" s="71" t="s">
        <v>31</v>
      </c>
      <c r="D86" s="71" t="s">
        <v>142</v>
      </c>
      <c r="E86" s="71" t="s">
        <v>948</v>
      </c>
      <c r="F86" s="71" t="s">
        <v>132</v>
      </c>
      <c r="G86" s="71" t="s">
        <v>991</v>
      </c>
      <c r="H86" s="71" t="s">
        <v>132</v>
      </c>
      <c r="I86" s="71" t="s">
        <v>951</v>
      </c>
      <c r="J86" s="71" t="n">
        <v>1</v>
      </c>
      <c r="K86" s="71" t="s">
        <v>57</v>
      </c>
      <c r="L86" s="71" t="n">
        <v>1</v>
      </c>
    </row>
    <row r="87" customFormat="false" ht="15" hidden="false" customHeight="false" outlineLevel="0" collapsed="false">
      <c r="A87" s="71" t="s">
        <v>534</v>
      </c>
      <c r="B87" s="71" t="s">
        <v>1023</v>
      </c>
      <c r="C87" s="71" t="s">
        <v>1002</v>
      </c>
      <c r="D87" s="71" t="s">
        <v>142</v>
      </c>
      <c r="E87" s="71" t="s">
        <v>948</v>
      </c>
      <c r="F87" s="71" t="s">
        <v>132</v>
      </c>
      <c r="G87" s="71" t="s">
        <v>991</v>
      </c>
      <c r="H87" s="71" t="s">
        <v>132</v>
      </c>
      <c r="I87" s="71" t="s">
        <v>951</v>
      </c>
      <c r="J87" s="71" t="n">
        <v>1</v>
      </c>
      <c r="K87" s="71" t="n">
        <v>1</v>
      </c>
      <c r="L87" s="71" t="n">
        <v>1</v>
      </c>
    </row>
    <row r="88" customFormat="false" ht="15" hidden="false" customHeight="false" outlineLevel="0" collapsed="false">
      <c r="A88" s="71" t="s">
        <v>151</v>
      </c>
      <c r="B88" s="71" t="s">
        <v>1024</v>
      </c>
      <c r="C88" s="71" t="s">
        <v>31</v>
      </c>
      <c r="I88" s="71" t="s">
        <v>951</v>
      </c>
      <c r="J88" s="71" t="n">
        <v>1</v>
      </c>
      <c r="K88" s="71" t="s">
        <v>57</v>
      </c>
      <c r="L88" s="71" t="n">
        <v>1</v>
      </c>
    </row>
    <row r="89" customFormat="false" ht="15" hidden="false" customHeight="false" outlineLevel="0" collapsed="false">
      <c r="A89" s="71" t="s">
        <v>370</v>
      </c>
      <c r="B89" s="71" t="s">
        <v>371</v>
      </c>
      <c r="C89" s="71" t="s">
        <v>34</v>
      </c>
      <c r="I89" s="71" t="s">
        <v>951</v>
      </c>
      <c r="J89" s="71" t="n">
        <v>1</v>
      </c>
      <c r="K89" s="71" t="n">
        <v>1</v>
      </c>
      <c r="L89" s="71" t="n">
        <v>1</v>
      </c>
    </row>
    <row r="90" customFormat="false" ht="15" hidden="false" customHeight="false" outlineLevel="0" collapsed="false">
      <c r="A90" s="71" t="s">
        <v>858</v>
      </c>
      <c r="B90" s="71" t="s">
        <v>859</v>
      </c>
      <c r="C90" s="71" t="s">
        <v>1004</v>
      </c>
      <c r="I90" s="71" t="s">
        <v>951</v>
      </c>
      <c r="J90" s="71" t="n">
        <v>1</v>
      </c>
      <c r="K90" s="71" t="n">
        <v>1</v>
      </c>
      <c r="L90" s="71" t="n">
        <v>1</v>
      </c>
    </row>
    <row r="91" customFormat="false" ht="15" hidden="false" customHeight="false" outlineLevel="0" collapsed="false">
      <c r="A91" s="71" t="s">
        <v>855</v>
      </c>
      <c r="B91" s="71" t="s">
        <v>856</v>
      </c>
      <c r="C91" s="71" t="s">
        <v>29</v>
      </c>
      <c r="D91" s="71" t="s">
        <v>142</v>
      </c>
      <c r="E91" s="71" t="s">
        <v>948</v>
      </c>
      <c r="F91" s="71" t="s">
        <v>142</v>
      </c>
      <c r="G91" s="72" t="n">
        <v>45995</v>
      </c>
      <c r="H91" s="71" t="s">
        <v>142</v>
      </c>
      <c r="I91" s="71" t="s">
        <v>951</v>
      </c>
      <c r="J91" s="71" t="n">
        <v>1</v>
      </c>
      <c r="K91" s="71" t="n">
        <v>1</v>
      </c>
      <c r="L91" s="71" t="n">
        <v>1</v>
      </c>
    </row>
    <row r="92" customFormat="false" ht="15" hidden="false" customHeight="false" outlineLevel="0" collapsed="false">
      <c r="A92" s="71" t="s">
        <v>853</v>
      </c>
      <c r="B92" s="71" t="s">
        <v>854</v>
      </c>
      <c r="C92" s="71" t="s">
        <v>29</v>
      </c>
      <c r="D92" s="71" t="s">
        <v>142</v>
      </c>
      <c r="E92" s="71" t="s">
        <v>948</v>
      </c>
      <c r="F92" s="71" t="s">
        <v>132</v>
      </c>
      <c r="G92" s="71" t="s">
        <v>991</v>
      </c>
      <c r="H92" s="71" t="s">
        <v>132</v>
      </c>
      <c r="I92" s="71" t="s">
        <v>951</v>
      </c>
      <c r="J92" s="71" t="n">
        <v>1</v>
      </c>
    </row>
    <row r="93" customFormat="false" ht="15" hidden="false" customHeight="false" outlineLevel="0" collapsed="false">
      <c r="A93" s="71" t="s">
        <v>532</v>
      </c>
      <c r="B93" s="71" t="s">
        <v>533</v>
      </c>
      <c r="C93" s="71" t="s">
        <v>1002</v>
      </c>
      <c r="D93" s="71" t="s">
        <v>993</v>
      </c>
      <c r="F93" s="71" t="s">
        <v>142</v>
      </c>
      <c r="G93" s="72" t="n">
        <v>45988</v>
      </c>
      <c r="H93" s="71" t="s">
        <v>132</v>
      </c>
      <c r="I93" s="71" t="s">
        <v>951</v>
      </c>
      <c r="J93" s="71" t="n">
        <v>1</v>
      </c>
      <c r="K93" s="71" t="s">
        <v>993</v>
      </c>
    </row>
    <row r="94" customFormat="false" ht="15" hidden="false" customHeight="false" outlineLevel="0" collapsed="false">
      <c r="A94" s="71" t="s">
        <v>149</v>
      </c>
      <c r="B94" s="71" t="s">
        <v>150</v>
      </c>
      <c r="C94" s="71" t="s">
        <v>31</v>
      </c>
      <c r="I94" s="71" t="s">
        <v>951</v>
      </c>
      <c r="J94" s="71" t="n">
        <v>1</v>
      </c>
      <c r="K94" s="71" t="n">
        <v>1</v>
      </c>
      <c r="L94" s="71" t="n">
        <v>1</v>
      </c>
    </row>
    <row r="95" customFormat="false" ht="15" hidden="false" customHeight="false" outlineLevel="0" collapsed="false">
      <c r="A95" s="71" t="s">
        <v>850</v>
      </c>
      <c r="B95" s="71" t="s">
        <v>1025</v>
      </c>
      <c r="C95" s="71" t="s">
        <v>1004</v>
      </c>
      <c r="I95" s="71" t="s">
        <v>951</v>
      </c>
      <c r="J95" s="71" t="n">
        <v>1</v>
      </c>
      <c r="K95" s="71" t="s">
        <v>993</v>
      </c>
      <c r="M95" s="71" t="n">
        <v>1</v>
      </c>
    </row>
    <row r="96" customFormat="false" ht="15" hidden="false" customHeight="false" outlineLevel="0" collapsed="false">
      <c r="A96" s="71" t="s">
        <v>147</v>
      </c>
      <c r="B96" s="71" t="s">
        <v>148</v>
      </c>
      <c r="C96" s="71" t="s">
        <v>31</v>
      </c>
      <c r="D96" s="71" t="s">
        <v>142</v>
      </c>
      <c r="E96" s="71" t="s">
        <v>948</v>
      </c>
      <c r="F96" s="71" t="s">
        <v>142</v>
      </c>
      <c r="G96" s="72" t="n">
        <v>45918</v>
      </c>
      <c r="H96" s="71" t="s">
        <v>132</v>
      </c>
      <c r="I96" s="71" t="s">
        <v>951</v>
      </c>
      <c r="J96" s="71" t="n">
        <v>1</v>
      </c>
      <c r="K96" s="71" t="n">
        <v>1</v>
      </c>
      <c r="L96" s="71" t="n">
        <v>1</v>
      </c>
    </row>
    <row r="97" customFormat="false" ht="15" hidden="false" customHeight="false" outlineLevel="0" collapsed="false">
      <c r="A97" s="71" t="s">
        <v>315</v>
      </c>
      <c r="B97" s="71" t="s">
        <v>316</v>
      </c>
      <c r="C97" s="71" t="s">
        <v>998</v>
      </c>
      <c r="I97" s="71" t="s">
        <v>951</v>
      </c>
      <c r="J97" s="71" t="n">
        <v>1</v>
      </c>
      <c r="K97" s="71" t="n">
        <v>1</v>
      </c>
      <c r="L97" s="71" t="n">
        <v>1</v>
      </c>
      <c r="M97" s="71" t="n">
        <v>1</v>
      </c>
    </row>
    <row r="98" customFormat="false" ht="15" hidden="false" customHeight="false" outlineLevel="0" collapsed="false">
      <c r="A98" s="71" t="s">
        <v>530</v>
      </c>
      <c r="B98" s="71" t="s">
        <v>531</v>
      </c>
      <c r="C98" s="71" t="s">
        <v>1002</v>
      </c>
      <c r="I98" s="71" t="s">
        <v>951</v>
      </c>
      <c r="J98" s="71" t="n">
        <v>1</v>
      </c>
      <c r="K98" s="71" t="n">
        <v>1</v>
      </c>
      <c r="L98" s="71" t="n">
        <v>1</v>
      </c>
    </row>
    <row r="99" customFormat="false" ht="15" hidden="false" customHeight="false" outlineLevel="0" collapsed="false">
      <c r="A99" s="71" t="s">
        <v>528</v>
      </c>
      <c r="B99" s="71" t="s">
        <v>529</v>
      </c>
      <c r="C99" s="71" t="s">
        <v>1002</v>
      </c>
      <c r="D99" s="71" t="s">
        <v>993</v>
      </c>
      <c r="F99" s="71" t="s">
        <v>132</v>
      </c>
      <c r="G99" s="71" t="s">
        <v>991</v>
      </c>
      <c r="H99" s="71" t="s">
        <v>132</v>
      </c>
      <c r="I99" s="71" t="s">
        <v>951</v>
      </c>
      <c r="J99" s="71" t="s">
        <v>956</v>
      </c>
      <c r="M99" s="71" t="n">
        <v>1</v>
      </c>
    </row>
    <row r="100" customFormat="false" ht="15" hidden="false" customHeight="false" outlineLevel="0" collapsed="false">
      <c r="A100" s="71" t="s">
        <v>524</v>
      </c>
      <c r="B100" s="71" t="s">
        <v>525</v>
      </c>
      <c r="C100" s="71" t="s">
        <v>1002</v>
      </c>
      <c r="D100" s="71" t="s">
        <v>993</v>
      </c>
      <c r="F100" s="71" t="s">
        <v>142</v>
      </c>
      <c r="G100" s="72" t="n">
        <v>45988</v>
      </c>
      <c r="H100" s="71" t="s">
        <v>132</v>
      </c>
      <c r="I100" s="71" t="s">
        <v>951</v>
      </c>
    </row>
    <row r="101" customFormat="false" ht="15" hidden="false" customHeight="false" outlineLevel="0" collapsed="false">
      <c r="A101" s="71" t="s">
        <v>847</v>
      </c>
      <c r="B101" s="71" t="s">
        <v>848</v>
      </c>
      <c r="C101" s="71" t="s">
        <v>29</v>
      </c>
      <c r="D101" s="71" t="s">
        <v>142</v>
      </c>
      <c r="E101" s="71" t="s">
        <v>948</v>
      </c>
      <c r="F101" s="71" t="s">
        <v>132</v>
      </c>
      <c r="G101" s="72" t="n">
        <v>45734</v>
      </c>
      <c r="H101" s="71" t="s">
        <v>142</v>
      </c>
      <c r="I101" s="71" t="s">
        <v>951</v>
      </c>
      <c r="J101" s="71" t="n">
        <v>1</v>
      </c>
      <c r="K101" s="71" t="s">
        <v>993</v>
      </c>
    </row>
    <row r="102" customFormat="false" ht="15" hidden="false" customHeight="false" outlineLevel="0" collapsed="false">
      <c r="A102" s="71" t="s">
        <v>294</v>
      </c>
      <c r="B102" s="71" t="s">
        <v>295</v>
      </c>
      <c r="C102" s="71" t="s">
        <v>1026</v>
      </c>
      <c r="D102" s="71" t="s">
        <v>142</v>
      </c>
      <c r="E102" s="71" t="s">
        <v>948</v>
      </c>
      <c r="F102" s="71" t="s">
        <v>142</v>
      </c>
      <c r="G102" s="72" t="n">
        <v>45989</v>
      </c>
      <c r="H102" s="71" t="s">
        <v>132</v>
      </c>
      <c r="I102" s="71" t="s">
        <v>951</v>
      </c>
      <c r="J102" s="71" t="n">
        <v>1</v>
      </c>
      <c r="K102" s="71" t="s">
        <v>993</v>
      </c>
      <c r="M102" s="71" t="n">
        <v>1</v>
      </c>
    </row>
    <row r="103" customFormat="false" ht="15" hidden="false" customHeight="false" outlineLevel="0" collapsed="false">
      <c r="A103" s="71" t="s">
        <v>519</v>
      </c>
      <c r="B103" s="71" t="s">
        <v>520</v>
      </c>
      <c r="C103" s="71" t="s">
        <v>1002</v>
      </c>
      <c r="I103" s="71" t="s">
        <v>951</v>
      </c>
      <c r="J103" s="71" t="n">
        <v>1</v>
      </c>
      <c r="K103" s="71" t="n">
        <v>1</v>
      </c>
      <c r="L103" s="71" t="n">
        <v>1</v>
      </c>
      <c r="M103" s="71" t="n">
        <v>1</v>
      </c>
    </row>
    <row r="104" customFormat="false" ht="15" hidden="false" customHeight="false" outlineLevel="0" collapsed="false">
      <c r="A104" s="71" t="s">
        <v>368</v>
      </c>
      <c r="B104" s="71" t="s">
        <v>369</v>
      </c>
      <c r="C104" s="71" t="s">
        <v>34</v>
      </c>
      <c r="D104" s="71" t="s">
        <v>142</v>
      </c>
      <c r="E104" s="71" t="s">
        <v>948</v>
      </c>
      <c r="F104" s="71" t="s">
        <v>132</v>
      </c>
      <c r="G104" s="71" t="s">
        <v>991</v>
      </c>
      <c r="H104" s="71" t="s">
        <v>132</v>
      </c>
      <c r="I104" s="71" t="s">
        <v>951</v>
      </c>
      <c r="J104" s="71" t="n">
        <v>1</v>
      </c>
      <c r="K104" s="71" t="n">
        <v>1</v>
      </c>
      <c r="L104" s="71" t="n">
        <v>1</v>
      </c>
      <c r="M104" s="71" t="n">
        <v>1</v>
      </c>
    </row>
    <row r="105" customFormat="false" ht="15" hidden="false" customHeight="false" outlineLevel="0" collapsed="false">
      <c r="A105" s="71" t="s">
        <v>811</v>
      </c>
      <c r="B105" s="71" t="s">
        <v>812</v>
      </c>
      <c r="C105" s="71" t="s">
        <v>33</v>
      </c>
      <c r="D105" s="71" t="s">
        <v>142</v>
      </c>
      <c r="E105" s="71" t="s">
        <v>948</v>
      </c>
      <c r="F105" s="71" t="s">
        <v>142</v>
      </c>
      <c r="G105" s="72" t="n">
        <v>45897</v>
      </c>
      <c r="H105" s="71" t="s">
        <v>132</v>
      </c>
      <c r="I105" s="71" t="s">
        <v>951</v>
      </c>
      <c r="J105" s="71" t="s">
        <v>299</v>
      </c>
      <c r="M105" s="71" t="n">
        <v>1</v>
      </c>
    </row>
    <row r="106" customFormat="false" ht="15" hidden="false" customHeight="false" outlineLevel="0" collapsed="false">
      <c r="A106" s="71" t="s">
        <v>591</v>
      </c>
      <c r="B106" s="71" t="s">
        <v>592</v>
      </c>
      <c r="C106" s="71" t="s">
        <v>26</v>
      </c>
      <c r="I106" s="71" t="s">
        <v>951</v>
      </c>
      <c r="J106" s="71" t="n">
        <v>1</v>
      </c>
      <c r="K106" s="71" t="n">
        <v>1</v>
      </c>
      <c r="L106" s="71" t="n">
        <v>1</v>
      </c>
    </row>
    <row r="107" customFormat="false" ht="15" hidden="false" customHeight="false" outlineLevel="0" collapsed="false">
      <c r="A107" s="71" t="s">
        <v>517</v>
      </c>
      <c r="B107" s="71" t="s">
        <v>518</v>
      </c>
      <c r="C107" s="71" t="s">
        <v>1002</v>
      </c>
      <c r="I107" s="71" t="s">
        <v>951</v>
      </c>
      <c r="J107" s="71" t="n">
        <v>1</v>
      </c>
      <c r="K107" s="71" t="n">
        <v>1</v>
      </c>
      <c r="L107" s="71" t="n">
        <v>1</v>
      </c>
      <c r="M107" s="71" t="n">
        <v>1</v>
      </c>
    </row>
    <row r="108" customFormat="false" ht="15" hidden="false" customHeight="false" outlineLevel="0" collapsed="false">
      <c r="A108" s="71" t="s">
        <v>144</v>
      </c>
      <c r="B108" s="71" t="s">
        <v>145</v>
      </c>
      <c r="C108" s="71" t="s">
        <v>31</v>
      </c>
      <c r="D108" s="71" t="s">
        <v>993</v>
      </c>
      <c r="F108" s="71" t="s">
        <v>142</v>
      </c>
      <c r="G108" s="72" t="n">
        <v>45923</v>
      </c>
      <c r="H108" s="71" t="s">
        <v>132</v>
      </c>
      <c r="I108" s="71" t="s">
        <v>951</v>
      </c>
      <c r="J108" s="71" t="n">
        <v>1</v>
      </c>
      <c r="K108" s="71" t="s">
        <v>993</v>
      </c>
      <c r="M108" s="71" t="n">
        <v>1</v>
      </c>
    </row>
    <row r="109" customFormat="false" ht="15" hidden="false" customHeight="false" outlineLevel="0" collapsed="false">
      <c r="A109" s="71" t="s">
        <v>300</v>
      </c>
      <c r="B109" s="71" t="s">
        <v>301</v>
      </c>
      <c r="C109" s="71" t="s">
        <v>38</v>
      </c>
      <c r="D109" s="71" t="s">
        <v>993</v>
      </c>
      <c r="F109" s="71" t="s">
        <v>132</v>
      </c>
      <c r="G109" s="72" t="n">
        <v>45412</v>
      </c>
      <c r="H109" s="71" t="s">
        <v>1027</v>
      </c>
      <c r="I109" s="71" t="s">
        <v>951</v>
      </c>
      <c r="J109" s="71" t="s">
        <v>956</v>
      </c>
      <c r="M109" s="71" t="n">
        <v>1</v>
      </c>
    </row>
    <row r="110" customFormat="false" ht="15" hidden="false" customHeight="false" outlineLevel="0" collapsed="false">
      <c r="A110" s="71" t="s">
        <v>297</v>
      </c>
      <c r="B110" s="71" t="s">
        <v>298</v>
      </c>
      <c r="C110" s="71" t="s">
        <v>38</v>
      </c>
      <c r="D110" s="71" t="s">
        <v>993</v>
      </c>
      <c r="F110" s="71" t="s">
        <v>132</v>
      </c>
      <c r="G110" s="72" t="n">
        <v>45412</v>
      </c>
      <c r="H110" s="71" t="s">
        <v>1027</v>
      </c>
      <c r="I110" s="71" t="s">
        <v>951</v>
      </c>
      <c r="J110" s="71" t="s">
        <v>956</v>
      </c>
    </row>
    <row r="111" customFormat="false" ht="15" hidden="false" customHeight="false" outlineLevel="0" collapsed="false">
      <c r="A111" s="71" t="s">
        <v>512</v>
      </c>
      <c r="B111" s="71" t="s">
        <v>513</v>
      </c>
      <c r="C111" s="71" t="s">
        <v>1002</v>
      </c>
      <c r="D111" s="71" t="s">
        <v>993</v>
      </c>
      <c r="F111" s="71" t="s">
        <v>142</v>
      </c>
      <c r="G111" s="72" t="n">
        <v>45912</v>
      </c>
      <c r="H111" s="71" t="s">
        <v>132</v>
      </c>
      <c r="I111" s="71" t="s">
        <v>951</v>
      </c>
      <c r="J111" s="71" t="n">
        <v>1</v>
      </c>
      <c r="K111" s="71" t="n">
        <v>1</v>
      </c>
      <c r="L111" s="71" t="n">
        <v>1</v>
      </c>
    </row>
    <row r="112" customFormat="false" ht="15" hidden="false" customHeight="false" outlineLevel="0" collapsed="false">
      <c r="A112" s="71" t="s">
        <v>205</v>
      </c>
      <c r="B112" s="71" t="s">
        <v>206</v>
      </c>
      <c r="C112" s="71" t="s">
        <v>995</v>
      </c>
      <c r="D112" s="71" t="s">
        <v>993</v>
      </c>
      <c r="F112" s="71" t="s">
        <v>142</v>
      </c>
      <c r="G112" s="72" t="n">
        <v>45954</v>
      </c>
      <c r="H112" s="71" t="s">
        <v>132</v>
      </c>
      <c r="I112" s="71" t="s">
        <v>951</v>
      </c>
      <c r="J112" s="71" t="n">
        <v>1</v>
      </c>
      <c r="K112" s="71" t="s">
        <v>993</v>
      </c>
    </row>
    <row r="113" customFormat="false" ht="15" hidden="false" customHeight="false" outlineLevel="0" collapsed="false">
      <c r="A113" s="71" t="s">
        <v>807</v>
      </c>
      <c r="B113" s="71" t="s">
        <v>808</v>
      </c>
      <c r="C113" s="71" t="s">
        <v>33</v>
      </c>
      <c r="D113" s="71" t="s">
        <v>132</v>
      </c>
      <c r="F113" s="71" t="s">
        <v>132</v>
      </c>
      <c r="G113" s="71" t="s">
        <v>1001</v>
      </c>
      <c r="H113" s="71" t="s">
        <v>132</v>
      </c>
      <c r="I113" s="71" t="s">
        <v>951</v>
      </c>
      <c r="J113" s="71" t="n">
        <v>1</v>
      </c>
      <c r="K113" s="71" t="n">
        <v>1</v>
      </c>
      <c r="L113" s="71" t="n">
        <v>1</v>
      </c>
      <c r="M113" s="71" t="n">
        <v>1</v>
      </c>
    </row>
    <row r="114" customFormat="false" ht="15" hidden="false" customHeight="false" outlineLevel="0" collapsed="false">
      <c r="A114" s="71" t="s">
        <v>203</v>
      </c>
      <c r="B114" s="71" t="s">
        <v>204</v>
      </c>
      <c r="C114" s="71" t="s">
        <v>995</v>
      </c>
      <c r="D114" s="71" t="s">
        <v>993</v>
      </c>
      <c r="F114" s="71" t="s">
        <v>142</v>
      </c>
      <c r="G114" s="72" t="n">
        <v>46007</v>
      </c>
      <c r="H114" s="71" t="s">
        <v>142</v>
      </c>
      <c r="I114" s="71" t="s">
        <v>951</v>
      </c>
      <c r="J114" s="71" t="n">
        <v>1</v>
      </c>
      <c r="K114" s="71" t="n">
        <v>1</v>
      </c>
      <c r="L114" s="71" t="n">
        <v>1</v>
      </c>
    </row>
    <row r="115" customFormat="false" ht="15" hidden="false" customHeight="false" outlineLevel="0" collapsed="false">
      <c r="A115" s="71" t="s">
        <v>201</v>
      </c>
      <c r="B115" s="71" t="s">
        <v>202</v>
      </c>
      <c r="C115" s="71" t="s">
        <v>995</v>
      </c>
      <c r="I115" s="71" t="s">
        <v>951</v>
      </c>
      <c r="J115" s="71" t="n">
        <v>1</v>
      </c>
      <c r="K115" s="71" t="n">
        <v>1</v>
      </c>
      <c r="L115" s="71" t="n">
        <v>1</v>
      </c>
    </row>
    <row r="116" customFormat="false" ht="15" hidden="false" customHeight="false" outlineLevel="0" collapsed="false">
      <c r="A116" s="71" t="s">
        <v>845</v>
      </c>
      <c r="B116" s="71" t="s">
        <v>846</v>
      </c>
      <c r="C116" s="71" t="s">
        <v>29</v>
      </c>
      <c r="D116" s="71" t="s">
        <v>142</v>
      </c>
      <c r="E116" s="71" t="s">
        <v>948</v>
      </c>
      <c r="F116" s="71" t="s">
        <v>132</v>
      </c>
      <c r="G116" s="71" t="s">
        <v>991</v>
      </c>
      <c r="H116" s="71" t="s">
        <v>132</v>
      </c>
      <c r="I116" s="71" t="s">
        <v>951</v>
      </c>
      <c r="J116" s="71" t="n">
        <v>1</v>
      </c>
    </row>
    <row r="117" customFormat="false" ht="15" hidden="false" customHeight="false" outlineLevel="0" collapsed="false">
      <c r="A117" s="71" t="s">
        <v>129</v>
      </c>
      <c r="B117" s="71" t="s">
        <v>130</v>
      </c>
      <c r="C117" s="71" t="s">
        <v>1015</v>
      </c>
      <c r="I117" s="71" t="s">
        <v>951</v>
      </c>
      <c r="J117" s="71" t="n">
        <v>1</v>
      </c>
      <c r="K117" s="71" t="n">
        <v>1</v>
      </c>
      <c r="L117" s="71" t="n">
        <v>1</v>
      </c>
      <c r="M117" s="71" t="n">
        <v>1</v>
      </c>
    </row>
    <row r="118" customFormat="false" ht="15" hidden="false" customHeight="false" outlineLevel="0" collapsed="false">
      <c r="A118" s="71" t="s">
        <v>366</v>
      </c>
      <c r="B118" s="71" t="s">
        <v>367</v>
      </c>
      <c r="C118" s="71" t="s">
        <v>34</v>
      </c>
      <c r="D118" s="71" t="s">
        <v>132</v>
      </c>
      <c r="F118" s="71" t="s">
        <v>142</v>
      </c>
      <c r="G118" s="72" t="n">
        <v>46056</v>
      </c>
      <c r="H118" s="71" t="s">
        <v>132</v>
      </c>
      <c r="I118" s="71" t="s">
        <v>951</v>
      </c>
      <c r="J118" s="71" t="n">
        <v>1</v>
      </c>
      <c r="K118" s="71" t="n">
        <v>1</v>
      </c>
      <c r="L118" s="71" t="n">
        <v>1</v>
      </c>
      <c r="M118" s="71" t="n">
        <v>1</v>
      </c>
    </row>
    <row r="119" customFormat="false" ht="15" hidden="false" customHeight="false" outlineLevel="0" collapsed="false">
      <c r="A119" s="71" t="s">
        <v>842</v>
      </c>
      <c r="B119" s="71" t="s">
        <v>1028</v>
      </c>
      <c r="C119" s="71" t="s">
        <v>29</v>
      </c>
      <c r="I119" s="71" t="s">
        <v>951</v>
      </c>
      <c r="J119" s="71" t="n">
        <v>1</v>
      </c>
      <c r="M119" s="71" t="n">
        <v>1</v>
      </c>
    </row>
    <row r="120" customFormat="false" ht="15" hidden="false" customHeight="false" outlineLevel="0" collapsed="false">
      <c r="A120" s="71" t="s">
        <v>840</v>
      </c>
      <c r="B120" s="71" t="s">
        <v>841</v>
      </c>
      <c r="C120" s="71" t="s">
        <v>29</v>
      </c>
      <c r="D120" s="71" t="s">
        <v>142</v>
      </c>
      <c r="E120" s="71" t="s">
        <v>948</v>
      </c>
      <c r="F120" s="71" t="s">
        <v>132</v>
      </c>
      <c r="G120" s="72" t="n">
        <v>45552</v>
      </c>
      <c r="H120" s="71" t="s">
        <v>132</v>
      </c>
      <c r="I120" s="71" t="s">
        <v>951</v>
      </c>
      <c r="J120" s="71" t="n">
        <v>1</v>
      </c>
      <c r="K120" s="71" t="n">
        <v>1</v>
      </c>
      <c r="L120" s="71" t="n">
        <v>1</v>
      </c>
      <c r="M120" s="71" t="n">
        <v>1</v>
      </c>
    </row>
    <row r="121" customFormat="false" ht="15" hidden="false" customHeight="false" outlineLevel="0" collapsed="false">
      <c r="A121" s="71" t="s">
        <v>1029</v>
      </c>
      <c r="B121" s="71" t="s">
        <v>365</v>
      </c>
      <c r="C121" s="71" t="s">
        <v>34</v>
      </c>
      <c r="D121" s="71" t="s">
        <v>993</v>
      </c>
      <c r="F121" s="71" t="s">
        <v>142</v>
      </c>
      <c r="G121" s="72" t="n">
        <v>45936</v>
      </c>
      <c r="H121" s="71" t="s">
        <v>132</v>
      </c>
      <c r="I121" s="71" t="s">
        <v>951</v>
      </c>
      <c r="J121" s="71" t="n">
        <v>1</v>
      </c>
      <c r="K121" s="71" t="n">
        <v>1</v>
      </c>
      <c r="L121" s="71" t="n">
        <v>1</v>
      </c>
      <c r="M121" s="71" t="n">
        <v>1</v>
      </c>
    </row>
    <row r="122" customFormat="false" ht="15" hidden="false" customHeight="false" outlineLevel="0" collapsed="false">
      <c r="A122" s="71" t="s">
        <v>197</v>
      </c>
      <c r="B122" s="71" t="s">
        <v>198</v>
      </c>
      <c r="C122" s="71" t="s">
        <v>995</v>
      </c>
      <c r="D122" s="71" t="s">
        <v>142</v>
      </c>
      <c r="E122" s="71" t="s">
        <v>948</v>
      </c>
      <c r="F122" s="71" t="s">
        <v>132</v>
      </c>
      <c r="G122" s="72" t="n">
        <v>45992</v>
      </c>
      <c r="H122" s="71" t="s">
        <v>132</v>
      </c>
      <c r="I122" s="71" t="s">
        <v>951</v>
      </c>
      <c r="J122" s="71" t="n">
        <v>1</v>
      </c>
      <c r="K122" s="71" t="n">
        <v>1</v>
      </c>
      <c r="L122" s="71" t="n">
        <v>1</v>
      </c>
      <c r="M122" s="71" t="n">
        <v>1</v>
      </c>
    </row>
    <row r="123" customFormat="false" ht="15" hidden="false" customHeight="false" outlineLevel="0" collapsed="false">
      <c r="A123" s="71" t="s">
        <v>509</v>
      </c>
      <c r="B123" s="71" t="s">
        <v>510</v>
      </c>
      <c r="C123" s="71" t="s">
        <v>1002</v>
      </c>
      <c r="D123" s="71" t="s">
        <v>132</v>
      </c>
      <c r="F123" s="71" t="s">
        <v>132</v>
      </c>
      <c r="G123" s="71" t="s">
        <v>1001</v>
      </c>
      <c r="H123" s="71" t="s">
        <v>132</v>
      </c>
      <c r="I123" s="71" t="s">
        <v>951</v>
      </c>
      <c r="J123" s="71" t="n">
        <v>1</v>
      </c>
      <c r="K123" s="71" t="n">
        <v>1</v>
      </c>
      <c r="L123" s="71" t="n">
        <v>1</v>
      </c>
      <c r="M123" s="71" t="n">
        <v>1</v>
      </c>
    </row>
    <row r="124" customFormat="false" ht="15" hidden="false" customHeight="false" outlineLevel="0" collapsed="false">
      <c r="A124" s="71" t="s">
        <v>139</v>
      </c>
      <c r="B124" s="71" t="s">
        <v>140</v>
      </c>
      <c r="C124" s="71" t="s">
        <v>31</v>
      </c>
      <c r="D124" s="71" t="s">
        <v>993</v>
      </c>
      <c r="F124" s="71" t="s">
        <v>142</v>
      </c>
      <c r="G124" s="72" t="n">
        <v>45918</v>
      </c>
      <c r="H124" s="71" t="s">
        <v>132</v>
      </c>
      <c r="I124" s="71" t="s">
        <v>951</v>
      </c>
      <c r="J124" s="71" t="n">
        <v>1</v>
      </c>
      <c r="M124" s="71" t="n">
        <v>1</v>
      </c>
    </row>
    <row r="125" customFormat="false" ht="15" hidden="false" customHeight="false" outlineLevel="0" collapsed="false">
      <c r="A125" s="71" t="s">
        <v>507</v>
      </c>
      <c r="B125" s="71" t="s">
        <v>508</v>
      </c>
      <c r="C125" s="71" t="s">
        <v>1002</v>
      </c>
      <c r="D125" s="71" t="s">
        <v>993</v>
      </c>
      <c r="F125" s="71" t="s">
        <v>142</v>
      </c>
      <c r="G125" s="72" t="n">
        <v>45922</v>
      </c>
      <c r="H125" s="71" t="s">
        <v>132</v>
      </c>
      <c r="I125" s="71" t="s">
        <v>951</v>
      </c>
      <c r="J125" s="71" t="n">
        <v>1</v>
      </c>
      <c r="K125" s="71" t="s">
        <v>993</v>
      </c>
      <c r="M125" s="71" t="n">
        <v>1</v>
      </c>
    </row>
    <row r="126" customFormat="false" ht="15" hidden="false" customHeight="false" outlineLevel="0" collapsed="false">
      <c r="A126" s="71" t="s">
        <v>306</v>
      </c>
      <c r="B126" s="71" t="s">
        <v>307</v>
      </c>
      <c r="C126" s="71" t="s">
        <v>1000</v>
      </c>
      <c r="D126" s="71" t="s">
        <v>142</v>
      </c>
      <c r="E126" s="71" t="s">
        <v>948</v>
      </c>
      <c r="F126" s="71" t="s">
        <v>132</v>
      </c>
      <c r="G126" s="71" t="s">
        <v>991</v>
      </c>
      <c r="H126" s="71" t="s">
        <v>132</v>
      </c>
      <c r="I126" s="71" t="s">
        <v>951</v>
      </c>
      <c r="J126" s="71" t="n">
        <v>1</v>
      </c>
      <c r="K126" s="71" t="s">
        <v>993</v>
      </c>
    </row>
    <row r="127" customFormat="false" ht="15" hidden="false" customHeight="false" outlineLevel="0" collapsed="false">
      <c r="A127" s="71" t="s">
        <v>837</v>
      </c>
      <c r="B127" s="71" t="s">
        <v>838</v>
      </c>
      <c r="C127" s="71" t="s">
        <v>29</v>
      </c>
      <c r="I127" s="71" t="s">
        <v>951</v>
      </c>
      <c r="J127" s="71" t="n">
        <v>1</v>
      </c>
    </row>
    <row r="128" customFormat="false" ht="15" hidden="false" customHeight="false" outlineLevel="0" collapsed="false">
      <c r="A128" s="71" t="s">
        <v>834</v>
      </c>
      <c r="B128" s="71" t="s">
        <v>1030</v>
      </c>
      <c r="C128" s="71" t="s">
        <v>29</v>
      </c>
      <c r="I128" s="71" t="s">
        <v>951</v>
      </c>
      <c r="J128" s="71" t="n">
        <v>1</v>
      </c>
    </row>
    <row r="129" customFormat="false" ht="15" hidden="false" customHeight="false" outlineLevel="0" collapsed="false">
      <c r="A129" s="71" t="s">
        <v>505</v>
      </c>
      <c r="B129" s="71" t="s">
        <v>506</v>
      </c>
      <c r="C129" s="71" t="s">
        <v>1002</v>
      </c>
      <c r="I129" s="71" t="s">
        <v>951</v>
      </c>
      <c r="J129" s="71" t="n">
        <v>1</v>
      </c>
      <c r="K129" s="71" t="n">
        <v>1</v>
      </c>
      <c r="L129" s="71" t="n">
        <v>1</v>
      </c>
    </row>
    <row r="130" customFormat="false" ht="15" hidden="false" customHeight="false" outlineLevel="0" collapsed="false">
      <c r="A130" s="71" t="s">
        <v>329</v>
      </c>
      <c r="B130" s="71" t="s">
        <v>330</v>
      </c>
      <c r="C130" s="71" t="s">
        <v>998</v>
      </c>
      <c r="I130" s="71" t="s">
        <v>951</v>
      </c>
      <c r="J130" s="71" t="n">
        <v>1</v>
      </c>
      <c r="K130" s="71" t="n">
        <v>1</v>
      </c>
      <c r="L130" s="71" t="n">
        <v>1</v>
      </c>
      <c r="M130" s="71" t="n">
        <v>1</v>
      </c>
    </row>
    <row r="131" customFormat="false" ht="15" hidden="false" customHeight="false" outlineLevel="0" collapsed="false">
      <c r="A131" s="71" t="s">
        <v>449</v>
      </c>
      <c r="B131" s="71" t="s">
        <v>450</v>
      </c>
      <c r="C131" s="71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6" min="1" style="0" width="20"/>
  </cols>
  <sheetData>
    <row r="1" customFormat="false" ht="15" hidden="false" customHeight="false" outlineLevel="0" collapsed="false">
      <c r="A1" s="69" t="s">
        <v>983</v>
      </c>
      <c r="B1" s="69" t="s">
        <v>99</v>
      </c>
      <c r="C1" s="69" t="s">
        <v>16</v>
      </c>
      <c r="D1" s="69" t="s">
        <v>1031</v>
      </c>
      <c r="H1" s="70" t="s">
        <v>982</v>
      </c>
    </row>
    <row r="2" customFormat="false" ht="15" hidden="false" customHeight="false" outlineLevel="0" collapsed="false">
      <c r="A2" s="71" t="s">
        <v>137</v>
      </c>
      <c r="B2" s="71" t="s">
        <v>138</v>
      </c>
      <c r="C2" s="71" t="s">
        <v>1015</v>
      </c>
      <c r="D2" s="71" t="n">
        <v>1</v>
      </c>
      <c r="F2" s="71" t="n">
        <v>55</v>
      </c>
    </row>
    <row r="3" customFormat="false" ht="15" hidden="false" customHeight="false" outlineLevel="0" collapsed="false">
      <c r="A3" s="71" t="s">
        <v>135</v>
      </c>
      <c r="B3" s="71" t="s">
        <v>136</v>
      </c>
      <c r="C3" s="71" t="s">
        <v>1015</v>
      </c>
      <c r="D3" s="71" t="n">
        <v>1</v>
      </c>
    </row>
    <row r="4" customFormat="false" ht="15" hidden="false" customHeight="false" outlineLevel="0" collapsed="false">
      <c r="A4" s="71" t="s">
        <v>129</v>
      </c>
      <c r="B4" s="71" t="s">
        <v>130</v>
      </c>
      <c r="C4" s="71" t="s">
        <v>1015</v>
      </c>
    </row>
    <row r="5" customFormat="false" ht="15" hidden="false" customHeight="false" outlineLevel="0" collapsed="false">
      <c r="A5" s="71" t="s">
        <v>503</v>
      </c>
      <c r="B5" s="71" t="s">
        <v>1012</v>
      </c>
      <c r="C5" s="71" t="s">
        <v>1013</v>
      </c>
    </row>
    <row r="6" customFormat="false" ht="15" hidden="false" customHeight="false" outlineLevel="0" collapsed="false">
      <c r="A6" s="71" t="s">
        <v>996</v>
      </c>
      <c r="B6" s="71" t="s">
        <v>191</v>
      </c>
      <c r="C6" s="71" t="s">
        <v>31</v>
      </c>
      <c r="D6" s="71" t="n">
        <v>1</v>
      </c>
    </row>
    <row r="7" customFormat="false" ht="15" hidden="false" customHeight="false" outlineLevel="0" collapsed="false">
      <c r="A7" s="71" t="s">
        <v>188</v>
      </c>
      <c r="B7" s="71" t="s">
        <v>189</v>
      </c>
      <c r="C7" s="71" t="s">
        <v>31</v>
      </c>
      <c r="D7" s="71" t="n">
        <v>1</v>
      </c>
    </row>
    <row r="8" customFormat="false" ht="15" hidden="false" customHeight="false" outlineLevel="0" collapsed="false">
      <c r="A8" s="71" t="s">
        <v>186</v>
      </c>
      <c r="B8" s="71" t="s">
        <v>999</v>
      </c>
      <c r="C8" s="71" t="s">
        <v>31</v>
      </c>
      <c r="D8" s="71" t="n">
        <v>1</v>
      </c>
    </row>
    <row r="9" customFormat="false" ht="15" hidden="false" customHeight="false" outlineLevel="0" collapsed="false">
      <c r="A9" s="71" t="s">
        <v>184</v>
      </c>
      <c r="B9" s="71" t="s">
        <v>185</v>
      </c>
      <c r="C9" s="71" t="s">
        <v>31</v>
      </c>
      <c r="D9" s="71" t="n">
        <v>1</v>
      </c>
    </row>
    <row r="10" customFormat="false" ht="15" hidden="false" customHeight="false" outlineLevel="0" collapsed="false">
      <c r="A10" s="71" t="s">
        <v>182</v>
      </c>
      <c r="B10" s="71" t="s">
        <v>183</v>
      </c>
      <c r="C10" s="71" t="s">
        <v>31</v>
      </c>
    </row>
    <row r="11" customFormat="false" ht="15" hidden="false" customHeight="false" outlineLevel="0" collapsed="false">
      <c r="A11" s="71" t="s">
        <v>176</v>
      </c>
      <c r="B11" s="71" t="s">
        <v>177</v>
      </c>
      <c r="C11" s="71" t="s">
        <v>31</v>
      </c>
      <c r="D11" s="71" t="n">
        <v>1</v>
      </c>
    </row>
    <row r="12" customFormat="false" ht="15" hidden="false" customHeight="false" outlineLevel="0" collapsed="false">
      <c r="A12" s="71" t="s">
        <v>172</v>
      </c>
      <c r="B12" s="71" t="s">
        <v>173</v>
      </c>
      <c r="C12" s="71" t="s">
        <v>31</v>
      </c>
      <c r="D12" s="71" t="n">
        <v>1</v>
      </c>
    </row>
    <row r="13" customFormat="false" ht="15" hidden="false" customHeight="false" outlineLevel="0" collapsed="false">
      <c r="A13" s="71" t="s">
        <v>165</v>
      </c>
      <c r="B13" s="71" t="s">
        <v>166</v>
      </c>
      <c r="C13" s="71" t="s">
        <v>31</v>
      </c>
      <c r="D13" s="71" t="n">
        <v>1</v>
      </c>
    </row>
    <row r="14" customFormat="false" ht="15" hidden="false" customHeight="false" outlineLevel="0" collapsed="false">
      <c r="A14" s="71" t="s">
        <v>161</v>
      </c>
      <c r="B14" s="71" t="s">
        <v>162</v>
      </c>
      <c r="C14" s="71" t="s">
        <v>31</v>
      </c>
      <c r="D14" s="71" t="n">
        <v>1</v>
      </c>
    </row>
    <row r="15" customFormat="false" ht="15" hidden="false" customHeight="false" outlineLevel="0" collapsed="false">
      <c r="A15" s="71" t="s">
        <v>159</v>
      </c>
      <c r="B15" s="71" t="s">
        <v>160</v>
      </c>
      <c r="C15" s="71" t="s">
        <v>31</v>
      </c>
      <c r="D15" s="71" t="n">
        <v>1</v>
      </c>
    </row>
    <row r="16" customFormat="false" ht="15" hidden="false" customHeight="false" outlineLevel="0" collapsed="false">
      <c r="A16" s="71" t="s">
        <v>149</v>
      </c>
      <c r="B16" s="71" t="s">
        <v>150</v>
      </c>
      <c r="C16" s="71" t="s">
        <v>31</v>
      </c>
      <c r="D16" s="71" t="n">
        <v>1</v>
      </c>
    </row>
    <row r="17" customFormat="false" ht="15" hidden="false" customHeight="false" outlineLevel="0" collapsed="false">
      <c r="A17" s="71" t="s">
        <v>147</v>
      </c>
      <c r="B17" s="71" t="s">
        <v>148</v>
      </c>
      <c r="C17" s="71" t="s">
        <v>31</v>
      </c>
      <c r="D17" s="71" t="n">
        <v>1</v>
      </c>
    </row>
    <row r="18" customFormat="false" ht="15" hidden="false" customHeight="false" outlineLevel="0" collapsed="false">
      <c r="A18" s="71" t="s">
        <v>287</v>
      </c>
      <c r="B18" s="71" t="s">
        <v>288</v>
      </c>
      <c r="C18" s="71" t="s">
        <v>995</v>
      </c>
      <c r="D18" s="71" t="n">
        <v>1</v>
      </c>
    </row>
    <row r="19" customFormat="false" ht="15" hidden="false" customHeight="false" outlineLevel="0" collapsed="false">
      <c r="A19" s="71" t="s">
        <v>272</v>
      </c>
      <c r="B19" s="71" t="s">
        <v>273</v>
      </c>
      <c r="C19" s="71" t="s">
        <v>995</v>
      </c>
      <c r="D19" s="71" t="n">
        <v>1</v>
      </c>
    </row>
    <row r="20" customFormat="false" ht="15" hidden="false" customHeight="false" outlineLevel="0" collapsed="false">
      <c r="A20" s="71" t="s">
        <v>259</v>
      </c>
      <c r="B20" s="71" t="s">
        <v>260</v>
      </c>
      <c r="C20" s="71" t="s">
        <v>995</v>
      </c>
      <c r="D20" s="71" t="n">
        <v>1</v>
      </c>
    </row>
    <row r="21" customFormat="false" ht="15" hidden="false" customHeight="false" outlineLevel="0" collapsed="false">
      <c r="A21" s="71" t="s">
        <v>241</v>
      </c>
      <c r="B21" s="71" t="s">
        <v>242</v>
      </c>
      <c r="C21" s="71" t="s">
        <v>995</v>
      </c>
      <c r="D21" s="71" t="n">
        <v>1</v>
      </c>
    </row>
    <row r="22" customFormat="false" ht="15" hidden="false" customHeight="false" outlineLevel="0" collapsed="false">
      <c r="A22" s="71" t="s">
        <v>239</v>
      </c>
      <c r="B22" s="71" t="s">
        <v>240</v>
      </c>
      <c r="C22" s="71" t="s">
        <v>995</v>
      </c>
      <c r="D22" s="71" t="n">
        <v>1</v>
      </c>
    </row>
    <row r="23" customFormat="false" ht="15" hidden="false" customHeight="false" outlineLevel="0" collapsed="false">
      <c r="A23" s="71" t="s">
        <v>237</v>
      </c>
      <c r="B23" s="71" t="s">
        <v>238</v>
      </c>
      <c r="C23" s="71" t="s">
        <v>995</v>
      </c>
      <c r="D23" s="71" t="n">
        <v>1</v>
      </c>
    </row>
    <row r="24" customFormat="false" ht="15" hidden="false" customHeight="false" outlineLevel="0" collapsed="false">
      <c r="A24" s="71" t="s">
        <v>203</v>
      </c>
      <c r="B24" s="71" t="s">
        <v>204</v>
      </c>
      <c r="C24" s="71" t="s">
        <v>995</v>
      </c>
      <c r="D24" s="71" t="n">
        <v>1</v>
      </c>
    </row>
    <row r="25" customFormat="false" ht="15" hidden="false" customHeight="false" outlineLevel="0" collapsed="false">
      <c r="A25" s="71" t="s">
        <v>201</v>
      </c>
      <c r="B25" s="71" t="s">
        <v>202</v>
      </c>
      <c r="C25" s="71" t="s">
        <v>995</v>
      </c>
      <c r="D25" s="71" t="n">
        <v>1</v>
      </c>
    </row>
    <row r="26" customFormat="false" ht="15" hidden="false" customHeight="false" outlineLevel="0" collapsed="false">
      <c r="A26" s="71" t="s">
        <v>197</v>
      </c>
      <c r="B26" s="71" t="s">
        <v>198</v>
      </c>
      <c r="C26" s="71" t="s">
        <v>995</v>
      </c>
      <c r="D26" s="71" t="n">
        <v>1</v>
      </c>
    </row>
    <row r="27" customFormat="false" ht="15" hidden="false" customHeight="false" outlineLevel="0" collapsed="false">
      <c r="A27" s="71" t="s">
        <v>302</v>
      </c>
      <c r="B27" s="71" t="s">
        <v>303</v>
      </c>
      <c r="C27" s="71" t="s">
        <v>1008</v>
      </c>
      <c r="D27" s="71" t="n">
        <v>1</v>
      </c>
    </row>
    <row r="28" customFormat="false" ht="15" hidden="false" customHeight="false" outlineLevel="0" collapsed="false">
      <c r="A28" s="71" t="s">
        <v>338</v>
      </c>
      <c r="B28" s="71" t="s">
        <v>339</v>
      </c>
      <c r="C28" s="71" t="s">
        <v>998</v>
      </c>
      <c r="D28" s="71" t="n">
        <v>1</v>
      </c>
    </row>
    <row r="29" customFormat="false" ht="15" hidden="false" customHeight="false" outlineLevel="0" collapsed="false">
      <c r="A29" s="71" t="s">
        <v>336</v>
      </c>
      <c r="B29" s="71" t="s">
        <v>337</v>
      </c>
      <c r="C29" s="71" t="s">
        <v>1000</v>
      </c>
      <c r="D29" s="71" t="n">
        <v>1</v>
      </c>
    </row>
    <row r="30" customFormat="false" ht="15" hidden="false" customHeight="false" outlineLevel="0" collapsed="false">
      <c r="A30" s="71" t="s">
        <v>315</v>
      </c>
      <c r="B30" s="71" t="s">
        <v>316</v>
      </c>
      <c r="C30" s="71" t="s">
        <v>998</v>
      </c>
      <c r="D30" s="71" t="n">
        <v>1</v>
      </c>
    </row>
    <row r="31" customFormat="false" ht="15" hidden="false" customHeight="false" outlineLevel="0" collapsed="false">
      <c r="A31" s="71" t="s">
        <v>329</v>
      </c>
      <c r="B31" s="71" t="s">
        <v>330</v>
      </c>
      <c r="C31" s="71" t="s">
        <v>998</v>
      </c>
      <c r="D31" s="71" t="n">
        <v>1</v>
      </c>
    </row>
    <row r="32" customFormat="false" ht="15" hidden="false" customHeight="false" outlineLevel="0" collapsed="false">
      <c r="A32" s="71" t="s">
        <v>382</v>
      </c>
      <c r="B32" s="71" t="s">
        <v>383</v>
      </c>
      <c r="C32" s="71" t="s">
        <v>34</v>
      </c>
      <c r="D32" s="71" t="n">
        <v>1</v>
      </c>
    </row>
    <row r="33" customFormat="false" ht="15" hidden="false" customHeight="false" outlineLevel="0" collapsed="false">
      <c r="A33" s="71" t="s">
        <v>380</v>
      </c>
      <c r="B33" s="71" t="s">
        <v>381</v>
      </c>
      <c r="C33" s="71" t="s">
        <v>34</v>
      </c>
      <c r="D33" s="71" t="n">
        <v>1</v>
      </c>
    </row>
    <row r="34" customFormat="false" ht="15" hidden="false" customHeight="false" outlineLevel="0" collapsed="false">
      <c r="A34" s="71" t="s">
        <v>378</v>
      </c>
      <c r="B34" s="71" t="s">
        <v>379</v>
      </c>
      <c r="C34" s="71" t="s">
        <v>34</v>
      </c>
      <c r="D34" s="71" t="n">
        <v>1</v>
      </c>
    </row>
    <row r="35" customFormat="false" ht="15" hidden="false" customHeight="false" outlineLevel="0" collapsed="false">
      <c r="A35" s="71" t="s">
        <v>376</v>
      </c>
      <c r="B35" s="71" t="s">
        <v>377</v>
      </c>
      <c r="C35" s="71" t="s">
        <v>34</v>
      </c>
      <c r="D35" s="71" t="n">
        <v>1</v>
      </c>
    </row>
    <row r="36" customFormat="false" ht="15" hidden="false" customHeight="false" outlineLevel="0" collapsed="false">
      <c r="A36" s="71" t="s">
        <v>372</v>
      </c>
      <c r="B36" s="71" t="s">
        <v>373</v>
      </c>
      <c r="C36" s="71" t="s">
        <v>34</v>
      </c>
      <c r="D36" s="71" t="n">
        <v>1</v>
      </c>
    </row>
    <row r="37" customFormat="false" ht="15" hidden="false" customHeight="false" outlineLevel="0" collapsed="false">
      <c r="A37" s="71" t="s">
        <v>370</v>
      </c>
      <c r="B37" s="71" t="s">
        <v>371</v>
      </c>
      <c r="C37" s="71" t="s">
        <v>34</v>
      </c>
    </row>
    <row r="38" customFormat="false" ht="15" hidden="false" customHeight="false" outlineLevel="0" collapsed="false">
      <c r="A38" s="71" t="s">
        <v>368</v>
      </c>
      <c r="B38" s="71" t="s">
        <v>369</v>
      </c>
      <c r="C38" s="71" t="s">
        <v>34</v>
      </c>
    </row>
    <row r="39" customFormat="false" ht="15" hidden="false" customHeight="false" outlineLevel="0" collapsed="false">
      <c r="A39" s="71" t="s">
        <v>366</v>
      </c>
      <c r="B39" s="71" t="s">
        <v>367</v>
      </c>
      <c r="C39" s="71" t="s">
        <v>34</v>
      </c>
    </row>
    <row r="40" customFormat="false" ht="15" hidden="false" customHeight="false" outlineLevel="0" collapsed="false">
      <c r="A40" s="71" t="s">
        <v>1029</v>
      </c>
      <c r="B40" s="71" t="s">
        <v>365</v>
      </c>
      <c r="C40" s="71" t="s">
        <v>34</v>
      </c>
      <c r="D40" s="71" t="n">
        <v>1</v>
      </c>
    </row>
    <row r="41" customFormat="false" ht="15" hidden="false" customHeight="false" outlineLevel="0" collapsed="false">
      <c r="A41" s="71" t="s">
        <v>388</v>
      </c>
      <c r="B41" s="71" t="s">
        <v>389</v>
      </c>
      <c r="C41" s="71" t="s">
        <v>43</v>
      </c>
    </row>
    <row r="42" customFormat="false" ht="15" hidden="false" customHeight="false" outlineLevel="0" collapsed="false">
      <c r="A42" s="71" t="s">
        <v>552</v>
      </c>
      <c r="B42" s="71" t="s">
        <v>553</v>
      </c>
      <c r="C42" s="71" t="s">
        <v>1002</v>
      </c>
      <c r="D42" s="71" t="n">
        <v>1</v>
      </c>
    </row>
    <row r="43" customFormat="false" ht="15" hidden="false" customHeight="false" outlineLevel="0" collapsed="false">
      <c r="A43" s="71" t="s">
        <v>541</v>
      </c>
      <c r="B43" s="71" t="s">
        <v>542</v>
      </c>
      <c r="C43" s="71" t="s">
        <v>1002</v>
      </c>
      <c r="D43" s="71" t="n">
        <v>1</v>
      </c>
    </row>
    <row r="44" customFormat="false" ht="15" hidden="false" customHeight="false" outlineLevel="0" collapsed="false">
      <c r="A44" s="71" t="s">
        <v>536</v>
      </c>
      <c r="B44" s="71" t="s">
        <v>537</v>
      </c>
      <c r="C44" s="71" t="s">
        <v>1002</v>
      </c>
      <c r="D44" s="71" t="n">
        <v>1</v>
      </c>
    </row>
    <row r="45" customFormat="false" ht="15" hidden="false" customHeight="false" outlineLevel="0" collapsed="false">
      <c r="A45" s="71" t="s">
        <v>534</v>
      </c>
      <c r="B45" s="71" t="s">
        <v>1023</v>
      </c>
      <c r="C45" s="71" t="s">
        <v>1002</v>
      </c>
      <c r="D45" s="71" t="n">
        <v>1</v>
      </c>
    </row>
    <row r="46" customFormat="false" ht="15" hidden="false" customHeight="false" outlineLevel="0" collapsed="false">
      <c r="A46" s="71" t="s">
        <v>530</v>
      </c>
      <c r="B46" s="71" t="s">
        <v>531</v>
      </c>
      <c r="C46" s="71" t="s">
        <v>1002</v>
      </c>
      <c r="D46" s="71" t="n">
        <v>1</v>
      </c>
    </row>
    <row r="47" customFormat="false" ht="15" hidden="false" customHeight="false" outlineLevel="0" collapsed="false">
      <c r="A47" s="71" t="s">
        <v>519</v>
      </c>
      <c r="B47" s="71" t="s">
        <v>520</v>
      </c>
      <c r="C47" s="71" t="s">
        <v>1002</v>
      </c>
      <c r="D47" s="71" t="n">
        <v>1</v>
      </c>
    </row>
    <row r="48" customFormat="false" ht="15" hidden="false" customHeight="false" outlineLevel="0" collapsed="false">
      <c r="A48" s="71" t="s">
        <v>517</v>
      </c>
      <c r="B48" s="71" t="s">
        <v>518</v>
      </c>
      <c r="C48" s="71" t="s">
        <v>1002</v>
      </c>
      <c r="D48" s="71" t="n">
        <v>1</v>
      </c>
    </row>
    <row r="49" customFormat="false" ht="15" hidden="false" customHeight="false" outlineLevel="0" collapsed="false">
      <c r="A49" s="71" t="s">
        <v>512</v>
      </c>
      <c r="B49" s="71" t="s">
        <v>513</v>
      </c>
      <c r="C49" s="71" t="s">
        <v>1002</v>
      </c>
      <c r="D49" s="71" t="n">
        <v>1</v>
      </c>
    </row>
    <row r="50" customFormat="false" ht="15" hidden="false" customHeight="false" outlineLevel="0" collapsed="false">
      <c r="A50" s="71" t="s">
        <v>509</v>
      </c>
      <c r="B50" s="71" t="s">
        <v>510</v>
      </c>
      <c r="C50" s="71" t="s">
        <v>1002</v>
      </c>
      <c r="D50" s="71" t="n">
        <v>1</v>
      </c>
    </row>
    <row r="51" customFormat="false" ht="15" hidden="false" customHeight="false" outlineLevel="0" collapsed="false">
      <c r="A51" s="71" t="s">
        <v>505</v>
      </c>
      <c r="B51" s="71" t="s">
        <v>506</v>
      </c>
      <c r="C51" s="71" t="s">
        <v>1002</v>
      </c>
    </row>
    <row r="52" customFormat="false" ht="15" hidden="false" customHeight="false" outlineLevel="0" collapsed="false">
      <c r="A52" s="71" t="s">
        <v>790</v>
      </c>
      <c r="B52" s="71" t="s">
        <v>791</v>
      </c>
      <c r="C52" s="71" t="s">
        <v>26</v>
      </c>
    </row>
    <row r="53" customFormat="false" ht="15" hidden="false" customHeight="false" outlineLevel="0" collapsed="false">
      <c r="A53" s="71" t="s">
        <v>715</v>
      </c>
      <c r="B53" s="71" t="s">
        <v>714</v>
      </c>
      <c r="C53" s="71" t="s">
        <v>26</v>
      </c>
      <c r="D53" s="71" t="n">
        <v>1</v>
      </c>
    </row>
    <row r="54" customFormat="false" ht="15" hidden="false" customHeight="false" outlineLevel="0" collapsed="false">
      <c r="A54" s="71" t="s">
        <v>695</v>
      </c>
      <c r="B54" s="71" t="s">
        <v>696</v>
      </c>
      <c r="C54" s="71" t="s">
        <v>26</v>
      </c>
      <c r="D54" s="71" t="n">
        <v>1</v>
      </c>
    </row>
    <row r="55" customFormat="false" ht="15" hidden="false" customHeight="false" outlineLevel="0" collapsed="false">
      <c r="A55" s="71" t="s">
        <v>656</v>
      </c>
      <c r="B55" s="71" t="s">
        <v>657</v>
      </c>
      <c r="C55" s="71" t="s">
        <v>26</v>
      </c>
      <c r="D55" s="71" t="n">
        <v>1</v>
      </c>
    </row>
    <row r="56" customFormat="false" ht="15" hidden="false" customHeight="false" outlineLevel="0" collapsed="false">
      <c r="A56" s="71" t="s">
        <v>591</v>
      </c>
      <c r="B56" s="71" t="s">
        <v>592</v>
      </c>
      <c r="C56" s="71" t="s">
        <v>26</v>
      </c>
      <c r="D56" s="71" t="n">
        <v>1</v>
      </c>
    </row>
    <row r="57" customFormat="false" ht="15" hidden="false" customHeight="false" outlineLevel="0" collapsed="false">
      <c r="A57" s="71" t="s">
        <v>805</v>
      </c>
      <c r="B57" s="71" t="s">
        <v>806</v>
      </c>
      <c r="C57" s="71" t="s">
        <v>47</v>
      </c>
      <c r="D57" s="71" t="n">
        <v>1</v>
      </c>
    </row>
    <row r="58" customFormat="false" ht="15" hidden="false" customHeight="false" outlineLevel="0" collapsed="false">
      <c r="A58" s="71" t="s">
        <v>826</v>
      </c>
      <c r="B58" s="71" t="s">
        <v>827</v>
      </c>
      <c r="C58" s="71" t="s">
        <v>33</v>
      </c>
      <c r="D58" s="71" t="n">
        <v>1</v>
      </c>
    </row>
    <row r="59" customFormat="false" ht="15" hidden="false" customHeight="false" outlineLevel="0" collapsed="false">
      <c r="A59" s="71" t="s">
        <v>807</v>
      </c>
      <c r="B59" s="71" t="s">
        <v>808</v>
      </c>
      <c r="C59" s="71" t="s">
        <v>33</v>
      </c>
    </row>
    <row r="60" customFormat="false" ht="15" hidden="false" customHeight="false" outlineLevel="0" collapsed="false">
      <c r="A60" s="71" t="s">
        <v>897</v>
      </c>
      <c r="B60" s="71" t="s">
        <v>898</v>
      </c>
      <c r="C60" s="71" t="s">
        <v>29</v>
      </c>
    </row>
    <row r="61" customFormat="false" ht="15" hidden="false" customHeight="false" outlineLevel="0" collapsed="false">
      <c r="A61" s="71" t="s">
        <v>862</v>
      </c>
      <c r="B61" s="71" t="s">
        <v>863</v>
      </c>
      <c r="C61" s="71" t="s">
        <v>29</v>
      </c>
      <c r="D61" s="71" t="n">
        <v>1</v>
      </c>
    </row>
    <row r="62" customFormat="false" ht="15" hidden="false" customHeight="false" outlineLevel="0" collapsed="false">
      <c r="A62" s="71" t="s">
        <v>855</v>
      </c>
      <c r="B62" s="71" t="s">
        <v>856</v>
      </c>
      <c r="C62" s="71" t="s">
        <v>29</v>
      </c>
      <c r="D62" s="71" t="n">
        <v>1</v>
      </c>
    </row>
    <row r="63" customFormat="false" ht="15" hidden="false" customHeight="false" outlineLevel="0" collapsed="false">
      <c r="A63" s="71" t="s">
        <v>840</v>
      </c>
      <c r="B63" s="71" t="s">
        <v>841</v>
      </c>
      <c r="C63" s="71" t="s">
        <v>29</v>
      </c>
      <c r="D63" s="71" t="n">
        <v>1</v>
      </c>
    </row>
    <row r="64" customFormat="false" ht="15" hidden="false" customHeight="false" outlineLevel="0" collapsed="false">
      <c r="A64" s="71" t="s">
        <v>899</v>
      </c>
      <c r="B64" s="71" t="s">
        <v>900</v>
      </c>
      <c r="C64" s="71" t="s">
        <v>1004</v>
      </c>
      <c r="D64" s="71" t="n">
        <v>1</v>
      </c>
    </row>
    <row r="65" customFormat="false" ht="15" hidden="false" customHeight="false" outlineLevel="0" collapsed="false">
      <c r="A65" s="71" t="s">
        <v>893</v>
      </c>
      <c r="B65" s="71" t="s">
        <v>894</v>
      </c>
      <c r="C65" s="71" t="s">
        <v>1004</v>
      </c>
      <c r="D65" s="71" t="n">
        <v>1</v>
      </c>
    </row>
    <row r="66" customFormat="false" ht="15" hidden="false" customHeight="false" outlineLevel="0" collapsed="false">
      <c r="A66" s="71" t="s">
        <v>858</v>
      </c>
      <c r="B66" s="71" t="s">
        <v>859</v>
      </c>
      <c r="C66" s="71" t="s">
        <v>1004</v>
      </c>
      <c r="D66" s="71" t="n">
        <v>1</v>
      </c>
    </row>
    <row r="67" customFormat="false" ht="15" hidden="false" customHeight="false" outlineLevel="0" collapsed="false">
      <c r="A67" s="71" t="s">
        <v>872</v>
      </c>
      <c r="B67" s="71" t="s">
        <v>873</v>
      </c>
      <c r="C67" s="71" t="s">
        <v>29</v>
      </c>
      <c r="D67" s="7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K2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9" min="1" style="0" width="20"/>
  </cols>
  <sheetData>
    <row r="1" customFormat="false" ht="15" hidden="false" customHeight="false" outlineLevel="0" collapsed="false">
      <c r="A1" s="69" t="s">
        <v>16</v>
      </c>
      <c r="B1" s="69" t="s">
        <v>1032</v>
      </c>
      <c r="C1" s="69" t="s">
        <v>1033</v>
      </c>
      <c r="D1" s="69" t="s">
        <v>1034</v>
      </c>
      <c r="E1" s="69" t="s">
        <v>1035</v>
      </c>
      <c r="G1" s="69" t="s">
        <v>1036</v>
      </c>
      <c r="H1" s="69" t="s">
        <v>99</v>
      </c>
      <c r="I1" s="69" t="s">
        <v>939</v>
      </c>
      <c r="K1" s="70" t="s">
        <v>982</v>
      </c>
    </row>
    <row r="2" customFormat="false" ht="15" hidden="false" customHeight="false" outlineLevel="0" collapsed="false">
      <c r="A2" s="71" t="s">
        <v>26</v>
      </c>
      <c r="B2" s="71" t="s">
        <v>1037</v>
      </c>
      <c r="C2" s="71" t="s">
        <v>565</v>
      </c>
      <c r="E2" s="71" t="s">
        <v>142</v>
      </c>
      <c r="I2" s="71" t="s">
        <v>1038</v>
      </c>
    </row>
    <row r="3" customFormat="false" ht="15" hidden="false" customHeight="false" outlineLevel="0" collapsed="false">
      <c r="A3" s="71" t="s">
        <v>26</v>
      </c>
      <c r="B3" s="71" t="s">
        <v>1039</v>
      </c>
      <c r="C3" s="71" t="s">
        <v>567</v>
      </c>
      <c r="E3" s="71" t="s">
        <v>132</v>
      </c>
      <c r="G3" s="71" t="s">
        <v>142</v>
      </c>
      <c r="I3" s="71" t="s">
        <v>1040</v>
      </c>
    </row>
    <row r="4" customFormat="false" ht="15" hidden="false" customHeight="false" outlineLevel="0" collapsed="false">
      <c r="A4" s="71" t="s">
        <v>26</v>
      </c>
      <c r="B4" s="71" t="s">
        <v>1041</v>
      </c>
      <c r="C4" s="71" t="s">
        <v>618</v>
      </c>
      <c r="E4" s="71" t="s">
        <v>132</v>
      </c>
      <c r="G4" s="71" t="s">
        <v>142</v>
      </c>
      <c r="I4" s="71" t="s">
        <v>1042</v>
      </c>
    </row>
    <row r="5" customFormat="false" ht="15" hidden="false" customHeight="false" outlineLevel="0" collapsed="false">
      <c r="A5" s="71" t="s">
        <v>26</v>
      </c>
      <c r="B5" s="71" t="s">
        <v>1043</v>
      </c>
      <c r="C5" s="71" t="s">
        <v>579</v>
      </c>
      <c r="E5" s="71" t="s">
        <v>132</v>
      </c>
      <c r="G5" s="71" t="s">
        <v>142</v>
      </c>
      <c r="I5" s="71" t="s">
        <v>1044</v>
      </c>
    </row>
    <row r="6" customFormat="false" ht="15" hidden="false" customHeight="false" outlineLevel="0" collapsed="false">
      <c r="A6" s="71" t="s">
        <v>26</v>
      </c>
      <c r="B6" s="71" t="s">
        <v>1045</v>
      </c>
      <c r="C6" s="71" t="s">
        <v>1046</v>
      </c>
      <c r="E6" s="71" t="s">
        <v>132</v>
      </c>
      <c r="G6" s="71" t="s">
        <v>142</v>
      </c>
      <c r="I6" s="71" t="s">
        <v>1047</v>
      </c>
    </row>
    <row r="7" customFormat="false" ht="15" hidden="false" customHeight="false" outlineLevel="0" collapsed="false">
      <c r="A7" s="71" t="s">
        <v>26</v>
      </c>
      <c r="B7" s="71" t="s">
        <v>1048</v>
      </c>
      <c r="C7" s="71" t="s">
        <v>1049</v>
      </c>
      <c r="D7" s="71" t="s">
        <v>656</v>
      </c>
    </row>
    <row r="8" customFormat="false" ht="15" hidden="false" customHeight="false" outlineLevel="0" collapsed="false">
      <c r="A8" s="71" t="s">
        <v>26</v>
      </c>
      <c r="B8" s="71" t="s">
        <v>1050</v>
      </c>
      <c r="C8" s="71" t="s">
        <v>634</v>
      </c>
      <c r="E8" s="71" t="s">
        <v>132</v>
      </c>
      <c r="G8" s="71" t="s">
        <v>142</v>
      </c>
      <c r="I8" s="71" t="s">
        <v>1051</v>
      </c>
    </row>
    <row r="9" customFormat="false" ht="15" hidden="false" customHeight="false" outlineLevel="0" collapsed="false">
      <c r="A9" s="71" t="s">
        <v>26</v>
      </c>
      <c r="B9" s="71" t="s">
        <v>1052</v>
      </c>
      <c r="C9" s="71" t="s">
        <v>1053</v>
      </c>
      <c r="E9" s="71" t="s">
        <v>132</v>
      </c>
      <c r="G9" s="71" t="s">
        <v>142</v>
      </c>
      <c r="I9" s="71" t="s">
        <v>1054</v>
      </c>
    </row>
    <row r="10" customFormat="false" ht="15" hidden="false" customHeight="false" outlineLevel="0" collapsed="false">
      <c r="A10" s="71" t="s">
        <v>26</v>
      </c>
      <c r="B10" s="71" t="s">
        <v>1055</v>
      </c>
      <c r="C10" s="71" t="s">
        <v>659</v>
      </c>
      <c r="E10" s="71" t="s">
        <v>142</v>
      </c>
    </row>
    <row r="11" customFormat="false" ht="15" hidden="false" customHeight="false" outlineLevel="0" collapsed="false">
      <c r="A11" s="71" t="s">
        <v>26</v>
      </c>
      <c r="B11" s="71" t="s">
        <v>1056</v>
      </c>
      <c r="C11" s="71" t="s">
        <v>661</v>
      </c>
      <c r="E11" s="71" t="s">
        <v>132</v>
      </c>
      <c r="G11" s="71" t="s">
        <v>142</v>
      </c>
      <c r="I11" s="71" t="s">
        <v>1057</v>
      </c>
    </row>
    <row r="12" customFormat="false" ht="15" hidden="false" customHeight="false" outlineLevel="0" collapsed="false">
      <c r="A12" s="71" t="s">
        <v>26</v>
      </c>
      <c r="B12" s="71" t="s">
        <v>1058</v>
      </c>
      <c r="C12" s="71" t="s">
        <v>675</v>
      </c>
      <c r="E12" s="71" t="s">
        <v>132</v>
      </c>
      <c r="G12" s="71" t="s">
        <v>142</v>
      </c>
      <c r="I12" s="71" t="s">
        <v>1059</v>
      </c>
    </row>
    <row r="13" customFormat="false" ht="15" hidden="false" customHeight="false" outlineLevel="0" collapsed="false">
      <c r="A13" s="71" t="s">
        <v>26</v>
      </c>
      <c r="B13" s="71" t="s">
        <v>1060</v>
      </c>
      <c r="C13" s="71" t="s">
        <v>1061</v>
      </c>
      <c r="E13" s="71" t="s">
        <v>1062</v>
      </c>
    </row>
    <row r="14" customFormat="false" ht="15" hidden="false" customHeight="false" outlineLevel="0" collapsed="false">
      <c r="A14" s="71" t="s">
        <v>26</v>
      </c>
      <c r="B14" s="71" t="s">
        <v>1063</v>
      </c>
      <c r="C14" s="71" t="s">
        <v>695</v>
      </c>
    </row>
    <row r="15" customFormat="false" ht="15" hidden="false" customHeight="false" outlineLevel="0" collapsed="false">
      <c r="A15" s="71" t="s">
        <v>26</v>
      </c>
      <c r="B15" s="71" t="s">
        <v>1064</v>
      </c>
      <c r="C15" s="71" t="s">
        <v>1065</v>
      </c>
    </row>
    <row r="16" customFormat="false" ht="15" hidden="false" customHeight="false" outlineLevel="0" collapsed="false">
      <c r="A16" s="71" t="s">
        <v>26</v>
      </c>
      <c r="B16" s="71" t="s">
        <v>1066</v>
      </c>
      <c r="C16" s="71" t="s">
        <v>709</v>
      </c>
      <c r="E16" s="71" t="s">
        <v>132</v>
      </c>
      <c r="G16" s="71" t="s">
        <v>142</v>
      </c>
      <c r="I16" s="71" t="s">
        <v>1067</v>
      </c>
    </row>
    <row r="17" customFormat="false" ht="15" hidden="false" customHeight="false" outlineLevel="0" collapsed="false">
      <c r="A17" s="71" t="s">
        <v>26</v>
      </c>
      <c r="B17" s="71" t="s">
        <v>1068</v>
      </c>
      <c r="C17" s="71" t="s">
        <v>711</v>
      </c>
      <c r="E17" s="71" t="s">
        <v>132</v>
      </c>
      <c r="G17" s="71" t="s">
        <v>142</v>
      </c>
      <c r="I17" s="71" t="s">
        <v>1069</v>
      </c>
    </row>
    <row r="18" customFormat="false" ht="15" hidden="false" customHeight="false" outlineLevel="0" collapsed="false">
      <c r="A18" s="71" t="s">
        <v>26</v>
      </c>
      <c r="B18" s="71" t="s">
        <v>1070</v>
      </c>
      <c r="C18" s="71" t="s">
        <v>726</v>
      </c>
      <c r="E18" s="71" t="s">
        <v>132</v>
      </c>
      <c r="G18" s="71" t="s">
        <v>1071</v>
      </c>
      <c r="I18" s="71" t="s">
        <v>1072</v>
      </c>
    </row>
    <row r="19" customFormat="false" ht="15" hidden="false" customHeight="false" outlineLevel="0" collapsed="false">
      <c r="A19" s="71" t="s">
        <v>26</v>
      </c>
      <c r="B19" s="71" t="s">
        <v>1073</v>
      </c>
      <c r="C19" s="71" t="s">
        <v>750</v>
      </c>
      <c r="E19" s="71" t="s">
        <v>132</v>
      </c>
      <c r="G19" s="71" t="s">
        <v>1071</v>
      </c>
      <c r="I19" s="71" t="s">
        <v>1074</v>
      </c>
    </row>
    <row r="20" customFormat="false" ht="15" hidden="false" customHeight="false" outlineLevel="0" collapsed="false">
      <c r="A20" s="71" t="s">
        <v>26</v>
      </c>
      <c r="B20" s="71" t="s">
        <v>1075</v>
      </c>
      <c r="C20" s="71" t="s">
        <v>756</v>
      </c>
      <c r="E20" s="71" t="s">
        <v>132</v>
      </c>
      <c r="G20" s="71" t="s">
        <v>1071</v>
      </c>
      <c r="I20" s="71" t="s">
        <v>1076</v>
      </c>
    </row>
    <row r="21" customFormat="false" ht="15" hidden="false" customHeight="false" outlineLevel="0" collapsed="false">
      <c r="A21" s="71" t="s">
        <v>26</v>
      </c>
      <c r="B21" s="71" t="s">
        <v>1077</v>
      </c>
      <c r="C21" s="71" t="s">
        <v>748</v>
      </c>
      <c r="E21" s="71" t="s">
        <v>132</v>
      </c>
      <c r="G21" s="71" t="s">
        <v>1071</v>
      </c>
      <c r="I21" s="71" t="s">
        <v>1078</v>
      </c>
    </row>
    <row r="22" customFormat="false" ht="15" hidden="false" customHeight="false" outlineLevel="0" collapsed="false">
      <c r="A22" s="71" t="s">
        <v>26</v>
      </c>
      <c r="B22" s="71" t="s">
        <v>1079</v>
      </c>
      <c r="C22" s="71" t="s">
        <v>760</v>
      </c>
      <c r="E22" s="71" t="s">
        <v>132</v>
      </c>
      <c r="G22" s="71" t="s">
        <v>142</v>
      </c>
      <c r="I22" s="71" t="s">
        <v>1080</v>
      </c>
    </row>
    <row r="23" customFormat="false" ht="15" hidden="false" customHeight="false" outlineLevel="0" collapsed="false">
      <c r="A23" s="71" t="s">
        <v>26</v>
      </c>
      <c r="B23" s="71" t="s">
        <v>1081</v>
      </c>
      <c r="C23" s="71" t="s">
        <v>774</v>
      </c>
      <c r="E23" s="71" t="s">
        <v>132</v>
      </c>
      <c r="G23" s="71" t="s">
        <v>142</v>
      </c>
      <c r="I23" s="71" t="s">
        <v>1082</v>
      </c>
    </row>
    <row r="24" customFormat="false" ht="15" hidden="false" customHeight="false" outlineLevel="0" collapsed="false">
      <c r="A24" s="71" t="s">
        <v>26</v>
      </c>
      <c r="B24" s="71" t="s">
        <v>1083</v>
      </c>
      <c r="C24" s="71" t="s">
        <v>555</v>
      </c>
      <c r="F24" s="71" t="s">
        <v>1084</v>
      </c>
    </row>
    <row r="25" customFormat="false" ht="15" hidden="false" customHeight="false" outlineLevel="0" collapsed="false">
      <c r="A25" s="71" t="s">
        <v>26</v>
      </c>
      <c r="B25" s="71" t="s">
        <v>1085</v>
      </c>
      <c r="C25" s="71" t="s">
        <v>563</v>
      </c>
      <c r="E25" s="71" t="s">
        <v>132</v>
      </c>
      <c r="G25" s="71" t="s">
        <v>142</v>
      </c>
      <c r="I25" s="71" t="s">
        <v>1086</v>
      </c>
    </row>
    <row r="26" customFormat="false" ht="15" hidden="false" customHeight="false" outlineLevel="0" collapsed="false">
      <c r="A26" s="71" t="s">
        <v>26</v>
      </c>
      <c r="B26" s="71" t="s">
        <v>1087</v>
      </c>
      <c r="C26" s="71" t="s">
        <v>762</v>
      </c>
      <c r="E26" s="71" t="s">
        <v>132</v>
      </c>
      <c r="G26" s="71" t="s">
        <v>142</v>
      </c>
      <c r="I26" s="71" t="s">
        <v>1088</v>
      </c>
    </row>
    <row r="27" customFormat="false" ht="15" hidden="false" customHeight="false" outlineLevel="0" collapsed="false">
      <c r="A27" s="71" t="s">
        <v>26</v>
      </c>
      <c r="B27" s="71" t="s">
        <v>1089</v>
      </c>
      <c r="C27" s="71" t="s">
        <v>603</v>
      </c>
      <c r="E27" s="71" t="s">
        <v>132</v>
      </c>
      <c r="G27" s="71" t="s">
        <v>142</v>
      </c>
      <c r="I27" s="71" t="s">
        <v>1090</v>
      </c>
    </row>
    <row r="28" customFormat="false" ht="15" hidden="false" customHeight="false" outlineLevel="0" collapsed="false">
      <c r="A28" s="71" t="s">
        <v>1091</v>
      </c>
      <c r="B28" s="71" t="s">
        <v>1092</v>
      </c>
      <c r="C28" s="71" t="s">
        <v>199</v>
      </c>
      <c r="E28" s="71" t="s">
        <v>142</v>
      </c>
    </row>
    <row r="29" customFormat="false" ht="15" hidden="false" customHeight="false" outlineLevel="0" collapsed="false">
      <c r="A29" s="71" t="s">
        <v>1091</v>
      </c>
      <c r="C29" s="71" t="s">
        <v>266</v>
      </c>
      <c r="E29" s="71" t="s">
        <v>132</v>
      </c>
      <c r="G29" s="71" t="s">
        <v>142</v>
      </c>
      <c r="I29" s="71" t="s">
        <v>267</v>
      </c>
    </row>
    <row r="30" customFormat="false" ht="15" hidden="false" customHeight="false" outlineLevel="0" collapsed="false">
      <c r="A30" s="71" t="s">
        <v>1091</v>
      </c>
      <c r="C30" s="71" t="s">
        <v>278</v>
      </c>
      <c r="E30" s="71" t="s">
        <v>132</v>
      </c>
      <c r="G30" s="71" t="s">
        <v>142</v>
      </c>
      <c r="I30" s="71" t="s">
        <v>1093</v>
      </c>
    </row>
    <row r="31" customFormat="false" ht="15" hidden="false" customHeight="false" outlineLevel="0" collapsed="false">
      <c r="A31" s="71" t="s">
        <v>1091</v>
      </c>
      <c r="C31" s="71" t="s">
        <v>286</v>
      </c>
      <c r="E31" s="71" t="s">
        <v>142</v>
      </c>
    </row>
    <row r="32" customFormat="false" ht="15" hidden="false" customHeight="false" outlineLevel="0" collapsed="false">
      <c r="A32" s="71" t="s">
        <v>1091</v>
      </c>
      <c r="B32" s="71" t="s">
        <v>1094</v>
      </c>
      <c r="C32" s="71" t="s">
        <v>229</v>
      </c>
      <c r="E32" s="71" t="s">
        <v>132</v>
      </c>
      <c r="G32" s="71" t="s">
        <v>142</v>
      </c>
      <c r="I32" s="71" t="s">
        <v>1095</v>
      </c>
    </row>
    <row r="33" customFormat="false" ht="15" hidden="false" customHeight="false" outlineLevel="0" collapsed="false">
      <c r="A33" s="71" t="s">
        <v>1091</v>
      </c>
      <c r="B33" s="71" t="s">
        <v>1096</v>
      </c>
      <c r="C33" s="71" t="s">
        <v>245</v>
      </c>
      <c r="E33" s="71" t="s">
        <v>142</v>
      </c>
    </row>
    <row r="34" customFormat="false" ht="15" hidden="false" customHeight="false" outlineLevel="0" collapsed="false">
      <c r="A34" s="71" t="s">
        <v>1091</v>
      </c>
      <c r="B34" s="71" t="s">
        <v>1097</v>
      </c>
      <c r="C34" s="71" t="s">
        <v>208</v>
      </c>
      <c r="E34" s="71" t="s">
        <v>132</v>
      </c>
      <c r="G34" s="71" t="s">
        <v>142</v>
      </c>
      <c r="I34" s="71" t="s">
        <v>1098</v>
      </c>
    </row>
    <row r="35" customFormat="false" ht="15" hidden="false" customHeight="false" outlineLevel="0" collapsed="false">
      <c r="A35" s="71" t="s">
        <v>1091</v>
      </c>
      <c r="C35" s="71" t="s">
        <v>262</v>
      </c>
      <c r="E35" s="71" t="s">
        <v>142</v>
      </c>
      <c r="I35" s="71" t="s">
        <v>1099</v>
      </c>
    </row>
    <row r="36" customFormat="false" ht="15" hidden="false" customHeight="false" outlineLevel="0" collapsed="false">
      <c r="A36" s="71" t="s">
        <v>1091</v>
      </c>
      <c r="B36" s="71" t="s">
        <v>1100</v>
      </c>
      <c r="C36" s="71" t="s">
        <v>235</v>
      </c>
      <c r="E36" s="71" t="s">
        <v>142</v>
      </c>
    </row>
    <row r="37" customFormat="false" ht="15" hidden="false" customHeight="false" outlineLevel="0" collapsed="false">
      <c r="A37" s="71" t="s">
        <v>1091</v>
      </c>
      <c r="C37" s="71" t="s">
        <v>280</v>
      </c>
      <c r="E37" s="71" t="s">
        <v>132</v>
      </c>
      <c r="G37" s="71" t="s">
        <v>142</v>
      </c>
      <c r="I37" s="71" t="s">
        <v>1101</v>
      </c>
    </row>
    <row r="38" customFormat="false" ht="15" hidden="false" customHeight="false" outlineLevel="0" collapsed="false">
      <c r="A38" s="71" t="s">
        <v>1091</v>
      </c>
      <c r="C38" s="71" t="s">
        <v>213</v>
      </c>
      <c r="E38" s="71" t="s">
        <v>132</v>
      </c>
      <c r="G38" s="71" t="s">
        <v>142</v>
      </c>
      <c r="I38" s="71" t="s">
        <v>1102</v>
      </c>
    </row>
    <row r="39" customFormat="false" ht="15" hidden="false" customHeight="false" outlineLevel="0" collapsed="false">
      <c r="A39" s="71" t="s">
        <v>1091</v>
      </c>
      <c r="B39" s="71" t="s">
        <v>1103</v>
      </c>
      <c r="C39" s="71" t="s">
        <v>249</v>
      </c>
      <c r="E39" s="71" t="s">
        <v>132</v>
      </c>
      <c r="G39" s="71" t="s">
        <v>1071</v>
      </c>
    </row>
    <row r="40" customFormat="false" ht="15" hidden="false" customHeight="false" outlineLevel="0" collapsed="false">
      <c r="A40" s="71" t="s">
        <v>1091</v>
      </c>
      <c r="C40" s="71" t="s">
        <v>251</v>
      </c>
      <c r="E40" s="71" t="s">
        <v>132</v>
      </c>
      <c r="G40" s="71" t="s">
        <v>142</v>
      </c>
      <c r="I40" s="71" t="s">
        <v>1104</v>
      </c>
    </row>
    <row r="41" customFormat="false" ht="15" hidden="false" customHeight="false" outlineLevel="0" collapsed="false">
      <c r="A41" s="71" t="s">
        <v>1091</v>
      </c>
      <c r="C41" s="71" t="s">
        <v>274</v>
      </c>
      <c r="E41" s="71" t="s">
        <v>132</v>
      </c>
      <c r="G41" s="71" t="s">
        <v>142</v>
      </c>
      <c r="I41" s="71" t="s">
        <v>1105</v>
      </c>
    </row>
    <row r="42" customFormat="false" ht="15" hidden="false" customHeight="false" outlineLevel="0" collapsed="false">
      <c r="A42" s="71" t="s">
        <v>1091</v>
      </c>
      <c r="C42" s="71" t="s">
        <v>1106</v>
      </c>
      <c r="E42" s="71" t="s">
        <v>132</v>
      </c>
    </row>
    <row r="43" customFormat="false" ht="15" hidden="false" customHeight="false" outlineLevel="0" collapsed="false">
      <c r="A43" s="71" t="s">
        <v>1091</v>
      </c>
      <c r="B43" s="71" t="s">
        <v>1107</v>
      </c>
      <c r="C43" s="71" t="s">
        <v>264</v>
      </c>
      <c r="E43" s="71" t="s">
        <v>132</v>
      </c>
      <c r="G43" s="71" t="s">
        <v>142</v>
      </c>
      <c r="I43" s="71" t="s">
        <v>1108</v>
      </c>
    </row>
    <row r="44" customFormat="false" ht="15" hidden="false" customHeight="false" outlineLevel="0" collapsed="false">
      <c r="A44" s="71" t="s">
        <v>1091</v>
      </c>
      <c r="C44" s="71" t="s">
        <v>205</v>
      </c>
      <c r="E44" s="71" t="s">
        <v>132</v>
      </c>
    </row>
    <row r="45" customFormat="false" ht="15" hidden="false" customHeight="false" outlineLevel="0" collapsed="false">
      <c r="A45" s="71" t="s">
        <v>1091</v>
      </c>
      <c r="B45" s="71" t="s">
        <v>1109</v>
      </c>
      <c r="C45" s="71" t="s">
        <v>259</v>
      </c>
      <c r="E45" s="71" t="s">
        <v>132</v>
      </c>
    </row>
    <row r="46" customFormat="false" ht="15" hidden="false" customHeight="false" outlineLevel="0" collapsed="false">
      <c r="A46" s="71" t="s">
        <v>1091</v>
      </c>
      <c r="C46" s="71" t="s">
        <v>210</v>
      </c>
      <c r="E46" s="71" t="s">
        <v>142</v>
      </c>
    </row>
    <row r="47" customFormat="false" ht="15" hidden="false" customHeight="false" outlineLevel="0" collapsed="false">
      <c r="A47" s="71" t="s">
        <v>1091</v>
      </c>
      <c r="C47" s="71" t="s">
        <v>222</v>
      </c>
      <c r="E47" s="71" t="s">
        <v>132</v>
      </c>
      <c r="G47" s="71" t="s">
        <v>142</v>
      </c>
      <c r="I47" s="71" t="s">
        <v>223</v>
      </c>
    </row>
    <row r="48" customFormat="false" ht="15" hidden="false" customHeight="false" outlineLevel="0" collapsed="false">
      <c r="A48" s="71" t="s">
        <v>1091</v>
      </c>
      <c r="C48" s="71" t="s">
        <v>211</v>
      </c>
      <c r="E48" s="71" t="s">
        <v>132</v>
      </c>
      <c r="G48" s="71" t="s">
        <v>142</v>
      </c>
      <c r="I48" s="71" t="s">
        <v>212</v>
      </c>
    </row>
    <row r="49" customFormat="false" ht="15" hidden="false" customHeight="false" outlineLevel="0" collapsed="false">
      <c r="A49" s="71" t="s">
        <v>1091</v>
      </c>
      <c r="C49" s="71" t="s">
        <v>253</v>
      </c>
      <c r="E49" s="71" t="s">
        <v>132</v>
      </c>
      <c r="G49" s="71" t="s">
        <v>142</v>
      </c>
      <c r="I49" s="71" t="s">
        <v>254</v>
      </c>
    </row>
    <row r="50" customFormat="false" ht="15" hidden="false" customHeight="false" outlineLevel="0" collapsed="false">
      <c r="A50" s="71" t="s">
        <v>1091</v>
      </c>
      <c r="C50" s="71" t="s">
        <v>224</v>
      </c>
      <c r="E50" s="71" t="s">
        <v>142</v>
      </c>
    </row>
    <row r="51" customFormat="false" ht="15" hidden="false" customHeight="false" outlineLevel="0" collapsed="false">
      <c r="A51" s="71" t="s">
        <v>1091</v>
      </c>
      <c r="C51" s="71" t="s">
        <v>219</v>
      </c>
      <c r="E51" s="71" t="s">
        <v>132</v>
      </c>
    </row>
    <row r="52" customFormat="false" ht="15" hidden="false" customHeight="false" outlineLevel="0" collapsed="false">
      <c r="A52" s="71" t="s">
        <v>1091</v>
      </c>
      <c r="C52" s="71" t="s">
        <v>195</v>
      </c>
      <c r="E52" s="71" t="s">
        <v>132</v>
      </c>
      <c r="G52" s="71" t="s">
        <v>142</v>
      </c>
      <c r="I52" s="71" t="s">
        <v>1110</v>
      </c>
    </row>
    <row r="53" customFormat="false" ht="15" hidden="false" customHeight="false" outlineLevel="0" collapsed="false">
      <c r="A53" s="71" t="s">
        <v>1091</v>
      </c>
      <c r="C53" s="71" t="s">
        <v>284</v>
      </c>
      <c r="E53" s="71" t="s">
        <v>132</v>
      </c>
      <c r="G53" s="71" t="s">
        <v>142</v>
      </c>
      <c r="I53" s="71" t="s">
        <v>285</v>
      </c>
    </row>
    <row r="54" customFormat="false" ht="15" hidden="false" customHeight="false" outlineLevel="0" collapsed="false">
      <c r="A54" s="71" t="s">
        <v>1091</v>
      </c>
      <c r="C54" s="71" t="s">
        <v>231</v>
      </c>
      <c r="E54" s="71" t="s">
        <v>132</v>
      </c>
      <c r="G54" s="71" t="s">
        <v>142</v>
      </c>
      <c r="I54" s="71" t="s">
        <v>232</v>
      </c>
    </row>
    <row r="55" customFormat="false" ht="15" hidden="false" customHeight="false" outlineLevel="0" collapsed="false">
      <c r="A55" s="71" t="s">
        <v>1091</v>
      </c>
      <c r="C55" s="71" t="s">
        <v>290</v>
      </c>
      <c r="E55" s="71" t="s">
        <v>132</v>
      </c>
      <c r="G55" s="71" t="s">
        <v>142</v>
      </c>
      <c r="I55" s="71" t="s">
        <v>291</v>
      </c>
    </row>
    <row r="56" customFormat="false" ht="15" hidden="false" customHeight="false" outlineLevel="0" collapsed="false">
      <c r="A56" s="71" t="s">
        <v>1091</v>
      </c>
      <c r="C56" s="71" t="s">
        <v>225</v>
      </c>
      <c r="E56" s="71" t="s">
        <v>132</v>
      </c>
      <c r="G56" s="71" t="s">
        <v>142</v>
      </c>
      <c r="I56" s="71" t="s">
        <v>226</v>
      </c>
    </row>
    <row r="57" customFormat="false" ht="15" hidden="false" customHeight="false" outlineLevel="0" collapsed="false">
      <c r="A57" s="71" t="s">
        <v>1091</v>
      </c>
      <c r="C57" s="71" t="s">
        <v>233</v>
      </c>
      <c r="E57" s="71" t="s">
        <v>132</v>
      </c>
      <c r="G57" s="71" t="s">
        <v>142</v>
      </c>
      <c r="I57" s="71" t="s">
        <v>234</v>
      </c>
    </row>
    <row r="58" customFormat="false" ht="15" hidden="false" customHeight="false" outlineLevel="0" collapsed="false">
      <c r="A58" s="71" t="s">
        <v>1091</v>
      </c>
      <c r="C58" s="71" t="s">
        <v>217</v>
      </c>
      <c r="E58" s="71" t="s">
        <v>132</v>
      </c>
      <c r="G58" s="71" t="s">
        <v>142</v>
      </c>
      <c r="I58" s="71" t="s">
        <v>218</v>
      </c>
    </row>
    <row r="59" customFormat="false" ht="15" hidden="false" customHeight="false" outlineLevel="0" collapsed="false">
      <c r="A59" s="71" t="s">
        <v>1091</v>
      </c>
      <c r="C59" s="71" t="s">
        <v>192</v>
      </c>
      <c r="E59" s="71" t="s">
        <v>132</v>
      </c>
      <c r="G59" s="71" t="s">
        <v>142</v>
      </c>
      <c r="I59" s="71" t="s">
        <v>194</v>
      </c>
    </row>
    <row r="60" customFormat="false" ht="15" hidden="false" customHeight="false" outlineLevel="0" collapsed="false">
      <c r="A60" s="71" t="s">
        <v>1091</v>
      </c>
      <c r="C60" s="71" t="s">
        <v>243</v>
      </c>
      <c r="E60" s="71" t="s">
        <v>132</v>
      </c>
      <c r="G60" s="71" t="s">
        <v>142</v>
      </c>
      <c r="I60" s="71" t="s">
        <v>244</v>
      </c>
    </row>
    <row r="61" customFormat="false" ht="15" hidden="false" customHeight="false" outlineLevel="0" collapsed="false">
      <c r="A61" s="71" t="s">
        <v>1091</v>
      </c>
      <c r="C61" s="71" t="s">
        <v>227</v>
      </c>
      <c r="E61" s="71" t="s">
        <v>132</v>
      </c>
      <c r="G61" s="71" t="s">
        <v>142</v>
      </c>
      <c r="I61" s="71" t="s">
        <v>228</v>
      </c>
    </row>
    <row r="62" customFormat="false" ht="15" hidden="false" customHeight="false" outlineLevel="0" collapsed="false">
      <c r="A62" s="71" t="s">
        <v>1091</v>
      </c>
      <c r="C62" s="71" t="s">
        <v>276</v>
      </c>
      <c r="E62" s="71" t="s">
        <v>132</v>
      </c>
      <c r="G62" s="71" t="s">
        <v>142</v>
      </c>
      <c r="I62" s="71" t="s">
        <v>277</v>
      </c>
    </row>
    <row r="63" customFormat="false" ht="15" hidden="false" customHeight="false" outlineLevel="0" collapsed="false">
      <c r="A63" s="71" t="s">
        <v>1091</v>
      </c>
      <c r="B63" s="71" t="s">
        <v>1111</v>
      </c>
      <c r="C63" s="71" t="s">
        <v>247</v>
      </c>
      <c r="E63" s="71" t="s">
        <v>132</v>
      </c>
      <c r="G63" s="71" t="s">
        <v>142</v>
      </c>
      <c r="I63" s="71" t="s">
        <v>1112</v>
      </c>
    </row>
    <row r="64" customFormat="false" ht="15" hidden="false" customHeight="false" outlineLevel="0" collapsed="false">
      <c r="A64" s="71" t="s">
        <v>1091</v>
      </c>
      <c r="C64" s="71" t="s">
        <v>220</v>
      </c>
      <c r="E64" s="71" t="s">
        <v>132</v>
      </c>
      <c r="G64" s="71" t="s">
        <v>142</v>
      </c>
      <c r="I64" s="71" t="s">
        <v>1113</v>
      </c>
    </row>
    <row r="65" customFormat="false" ht="15" hidden="false" customHeight="false" outlineLevel="0" collapsed="false">
      <c r="A65" s="71" t="s">
        <v>1091</v>
      </c>
      <c r="C65" s="71" t="s">
        <v>268</v>
      </c>
      <c r="E65" s="71" t="s">
        <v>132</v>
      </c>
      <c r="G65" s="71" t="s">
        <v>1071</v>
      </c>
      <c r="I65" s="71" t="s">
        <v>1114</v>
      </c>
    </row>
    <row r="66" customFormat="false" ht="15" hidden="false" customHeight="false" outlineLevel="0" collapsed="false">
      <c r="A66" s="71" t="s">
        <v>1091</v>
      </c>
      <c r="C66" s="71" t="s">
        <v>215</v>
      </c>
      <c r="E66" s="71" t="s">
        <v>132</v>
      </c>
      <c r="G66" s="71" t="s">
        <v>142</v>
      </c>
      <c r="I66" s="71" t="s">
        <v>1115</v>
      </c>
    </row>
    <row r="67" customFormat="false" ht="15" hidden="false" customHeight="false" outlineLevel="0" collapsed="false">
      <c r="A67" s="71" t="s">
        <v>1091</v>
      </c>
      <c r="C67" s="71" t="s">
        <v>255</v>
      </c>
      <c r="E67" s="71" t="s">
        <v>132</v>
      </c>
      <c r="G67" s="71" t="s">
        <v>1071</v>
      </c>
      <c r="I67" s="71" t="s">
        <v>1116</v>
      </c>
    </row>
    <row r="68" customFormat="false" ht="15" hidden="false" customHeight="false" outlineLevel="0" collapsed="false">
      <c r="A68" s="71" t="s">
        <v>1091</v>
      </c>
      <c r="C68" s="71" t="s">
        <v>270</v>
      </c>
      <c r="E68" s="71" t="s">
        <v>132</v>
      </c>
      <c r="G68" s="71" t="s">
        <v>142</v>
      </c>
      <c r="I68" s="71" t="s">
        <v>1117</v>
      </c>
    </row>
    <row r="69" customFormat="false" ht="15" hidden="false" customHeight="false" outlineLevel="0" collapsed="false">
      <c r="A69" s="71" t="s">
        <v>1091</v>
      </c>
      <c r="C69" s="71" t="s">
        <v>282</v>
      </c>
      <c r="E69" s="71" t="s">
        <v>132</v>
      </c>
      <c r="G69" s="71" t="s">
        <v>142</v>
      </c>
      <c r="I69" s="71" t="s">
        <v>283</v>
      </c>
    </row>
    <row r="70" customFormat="false" ht="15" hidden="false" customHeight="false" outlineLevel="0" collapsed="false">
      <c r="A70" s="71" t="s">
        <v>29</v>
      </c>
      <c r="B70" s="71" t="s">
        <v>1118</v>
      </c>
      <c r="C70" s="71" t="s">
        <v>842</v>
      </c>
      <c r="E70" s="71" t="s">
        <v>1062</v>
      </c>
    </row>
    <row r="71" customFormat="false" ht="15" hidden="false" customHeight="false" outlineLevel="0" collapsed="false">
      <c r="A71" s="71" t="s">
        <v>29</v>
      </c>
      <c r="B71" s="71" t="s">
        <v>1119</v>
      </c>
      <c r="C71" s="71" t="s">
        <v>911</v>
      </c>
    </row>
    <row r="72" customFormat="false" ht="15" hidden="false" customHeight="false" outlineLevel="0" collapsed="false">
      <c r="A72" s="71" t="s">
        <v>29</v>
      </c>
      <c r="B72" s="71" t="s">
        <v>1120</v>
      </c>
      <c r="C72" s="71" t="s">
        <v>834</v>
      </c>
      <c r="E72" s="71" t="s">
        <v>1062</v>
      </c>
      <c r="I72" s="71" t="s">
        <v>1121</v>
      </c>
    </row>
    <row r="73" customFormat="false" ht="15" hidden="false" customHeight="false" outlineLevel="0" collapsed="false">
      <c r="A73" s="71" t="s">
        <v>29</v>
      </c>
      <c r="B73" s="71" t="s">
        <v>1122</v>
      </c>
      <c r="C73" s="71" t="s">
        <v>890</v>
      </c>
      <c r="E73" s="71" t="s">
        <v>142</v>
      </c>
    </row>
    <row r="74" customFormat="false" ht="15" hidden="false" customHeight="false" outlineLevel="0" collapsed="false">
      <c r="A74" s="71" t="s">
        <v>29</v>
      </c>
      <c r="B74" s="71" t="s">
        <v>1123</v>
      </c>
      <c r="C74" s="71" t="s">
        <v>864</v>
      </c>
      <c r="E74" s="71" t="s">
        <v>142</v>
      </c>
      <c r="I74" s="71" t="s">
        <v>1124</v>
      </c>
    </row>
    <row r="75" customFormat="false" ht="15" hidden="false" customHeight="false" outlineLevel="0" collapsed="false">
      <c r="A75" s="71" t="s">
        <v>29</v>
      </c>
      <c r="B75" s="71" t="s">
        <v>1125</v>
      </c>
      <c r="C75" s="71" t="s">
        <v>850</v>
      </c>
      <c r="E75" s="71" t="s">
        <v>132</v>
      </c>
      <c r="G75" s="71" t="s">
        <v>142</v>
      </c>
      <c r="I75" s="71" t="s">
        <v>1126</v>
      </c>
    </row>
    <row r="76" customFormat="false" ht="15" hidden="false" customHeight="false" outlineLevel="0" collapsed="false">
      <c r="A76" s="71" t="s">
        <v>29</v>
      </c>
      <c r="B76" s="71" t="s">
        <v>1127</v>
      </c>
      <c r="C76" s="71" t="s">
        <v>887</v>
      </c>
      <c r="E76" s="71" t="s">
        <v>142</v>
      </c>
      <c r="H76" s="71" t="s">
        <v>1128</v>
      </c>
    </row>
    <row r="77" customFormat="false" ht="15" hidden="false" customHeight="false" outlineLevel="0" collapsed="false">
      <c r="A77" s="71" t="s">
        <v>29</v>
      </c>
      <c r="B77" s="71" t="s">
        <v>1129</v>
      </c>
      <c r="C77" s="71" t="s">
        <v>868</v>
      </c>
      <c r="E77" s="71" t="s">
        <v>132</v>
      </c>
      <c r="G77" s="71" t="s">
        <v>142</v>
      </c>
      <c r="I77" s="71" t="s">
        <v>1130</v>
      </c>
    </row>
    <row r="78" customFormat="false" ht="15" hidden="false" customHeight="false" outlineLevel="0" collapsed="false">
      <c r="A78" s="71" t="s">
        <v>29</v>
      </c>
      <c r="B78" s="71" t="s">
        <v>1131</v>
      </c>
      <c r="C78" s="71" t="s">
        <v>901</v>
      </c>
      <c r="E78" s="71" t="s">
        <v>142</v>
      </c>
    </row>
    <row r="79" customFormat="false" ht="15" hidden="false" customHeight="false" outlineLevel="0" collapsed="false">
      <c r="A79" s="71" t="s">
        <v>29</v>
      </c>
      <c r="B79" s="71" t="s">
        <v>1132</v>
      </c>
      <c r="C79" s="71" t="s">
        <v>884</v>
      </c>
      <c r="E79" s="71" t="s">
        <v>142</v>
      </c>
    </row>
    <row r="80" customFormat="false" ht="15" hidden="false" customHeight="false" outlineLevel="0" collapsed="false">
      <c r="A80" s="71" t="s">
        <v>29</v>
      </c>
      <c r="B80" s="71" t="s">
        <v>1133</v>
      </c>
      <c r="C80" s="71" t="s">
        <v>908</v>
      </c>
      <c r="E80" s="71" t="s">
        <v>132</v>
      </c>
    </row>
    <row r="81" customFormat="false" ht="15" hidden="false" customHeight="false" outlineLevel="0" collapsed="false">
      <c r="A81" s="71" t="s">
        <v>29</v>
      </c>
      <c r="B81" s="71" t="s">
        <v>1134</v>
      </c>
      <c r="C81" s="71" t="s">
        <v>878</v>
      </c>
      <c r="E81" s="71" t="s">
        <v>142</v>
      </c>
      <c r="F81" s="71" t="s">
        <v>1135</v>
      </c>
      <c r="I81" s="71" t="s">
        <v>1135</v>
      </c>
    </row>
    <row r="82" customFormat="false" ht="15" hidden="false" customHeight="false" outlineLevel="0" collapsed="false">
      <c r="A82" s="71" t="s">
        <v>29</v>
      </c>
      <c r="B82" s="71" t="s">
        <v>1136</v>
      </c>
      <c r="C82" s="71" t="s">
        <v>855</v>
      </c>
      <c r="E82" s="71" t="s">
        <v>132</v>
      </c>
    </row>
    <row r="83" customFormat="false" ht="15" hidden="false" customHeight="false" outlineLevel="0" collapsed="false">
      <c r="A83" s="71" t="s">
        <v>29</v>
      </c>
      <c r="B83" s="71" t="s">
        <v>1137</v>
      </c>
      <c r="C83" s="71" t="s">
        <v>904</v>
      </c>
      <c r="E83" s="71" t="s">
        <v>142</v>
      </c>
    </row>
    <row r="84" customFormat="false" ht="15" hidden="false" customHeight="false" outlineLevel="0" collapsed="false">
      <c r="A84" s="71" t="s">
        <v>29</v>
      </c>
      <c r="B84" s="71" t="s">
        <v>1138</v>
      </c>
      <c r="C84" s="71" t="s">
        <v>847</v>
      </c>
      <c r="E84" s="71" t="s">
        <v>132</v>
      </c>
    </row>
    <row r="85" customFormat="false" ht="15" hidden="false" customHeight="false" outlineLevel="0" collapsed="false">
      <c r="A85" s="71" t="s">
        <v>29</v>
      </c>
      <c r="B85" s="71" t="s">
        <v>1139</v>
      </c>
      <c r="C85" s="71" t="s">
        <v>837</v>
      </c>
      <c r="E85" s="71" t="s">
        <v>132</v>
      </c>
      <c r="G85" s="71" t="s">
        <v>1071</v>
      </c>
      <c r="I85" s="71" t="s">
        <v>1140</v>
      </c>
    </row>
    <row r="86" customFormat="false" ht="15" hidden="false" customHeight="false" outlineLevel="0" collapsed="false">
      <c r="A86" s="71" t="s">
        <v>32</v>
      </c>
      <c r="B86" s="71" t="s">
        <v>1141</v>
      </c>
      <c r="C86" s="71" t="s">
        <v>538</v>
      </c>
      <c r="E86" s="71" t="s">
        <v>132</v>
      </c>
      <c r="G86" s="71" t="s">
        <v>1071</v>
      </c>
      <c r="H86" s="71" t="s">
        <v>539</v>
      </c>
      <c r="I86" s="71" t="s">
        <v>1142</v>
      </c>
    </row>
    <row r="87" customFormat="false" ht="15" hidden="false" customHeight="false" outlineLevel="0" collapsed="false">
      <c r="A87" s="71" t="s">
        <v>32</v>
      </c>
      <c r="B87" s="71" t="s">
        <v>1143</v>
      </c>
      <c r="C87" s="71" t="s">
        <v>521</v>
      </c>
      <c r="E87" s="71" t="s">
        <v>132</v>
      </c>
      <c r="G87" s="71" t="s">
        <v>1071</v>
      </c>
      <c r="H87" s="71" t="s">
        <v>522</v>
      </c>
      <c r="I87" s="71" t="s">
        <v>1144</v>
      </c>
    </row>
    <row r="88" customFormat="false" ht="15" hidden="false" customHeight="false" outlineLevel="0" collapsed="false">
      <c r="A88" s="71" t="s">
        <v>32</v>
      </c>
      <c r="B88" s="71" t="s">
        <v>1145</v>
      </c>
      <c r="C88" s="71" t="s">
        <v>514</v>
      </c>
      <c r="E88" s="71" t="s">
        <v>132</v>
      </c>
      <c r="H88" s="71" t="s">
        <v>515</v>
      </c>
      <c r="I88" s="71" t="s">
        <v>1146</v>
      </c>
    </row>
    <row r="89" customFormat="false" ht="15" hidden="false" customHeight="false" outlineLevel="0" collapsed="false">
      <c r="A89" s="71" t="s">
        <v>32</v>
      </c>
      <c r="B89" s="71" t="s">
        <v>1147</v>
      </c>
      <c r="C89" s="71" t="s">
        <v>538</v>
      </c>
    </row>
    <row r="90" customFormat="false" ht="15" hidden="false" customHeight="false" outlineLevel="0" collapsed="false">
      <c r="A90" s="71" t="s">
        <v>32</v>
      </c>
      <c r="B90" s="71" t="s">
        <v>1148</v>
      </c>
      <c r="C90" s="71" t="s">
        <v>538</v>
      </c>
    </row>
    <row r="91" customFormat="false" ht="15" hidden="false" customHeight="false" outlineLevel="0" collapsed="false">
      <c r="A91" s="71" t="s">
        <v>32</v>
      </c>
      <c r="B91" s="71" t="s">
        <v>1149</v>
      </c>
      <c r="C91" s="71" t="s">
        <v>521</v>
      </c>
    </row>
    <row r="92" customFormat="false" ht="15" hidden="false" customHeight="false" outlineLevel="0" collapsed="false">
      <c r="A92" s="71" t="s">
        <v>32</v>
      </c>
      <c r="B92" s="71" t="s">
        <v>1150</v>
      </c>
      <c r="C92" s="71" t="s">
        <v>514</v>
      </c>
    </row>
    <row r="93" customFormat="false" ht="15" hidden="false" customHeight="false" outlineLevel="0" collapsed="false">
      <c r="A93" s="71" t="s">
        <v>32</v>
      </c>
      <c r="B93" s="71" t="s">
        <v>1151</v>
      </c>
      <c r="C93" s="71" t="s">
        <v>521</v>
      </c>
    </row>
    <row r="94" customFormat="false" ht="15" hidden="false" customHeight="false" outlineLevel="0" collapsed="false">
      <c r="A94" s="71" t="s">
        <v>32</v>
      </c>
      <c r="B94" s="71" t="s">
        <v>1152</v>
      </c>
      <c r="C94" s="71" t="s">
        <v>514</v>
      </c>
    </row>
    <row r="95" customFormat="false" ht="15" hidden="false" customHeight="false" outlineLevel="0" collapsed="false">
      <c r="A95" s="71" t="s">
        <v>32</v>
      </c>
      <c r="B95" s="71" t="s">
        <v>1153</v>
      </c>
      <c r="C95" s="71" t="s">
        <v>546</v>
      </c>
      <c r="E95" s="71" t="s">
        <v>132</v>
      </c>
      <c r="G95" s="71" t="s">
        <v>1071</v>
      </c>
      <c r="H95" s="71" t="s">
        <v>1154</v>
      </c>
      <c r="I95" s="71" t="s">
        <v>1155</v>
      </c>
    </row>
    <row r="96" customFormat="false" ht="15" hidden="false" customHeight="false" outlineLevel="0" collapsed="false">
      <c r="A96" s="71" t="s">
        <v>32</v>
      </c>
      <c r="B96" s="71" t="s">
        <v>1156</v>
      </c>
      <c r="C96" s="71" t="s">
        <v>509</v>
      </c>
      <c r="E96" s="71" t="s">
        <v>142</v>
      </c>
      <c r="H96" s="71" t="s">
        <v>1157</v>
      </c>
      <c r="I96" s="71" t="s">
        <v>1158</v>
      </c>
    </row>
    <row r="97" customFormat="false" ht="15" hidden="false" customHeight="false" outlineLevel="0" collapsed="false">
      <c r="A97" s="71" t="s">
        <v>30</v>
      </c>
      <c r="C97" s="71" t="s">
        <v>309</v>
      </c>
      <c r="D97" s="71" t="s">
        <v>324</v>
      </c>
    </row>
    <row r="98" customFormat="false" ht="15" hidden="false" customHeight="false" outlineLevel="0" collapsed="false">
      <c r="A98" s="71" t="s">
        <v>30</v>
      </c>
      <c r="C98" s="71" t="s">
        <v>309</v>
      </c>
      <c r="D98" s="71" t="s">
        <v>325</v>
      </c>
    </row>
    <row r="99" customFormat="false" ht="15" hidden="false" customHeight="false" outlineLevel="0" collapsed="false">
      <c r="A99" s="71" t="s">
        <v>30</v>
      </c>
      <c r="C99" s="71" t="s">
        <v>309</v>
      </c>
      <c r="D99" s="71" t="s">
        <v>326</v>
      </c>
    </row>
    <row r="100" customFormat="false" ht="15" hidden="false" customHeight="false" outlineLevel="0" collapsed="false">
      <c r="A100" s="71" t="s">
        <v>30</v>
      </c>
      <c r="C100" s="71" t="s">
        <v>309</v>
      </c>
      <c r="D100" s="71" t="s">
        <v>314</v>
      </c>
    </row>
    <row r="101" customFormat="false" ht="15" hidden="false" customHeight="false" outlineLevel="0" collapsed="false">
      <c r="A101" s="71" t="s">
        <v>30</v>
      </c>
      <c r="C101" s="71" t="s">
        <v>309</v>
      </c>
      <c r="D101" s="71" t="s">
        <v>318</v>
      </c>
    </row>
    <row r="102" customFormat="false" ht="15" hidden="false" customHeight="false" outlineLevel="0" collapsed="false">
      <c r="A102" s="71" t="s">
        <v>30</v>
      </c>
      <c r="C102" s="71" t="s">
        <v>309</v>
      </c>
      <c r="D102" s="71" t="s">
        <v>310</v>
      </c>
    </row>
    <row r="103" customFormat="false" ht="15" hidden="false" customHeight="false" outlineLevel="0" collapsed="false">
      <c r="A103" s="71" t="s">
        <v>30</v>
      </c>
      <c r="C103" s="71" t="s">
        <v>309</v>
      </c>
      <c r="D103" s="71" t="s">
        <v>321</v>
      </c>
    </row>
    <row r="104" customFormat="false" ht="15" hidden="false" customHeight="false" outlineLevel="0" collapsed="false">
      <c r="A104" s="71" t="s">
        <v>30</v>
      </c>
      <c r="C104" s="71" t="s">
        <v>309</v>
      </c>
      <c r="D104" s="71" t="s">
        <v>341</v>
      </c>
    </row>
    <row r="105" customFormat="false" ht="15" hidden="false" customHeight="false" outlineLevel="0" collapsed="false">
      <c r="A105" s="71" t="s">
        <v>30</v>
      </c>
      <c r="C105" s="71" t="s">
        <v>309</v>
      </c>
      <c r="D105" s="71" t="s">
        <v>322</v>
      </c>
    </row>
    <row r="106" customFormat="false" ht="15" hidden="false" customHeight="false" outlineLevel="0" collapsed="false">
      <c r="A106" s="71" t="s">
        <v>30</v>
      </c>
      <c r="C106" s="71" t="s">
        <v>309</v>
      </c>
      <c r="D106" s="71" t="s">
        <v>331</v>
      </c>
    </row>
    <row r="107" customFormat="false" ht="15" hidden="false" customHeight="false" outlineLevel="0" collapsed="false">
      <c r="A107" s="71" t="s">
        <v>30</v>
      </c>
      <c r="C107" s="71" t="s">
        <v>309</v>
      </c>
      <c r="D107" s="71" t="s">
        <v>1159</v>
      </c>
    </row>
    <row r="108" customFormat="false" ht="15" hidden="false" customHeight="false" outlineLevel="0" collapsed="false">
      <c r="A108" s="71" t="s">
        <v>30</v>
      </c>
      <c r="C108" s="71" t="s">
        <v>315</v>
      </c>
    </row>
    <row r="109" customFormat="false" ht="15" hidden="false" customHeight="false" outlineLevel="0" collapsed="false">
      <c r="A109" s="71" t="s">
        <v>30</v>
      </c>
      <c r="C109" s="71" t="s">
        <v>332</v>
      </c>
    </row>
    <row r="110" customFormat="false" ht="15" hidden="false" customHeight="false" outlineLevel="0" collapsed="false">
      <c r="A110" s="71" t="s">
        <v>30</v>
      </c>
      <c r="C110" s="71" t="s">
        <v>340</v>
      </c>
    </row>
    <row r="111" customFormat="false" ht="15" hidden="false" customHeight="false" outlineLevel="0" collapsed="false">
      <c r="A111" s="71" t="s">
        <v>30</v>
      </c>
      <c r="C111" s="71" t="s">
        <v>327</v>
      </c>
    </row>
    <row r="112" customFormat="false" ht="15" hidden="false" customHeight="false" outlineLevel="0" collapsed="false">
      <c r="A112" s="71" t="s">
        <v>30</v>
      </c>
      <c r="C112" s="71" t="s">
        <v>328</v>
      </c>
    </row>
    <row r="113" customFormat="false" ht="15" hidden="false" customHeight="false" outlineLevel="0" collapsed="false">
      <c r="A113" s="71" t="s">
        <v>30</v>
      </c>
      <c r="C113" s="71" t="s">
        <v>1160</v>
      </c>
    </row>
    <row r="114" customFormat="false" ht="15" hidden="false" customHeight="false" outlineLevel="0" collapsed="false">
      <c r="A114" s="71" t="s">
        <v>30</v>
      </c>
      <c r="C114" s="71" t="s">
        <v>308</v>
      </c>
    </row>
    <row r="115" customFormat="false" ht="15" hidden="false" customHeight="false" outlineLevel="0" collapsed="false">
      <c r="A115" s="71" t="s">
        <v>30</v>
      </c>
      <c r="C115" s="71" t="s">
        <v>323</v>
      </c>
    </row>
    <row r="116" customFormat="false" ht="15" hidden="false" customHeight="false" outlineLevel="0" collapsed="false">
      <c r="A116" s="71" t="s">
        <v>30</v>
      </c>
      <c r="C116" s="71" t="s">
        <v>313</v>
      </c>
    </row>
    <row r="117" customFormat="false" ht="15" hidden="false" customHeight="false" outlineLevel="0" collapsed="false">
      <c r="A117" s="71" t="s">
        <v>1161</v>
      </c>
      <c r="B117" s="71" t="s">
        <v>1162</v>
      </c>
    </row>
    <row r="118" customFormat="false" ht="15" hidden="false" customHeight="false" outlineLevel="0" collapsed="false">
      <c r="B118" s="71" t="s">
        <v>1163</v>
      </c>
    </row>
    <row r="119" customFormat="false" ht="15" hidden="false" customHeight="false" outlineLevel="0" collapsed="false">
      <c r="B119" s="71" t="s">
        <v>1164</v>
      </c>
    </row>
    <row r="120" customFormat="false" ht="15" hidden="false" customHeight="false" outlineLevel="0" collapsed="false">
      <c r="B120" s="71" t="s">
        <v>1165</v>
      </c>
    </row>
    <row r="121" customFormat="false" ht="15" hidden="false" customHeight="false" outlineLevel="0" collapsed="false">
      <c r="B121" s="71" t="s">
        <v>1166</v>
      </c>
    </row>
    <row r="122" customFormat="false" ht="15" hidden="false" customHeight="false" outlineLevel="0" collapsed="false">
      <c r="B122" s="71" t="s">
        <v>1167</v>
      </c>
    </row>
    <row r="123" customFormat="false" ht="15" hidden="false" customHeight="false" outlineLevel="0" collapsed="false">
      <c r="B123" s="71" t="s">
        <v>1168</v>
      </c>
    </row>
    <row r="124" customFormat="false" ht="15" hidden="false" customHeight="false" outlineLevel="0" collapsed="false">
      <c r="B124" s="71" t="s">
        <v>1169</v>
      </c>
    </row>
    <row r="125" customFormat="false" ht="15" hidden="false" customHeight="false" outlineLevel="0" collapsed="false">
      <c r="B125" s="71" t="s">
        <v>1170</v>
      </c>
    </row>
    <row r="126" customFormat="false" ht="15" hidden="false" customHeight="false" outlineLevel="0" collapsed="false">
      <c r="B126" s="71" t="s">
        <v>1171</v>
      </c>
    </row>
    <row r="127" customFormat="false" ht="15" hidden="false" customHeight="false" outlineLevel="0" collapsed="false">
      <c r="B127" s="71" t="s">
        <v>1172</v>
      </c>
    </row>
    <row r="128" customFormat="false" ht="15" hidden="false" customHeight="false" outlineLevel="0" collapsed="false">
      <c r="B128" s="71" t="s">
        <v>1173</v>
      </c>
    </row>
    <row r="129" customFormat="false" ht="15" hidden="false" customHeight="false" outlineLevel="0" collapsed="false">
      <c r="B129" s="71" t="s">
        <v>1174</v>
      </c>
    </row>
    <row r="130" customFormat="false" ht="15" hidden="false" customHeight="false" outlineLevel="0" collapsed="false">
      <c r="A130" s="71" t="s">
        <v>1175</v>
      </c>
      <c r="B130" s="71" t="s">
        <v>1176</v>
      </c>
      <c r="C130" s="71" t="s">
        <v>479</v>
      </c>
      <c r="H130" s="71" t="s">
        <v>1177</v>
      </c>
    </row>
    <row r="131" customFormat="false" ht="15" hidden="false" customHeight="false" outlineLevel="0" collapsed="false">
      <c r="B131" s="71" t="s">
        <v>1178</v>
      </c>
      <c r="C131" s="71" t="s">
        <v>496</v>
      </c>
      <c r="H131" s="71" t="s">
        <v>1179</v>
      </c>
    </row>
    <row r="132" customFormat="false" ht="15" hidden="false" customHeight="false" outlineLevel="0" collapsed="false">
      <c r="B132" s="71" t="s">
        <v>1180</v>
      </c>
      <c r="C132" s="71" t="s">
        <v>470</v>
      </c>
      <c r="H132" s="71" t="s">
        <v>1181</v>
      </c>
    </row>
    <row r="133" customFormat="false" ht="15" hidden="false" customHeight="false" outlineLevel="0" collapsed="false">
      <c r="B133" s="71" t="s">
        <v>1182</v>
      </c>
      <c r="C133" s="71" t="s">
        <v>437</v>
      </c>
      <c r="H133" s="71" t="s">
        <v>1183</v>
      </c>
    </row>
    <row r="134" customFormat="false" ht="15" hidden="false" customHeight="false" outlineLevel="0" collapsed="false">
      <c r="B134" s="71" t="s">
        <v>1184</v>
      </c>
      <c r="C134" s="71" t="s">
        <v>405</v>
      </c>
    </row>
    <row r="135" customFormat="false" ht="15" hidden="false" customHeight="false" outlineLevel="0" collapsed="false">
      <c r="B135" s="71" t="s">
        <v>1185</v>
      </c>
      <c r="C135" s="71" t="s">
        <v>468</v>
      </c>
    </row>
    <row r="136" customFormat="false" ht="15" hidden="false" customHeight="false" outlineLevel="0" collapsed="false">
      <c r="B136" s="71" t="s">
        <v>1186</v>
      </c>
      <c r="C136" s="71" t="s">
        <v>425</v>
      </c>
      <c r="H136" s="71" t="s">
        <v>1187</v>
      </c>
    </row>
    <row r="137" customFormat="false" ht="15" hidden="false" customHeight="false" outlineLevel="0" collapsed="false">
      <c r="B137" s="71" t="s">
        <v>1188</v>
      </c>
      <c r="C137" s="71" t="s">
        <v>393</v>
      </c>
      <c r="H137" s="71" t="s">
        <v>1189</v>
      </c>
    </row>
    <row r="138" customFormat="false" ht="15" hidden="false" customHeight="false" outlineLevel="0" collapsed="false">
      <c r="B138" s="71" t="s">
        <v>1190</v>
      </c>
      <c r="C138" s="71" t="s">
        <v>488</v>
      </c>
      <c r="H138" s="71" t="s">
        <v>489</v>
      </c>
    </row>
    <row r="139" customFormat="false" ht="15" hidden="false" customHeight="false" outlineLevel="0" collapsed="false">
      <c r="B139" s="71" t="s">
        <v>1191</v>
      </c>
      <c r="C139" s="71" t="s">
        <v>390</v>
      </c>
      <c r="H139" s="71" t="s">
        <v>1192</v>
      </c>
    </row>
    <row r="140" customFormat="false" ht="15" hidden="false" customHeight="false" outlineLevel="0" collapsed="false">
      <c r="B140" s="71" t="s">
        <v>1193</v>
      </c>
      <c r="C140" s="71" t="s">
        <v>473</v>
      </c>
      <c r="H140" s="71" t="s">
        <v>1194</v>
      </c>
    </row>
    <row r="141" customFormat="false" ht="15" hidden="false" customHeight="false" outlineLevel="0" collapsed="false">
      <c r="B141" s="71" t="s">
        <v>1195</v>
      </c>
      <c r="C141" s="71" t="s">
        <v>482</v>
      </c>
      <c r="H141" s="71" t="s">
        <v>1196</v>
      </c>
    </row>
    <row r="142" customFormat="false" ht="15" hidden="false" customHeight="false" outlineLevel="0" collapsed="false">
      <c r="B142" s="71" t="s">
        <v>1197</v>
      </c>
      <c r="C142" s="71" t="s">
        <v>413</v>
      </c>
      <c r="H142" s="71" t="s">
        <v>1198</v>
      </c>
    </row>
    <row r="143" customFormat="false" ht="15" hidden="false" customHeight="false" outlineLevel="0" collapsed="false">
      <c r="B143" s="71" t="s">
        <v>1199</v>
      </c>
      <c r="C143" s="71" t="s">
        <v>410</v>
      </c>
      <c r="H143" s="71" t="s">
        <v>1200</v>
      </c>
    </row>
    <row r="144" customFormat="false" ht="15" hidden="false" customHeight="false" outlineLevel="0" collapsed="false">
      <c r="B144" s="71" t="s">
        <v>1201</v>
      </c>
      <c r="C144" s="71" t="s">
        <v>419</v>
      </c>
      <c r="H144" s="71" t="s">
        <v>1202</v>
      </c>
    </row>
    <row r="145" customFormat="false" ht="15" hidden="false" customHeight="false" outlineLevel="0" collapsed="false">
      <c r="B145" s="71" t="s">
        <v>1203</v>
      </c>
      <c r="C145" s="71" t="s">
        <v>476</v>
      </c>
      <c r="H145" s="71" t="s">
        <v>1204</v>
      </c>
    </row>
    <row r="146" customFormat="false" ht="15" hidden="false" customHeight="false" outlineLevel="0" collapsed="false">
      <c r="B146" s="71" t="s">
        <v>1205</v>
      </c>
      <c r="C146" s="71" t="s">
        <v>463</v>
      </c>
      <c r="H146" s="71" t="s">
        <v>1206</v>
      </c>
    </row>
    <row r="147" customFormat="false" ht="15" hidden="false" customHeight="false" outlineLevel="0" collapsed="false">
      <c r="B147" s="71" t="s">
        <v>1207</v>
      </c>
      <c r="C147" s="71" t="s">
        <v>443</v>
      </c>
      <c r="H147" s="71" t="s">
        <v>444</v>
      </c>
    </row>
    <row r="148" customFormat="false" ht="15" hidden="false" customHeight="false" outlineLevel="0" collapsed="false">
      <c r="B148" s="71" t="s">
        <v>1208</v>
      </c>
      <c r="C148" s="71" t="s">
        <v>454</v>
      </c>
      <c r="H148" s="71" t="s">
        <v>455</v>
      </c>
    </row>
    <row r="149" customFormat="false" ht="15" hidden="false" customHeight="false" outlineLevel="0" collapsed="false">
      <c r="B149" s="71" t="s">
        <v>1209</v>
      </c>
      <c r="C149" s="71" t="s">
        <v>402</v>
      </c>
      <c r="H149" s="71" t="s">
        <v>403</v>
      </c>
    </row>
    <row r="150" customFormat="false" ht="15" hidden="false" customHeight="false" outlineLevel="0" collapsed="false">
      <c r="B150" s="71" t="s">
        <v>1210</v>
      </c>
      <c r="C150" s="71" t="s">
        <v>466</v>
      </c>
      <c r="H150" s="71" t="s">
        <v>467</v>
      </c>
    </row>
    <row r="151" customFormat="false" ht="15" hidden="false" customHeight="false" outlineLevel="0" collapsed="false">
      <c r="B151" s="71" t="s">
        <v>1211</v>
      </c>
      <c r="C151" s="71" t="s">
        <v>431</v>
      </c>
      <c r="H151" s="71" t="s">
        <v>432</v>
      </c>
    </row>
    <row r="152" customFormat="false" ht="15" hidden="false" customHeight="false" outlineLevel="0" collapsed="false">
      <c r="B152" s="71" t="s">
        <v>1212</v>
      </c>
      <c r="C152" s="71" t="s">
        <v>416</v>
      </c>
      <c r="H152" s="71" t="s">
        <v>417</v>
      </c>
    </row>
    <row r="153" customFormat="false" ht="15" hidden="false" customHeight="false" outlineLevel="0" collapsed="false">
      <c r="B153" s="71" t="s">
        <v>1213</v>
      </c>
      <c r="C153" s="71" t="s">
        <v>422</v>
      </c>
      <c r="H153" s="71" t="s">
        <v>423</v>
      </c>
    </row>
    <row r="154" customFormat="false" ht="15" hidden="false" customHeight="false" outlineLevel="0" collapsed="false">
      <c r="B154" s="71" t="s">
        <v>1214</v>
      </c>
      <c r="C154" s="71" t="s">
        <v>399</v>
      </c>
      <c r="H154" s="71" t="s">
        <v>400</v>
      </c>
    </row>
    <row r="155" customFormat="false" ht="15" hidden="false" customHeight="false" outlineLevel="0" collapsed="false">
      <c r="B155" s="71" t="s">
        <v>1215</v>
      </c>
      <c r="C155" s="71" t="s">
        <v>440</v>
      </c>
      <c r="H155" s="71" t="s">
        <v>441</v>
      </c>
    </row>
    <row r="156" customFormat="false" ht="15" hidden="false" customHeight="false" outlineLevel="0" collapsed="false">
      <c r="B156" s="71" t="s">
        <v>1210</v>
      </c>
      <c r="C156" s="71" t="s">
        <v>396</v>
      </c>
      <c r="H156" s="71" t="s">
        <v>397</v>
      </c>
    </row>
    <row r="157" customFormat="false" ht="15" hidden="false" customHeight="false" outlineLevel="0" collapsed="false">
      <c r="B157" s="71" t="s">
        <v>1216</v>
      </c>
      <c r="C157" s="71" t="s">
        <v>457</v>
      </c>
      <c r="H157" s="71" t="s">
        <v>458</v>
      </c>
    </row>
    <row r="158" customFormat="false" ht="15" hidden="false" customHeight="false" outlineLevel="0" collapsed="false">
      <c r="B158" s="71" t="s">
        <v>1217</v>
      </c>
      <c r="C158" s="71" t="s">
        <v>491</v>
      </c>
      <c r="H158" s="71" t="s">
        <v>492</v>
      </c>
    </row>
    <row r="159" customFormat="false" ht="15" hidden="false" customHeight="false" outlineLevel="0" collapsed="false">
      <c r="B159" s="71" t="s">
        <v>1218</v>
      </c>
      <c r="C159" s="71" t="s">
        <v>451</v>
      </c>
      <c r="H159" s="71" t="s">
        <v>452</v>
      </c>
    </row>
    <row r="160" customFormat="false" ht="15" hidden="false" customHeight="false" outlineLevel="0" collapsed="false">
      <c r="B160" s="71" t="s">
        <v>1219</v>
      </c>
      <c r="C160" s="71" t="s">
        <v>428</v>
      </c>
      <c r="H160" s="71" t="s">
        <v>429</v>
      </c>
    </row>
    <row r="161" customFormat="false" ht="15" hidden="false" customHeight="false" outlineLevel="0" collapsed="false">
      <c r="B161" s="71" t="s">
        <v>1220</v>
      </c>
      <c r="C161" s="71" t="s">
        <v>446</v>
      </c>
      <c r="H161" s="71" t="s">
        <v>447</v>
      </c>
    </row>
    <row r="162" customFormat="false" ht="15" hidden="false" customHeight="false" outlineLevel="0" collapsed="false">
      <c r="B162" s="71" t="s">
        <v>1221</v>
      </c>
      <c r="C162" s="71" t="s">
        <v>485</v>
      </c>
      <c r="H162" s="71" t="s">
        <v>486</v>
      </c>
    </row>
    <row r="163" customFormat="false" ht="15" hidden="false" customHeight="false" outlineLevel="0" collapsed="false">
      <c r="B163" s="71" t="s">
        <v>1222</v>
      </c>
      <c r="C163" s="71" t="s">
        <v>407</v>
      </c>
      <c r="H163" s="71" t="s">
        <v>408</v>
      </c>
    </row>
    <row r="164" customFormat="false" ht="15" hidden="false" customHeight="false" outlineLevel="0" collapsed="false">
      <c r="B164" s="71" t="s">
        <v>1223</v>
      </c>
      <c r="C164" s="71" t="s">
        <v>434</v>
      </c>
      <c r="H164" s="71" t="s">
        <v>435</v>
      </c>
    </row>
    <row r="165" customFormat="false" ht="15" hidden="false" customHeight="false" outlineLevel="0" collapsed="false">
      <c r="B165" s="71" t="s">
        <v>1210</v>
      </c>
      <c r="C165" s="71" t="s">
        <v>494</v>
      </c>
      <c r="H165" s="71" t="s">
        <v>495</v>
      </c>
    </row>
    <row r="166" customFormat="false" ht="15" hidden="false" customHeight="false" outlineLevel="0" collapsed="false">
      <c r="B166" s="71" t="s">
        <v>1224</v>
      </c>
      <c r="C166" s="71" t="s">
        <v>460</v>
      </c>
      <c r="H166" s="71" t="s">
        <v>461</v>
      </c>
    </row>
    <row r="167" customFormat="false" ht="15" hidden="false" customHeight="false" outlineLevel="0" collapsed="false">
      <c r="A167" s="71" t="s">
        <v>1225</v>
      </c>
      <c r="B167" s="71" t="s">
        <v>1226</v>
      </c>
      <c r="C167" s="71" t="s">
        <v>802</v>
      </c>
      <c r="H167" s="71" t="s">
        <v>1227</v>
      </c>
    </row>
    <row r="168" customFormat="false" ht="15" hidden="false" customHeight="false" outlineLevel="0" collapsed="false">
      <c r="B168" s="71" t="s">
        <v>1228</v>
      </c>
      <c r="H168" s="71" t="s">
        <v>1229</v>
      </c>
    </row>
    <row r="169" customFormat="false" ht="15" hidden="false" customHeight="false" outlineLevel="0" collapsed="false">
      <c r="B169" s="71" t="s">
        <v>1230</v>
      </c>
      <c r="C169" s="71" t="s">
        <v>795</v>
      </c>
    </row>
    <row r="170" customFormat="false" ht="15" hidden="false" customHeight="false" outlineLevel="0" collapsed="false">
      <c r="B170" s="71" t="s">
        <v>1231</v>
      </c>
    </row>
    <row r="171" customFormat="false" ht="15" hidden="false" customHeight="false" outlineLevel="0" collapsed="false">
      <c r="B171" s="71" t="s">
        <v>1232</v>
      </c>
    </row>
    <row r="172" customFormat="false" ht="15" hidden="false" customHeight="false" outlineLevel="0" collapsed="false">
      <c r="B172" s="71" t="s">
        <v>1233</v>
      </c>
      <c r="H172" s="71" t="s">
        <v>1234</v>
      </c>
    </row>
    <row r="173" customFormat="false" ht="15" hidden="false" customHeight="false" outlineLevel="0" collapsed="false">
      <c r="B173" s="71" t="s">
        <v>1235</v>
      </c>
      <c r="H173" s="71" t="s">
        <v>1236</v>
      </c>
    </row>
    <row r="174" customFormat="false" ht="15" hidden="false" customHeight="false" outlineLevel="0" collapsed="false">
      <c r="B174" s="71" t="s">
        <v>1237</v>
      </c>
      <c r="C174" s="71" t="s">
        <v>792</v>
      </c>
      <c r="H174" s="71" t="s">
        <v>1238</v>
      </c>
    </row>
    <row r="175" customFormat="false" ht="15" hidden="false" customHeight="false" outlineLevel="0" collapsed="false">
      <c r="B175" s="71" t="s">
        <v>1239</v>
      </c>
      <c r="H175" s="71" t="s">
        <v>1240</v>
      </c>
    </row>
    <row r="176" customFormat="false" ht="15" hidden="false" customHeight="false" outlineLevel="0" collapsed="false">
      <c r="B176" s="71" t="s">
        <v>1241</v>
      </c>
      <c r="C176" s="71" t="s">
        <v>799</v>
      </c>
      <c r="H176" s="71" t="s">
        <v>1242</v>
      </c>
    </row>
    <row r="177" customFormat="false" ht="15" hidden="false" customHeight="false" outlineLevel="0" collapsed="false">
      <c r="A177" s="71" t="s">
        <v>1243</v>
      </c>
      <c r="B177" s="71" t="s">
        <v>1244</v>
      </c>
      <c r="C177" s="71" t="s">
        <v>809</v>
      </c>
    </row>
    <row r="178" customFormat="false" ht="15" hidden="false" customHeight="false" outlineLevel="0" collapsed="false">
      <c r="C178" s="71" t="s">
        <v>830</v>
      </c>
    </row>
    <row r="179" customFormat="false" ht="15" hidden="false" customHeight="false" outlineLevel="0" collapsed="false">
      <c r="C179" s="71" t="s">
        <v>833</v>
      </c>
    </row>
    <row r="180" customFormat="false" ht="15" hidden="false" customHeight="false" outlineLevel="0" collapsed="false">
      <c r="B180" s="71" t="s">
        <v>1245</v>
      </c>
      <c r="C180" s="71" t="s">
        <v>823</v>
      </c>
    </row>
    <row r="181" customFormat="false" ht="15" hidden="false" customHeight="false" outlineLevel="0" collapsed="false">
      <c r="B181" s="71" t="s">
        <v>1246</v>
      </c>
      <c r="C181" s="71" t="s">
        <v>821</v>
      </c>
    </row>
    <row r="182" customFormat="false" ht="15" hidden="false" customHeight="false" outlineLevel="0" collapsed="false">
      <c r="B182" s="71" t="s">
        <v>1247</v>
      </c>
      <c r="C182" s="71" t="s">
        <v>1248</v>
      </c>
    </row>
    <row r="183" customFormat="false" ht="15" hidden="false" customHeight="false" outlineLevel="0" collapsed="false">
      <c r="B183" s="71" t="s">
        <v>1249</v>
      </c>
      <c r="C183" s="71" t="s">
        <v>815</v>
      </c>
    </row>
    <row r="184" customFormat="false" ht="15" hidden="false" customHeight="false" outlineLevel="0" collapsed="false">
      <c r="B184" s="71" t="s">
        <v>1250</v>
      </c>
      <c r="C184" s="71" t="s">
        <v>831</v>
      </c>
    </row>
    <row r="185" customFormat="false" ht="15" hidden="false" customHeight="false" outlineLevel="0" collapsed="false">
      <c r="B185" s="71" t="s">
        <v>1251</v>
      </c>
      <c r="C185" s="71" t="s">
        <v>817</v>
      </c>
    </row>
    <row r="186" customFormat="false" ht="15" hidden="false" customHeight="false" outlineLevel="0" collapsed="false">
      <c r="B186" s="71" t="s">
        <v>1252</v>
      </c>
      <c r="C186" s="71" t="s">
        <v>828</v>
      </c>
    </row>
    <row r="187" customFormat="false" ht="15" hidden="false" customHeight="false" outlineLevel="0" collapsed="false">
      <c r="A187" s="71" t="s">
        <v>1253</v>
      </c>
      <c r="B187" s="71" t="s">
        <v>1254</v>
      </c>
      <c r="C187" s="71" t="s">
        <v>356</v>
      </c>
    </row>
    <row r="188" customFormat="false" ht="15" hidden="false" customHeight="false" outlineLevel="0" collapsed="false">
      <c r="B188" s="71" t="s">
        <v>1255</v>
      </c>
      <c r="C188" s="71" t="s">
        <v>344</v>
      </c>
    </row>
    <row r="189" customFormat="false" ht="15" hidden="false" customHeight="false" outlineLevel="0" collapsed="false">
      <c r="B189" s="71" t="s">
        <v>1256</v>
      </c>
      <c r="C189" s="71" t="s">
        <v>354</v>
      </c>
    </row>
    <row r="190" customFormat="false" ht="15" hidden="false" customHeight="false" outlineLevel="0" collapsed="false">
      <c r="B190" s="71" t="s">
        <v>1257</v>
      </c>
      <c r="C190" s="71" t="s">
        <v>350</v>
      </c>
    </row>
    <row r="191" customFormat="false" ht="15" hidden="false" customHeight="false" outlineLevel="0" collapsed="false">
      <c r="B191" s="71" t="s">
        <v>1258</v>
      </c>
      <c r="C191" s="71" t="s">
        <v>346</v>
      </c>
    </row>
    <row r="192" customFormat="false" ht="15" hidden="false" customHeight="false" outlineLevel="0" collapsed="false">
      <c r="B192" s="71" t="s">
        <v>1259</v>
      </c>
      <c r="C192" s="71" t="s">
        <v>348</v>
      </c>
    </row>
    <row r="193" customFormat="false" ht="15" hidden="false" customHeight="false" outlineLevel="0" collapsed="false">
      <c r="B193" s="71" t="s">
        <v>1260</v>
      </c>
      <c r="C193" s="71" t="s">
        <v>362</v>
      </c>
    </row>
    <row r="194" customFormat="false" ht="15" hidden="false" customHeight="false" outlineLevel="0" collapsed="false">
      <c r="B194" s="71" t="s">
        <v>1261</v>
      </c>
      <c r="C194" s="71" t="s">
        <v>358</v>
      </c>
    </row>
    <row r="195" customFormat="false" ht="15" hidden="false" customHeight="false" outlineLevel="0" collapsed="false">
      <c r="B195" s="71" t="s">
        <v>1262</v>
      </c>
      <c r="C195" s="71" t="s">
        <v>352</v>
      </c>
    </row>
    <row r="196" customFormat="false" ht="15" hidden="false" customHeight="false" outlineLevel="0" collapsed="false">
      <c r="B196" s="71" t="s">
        <v>1263</v>
      </c>
      <c r="C196" s="71" t="s">
        <v>342</v>
      </c>
    </row>
    <row r="197" customFormat="false" ht="15" hidden="false" customHeight="false" outlineLevel="0" collapsed="false">
      <c r="B197" s="71" t="s">
        <v>1264</v>
      </c>
      <c r="C197" s="71" t="s">
        <v>360</v>
      </c>
    </row>
    <row r="240" customFormat="false" ht="15" hidden="false" customHeight="false" outlineLevel="0" collapsed="false">
      <c r="A240" s="71" t="s">
        <v>1265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I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7" min="1" style="0" width="20"/>
  </cols>
  <sheetData>
    <row r="1" customFormat="false" ht="15" hidden="false" customHeight="false" outlineLevel="0" collapsed="false">
      <c r="A1" s="69" t="s">
        <v>96</v>
      </c>
      <c r="B1" s="69" t="s">
        <v>16</v>
      </c>
      <c r="C1" s="69" t="s">
        <v>99</v>
      </c>
      <c r="D1" s="69" t="s">
        <v>118</v>
      </c>
      <c r="E1" s="69" t="s">
        <v>53</v>
      </c>
      <c r="F1" s="69" t="s">
        <v>1266</v>
      </c>
      <c r="G1" s="69" t="s">
        <v>1267</v>
      </c>
      <c r="I1" s="70" t="s">
        <v>982</v>
      </c>
    </row>
    <row r="2" customFormat="false" ht="15" hidden="false" customHeight="false" outlineLevel="0" collapsed="false">
      <c r="A2" s="71" t="s">
        <v>557</v>
      </c>
      <c r="B2" s="71" t="s">
        <v>26</v>
      </c>
      <c r="C2" s="71" t="s">
        <v>558</v>
      </c>
      <c r="D2" s="71" t="s">
        <v>142</v>
      </c>
      <c r="E2" s="72" t="n">
        <v>46055</v>
      </c>
    </row>
    <row r="3" customFormat="false" ht="15" hidden="false" customHeight="false" outlineLevel="0" collapsed="false">
      <c r="A3" s="71" t="s">
        <v>559</v>
      </c>
      <c r="B3" s="71" t="s">
        <v>26</v>
      </c>
      <c r="C3" s="71" t="s">
        <v>560</v>
      </c>
      <c r="D3" s="71" t="s">
        <v>142</v>
      </c>
      <c r="E3" s="72" t="n">
        <v>46055</v>
      </c>
    </row>
    <row r="4" customFormat="false" ht="15" hidden="false" customHeight="false" outlineLevel="0" collapsed="false">
      <c r="A4" s="71" t="s">
        <v>561</v>
      </c>
      <c r="B4" s="71" t="s">
        <v>26</v>
      </c>
      <c r="C4" s="71" t="s">
        <v>562</v>
      </c>
      <c r="D4" s="71" t="s">
        <v>142</v>
      </c>
      <c r="E4" s="72" t="n">
        <v>46055</v>
      </c>
    </row>
    <row r="5" customFormat="false" ht="15" hidden="false" customHeight="false" outlineLevel="0" collapsed="false">
      <c r="A5" s="71" t="s">
        <v>569</v>
      </c>
      <c r="B5" s="71" t="s">
        <v>26</v>
      </c>
      <c r="C5" s="71" t="s">
        <v>570</v>
      </c>
      <c r="D5" s="71" t="s">
        <v>142</v>
      </c>
      <c r="E5" s="72" t="n">
        <v>46055</v>
      </c>
    </row>
    <row r="6" customFormat="false" ht="15" hidden="false" customHeight="false" outlineLevel="0" collapsed="false">
      <c r="A6" s="71" t="s">
        <v>571</v>
      </c>
      <c r="B6" s="71" t="s">
        <v>26</v>
      </c>
      <c r="C6" s="71" t="s">
        <v>572</v>
      </c>
      <c r="D6" s="71" t="s">
        <v>142</v>
      </c>
      <c r="E6" s="72" t="n">
        <v>46055</v>
      </c>
    </row>
    <row r="7" customFormat="false" ht="15" hidden="false" customHeight="false" outlineLevel="0" collapsed="false">
      <c r="A7" s="71" t="s">
        <v>575</v>
      </c>
      <c r="B7" s="71" t="s">
        <v>26</v>
      </c>
      <c r="C7" s="71" t="s">
        <v>576</v>
      </c>
      <c r="D7" s="71" t="s">
        <v>142</v>
      </c>
      <c r="E7" s="72" t="n">
        <v>46055</v>
      </c>
    </row>
    <row r="8" customFormat="false" ht="15" hidden="false" customHeight="false" outlineLevel="0" collapsed="false">
      <c r="A8" s="71" t="s">
        <v>577</v>
      </c>
      <c r="B8" s="71" t="s">
        <v>26</v>
      </c>
      <c r="C8" s="71" t="s">
        <v>578</v>
      </c>
      <c r="D8" s="71" t="s">
        <v>142</v>
      </c>
      <c r="E8" s="72" t="n">
        <v>46055</v>
      </c>
    </row>
    <row r="9" customFormat="false" ht="15" hidden="false" customHeight="false" outlineLevel="0" collapsed="false">
      <c r="A9" s="71" t="s">
        <v>581</v>
      </c>
      <c r="B9" s="71" t="s">
        <v>26</v>
      </c>
      <c r="C9" s="71" t="s">
        <v>582</v>
      </c>
      <c r="D9" s="71" t="s">
        <v>142</v>
      </c>
      <c r="E9" s="72" t="n">
        <v>46055</v>
      </c>
    </row>
    <row r="10" customFormat="false" ht="15" hidden="false" customHeight="false" outlineLevel="0" collapsed="false">
      <c r="A10" s="71" t="s">
        <v>583</v>
      </c>
      <c r="B10" s="71" t="s">
        <v>26</v>
      </c>
      <c r="C10" s="71" t="s">
        <v>584</v>
      </c>
      <c r="D10" s="71" t="s">
        <v>142</v>
      </c>
      <c r="E10" s="72" t="n">
        <v>46055</v>
      </c>
    </row>
    <row r="11" customFormat="false" ht="15" hidden="false" customHeight="false" outlineLevel="0" collapsed="false">
      <c r="A11" s="71" t="s">
        <v>585</v>
      </c>
      <c r="B11" s="71" t="s">
        <v>26</v>
      </c>
      <c r="C11" s="71" t="s">
        <v>586</v>
      </c>
      <c r="D11" s="71" t="s">
        <v>142</v>
      </c>
      <c r="E11" s="72" t="n">
        <v>46055</v>
      </c>
    </row>
    <row r="12" customFormat="false" ht="15" hidden="false" customHeight="false" outlineLevel="0" collapsed="false">
      <c r="A12" s="71" t="s">
        <v>587</v>
      </c>
      <c r="B12" s="71" t="s">
        <v>26</v>
      </c>
      <c r="C12" s="71" t="s">
        <v>588</v>
      </c>
      <c r="D12" s="71" t="s">
        <v>142</v>
      </c>
      <c r="E12" s="72" t="n">
        <v>46055</v>
      </c>
    </row>
    <row r="13" customFormat="false" ht="15" hidden="false" customHeight="false" outlineLevel="0" collapsed="false">
      <c r="A13" s="71" t="s">
        <v>589</v>
      </c>
      <c r="B13" s="71" t="s">
        <v>26</v>
      </c>
      <c r="C13" s="71" t="s">
        <v>590</v>
      </c>
      <c r="D13" s="71" t="s">
        <v>142</v>
      </c>
      <c r="E13" s="72" t="n">
        <v>46055</v>
      </c>
    </row>
    <row r="14" customFormat="false" ht="15" hidden="false" customHeight="false" outlineLevel="0" collapsed="false">
      <c r="A14" s="71" t="s">
        <v>593</v>
      </c>
      <c r="B14" s="71" t="s">
        <v>26</v>
      </c>
      <c r="C14" s="71" t="s">
        <v>594</v>
      </c>
      <c r="D14" s="71" t="s">
        <v>142</v>
      </c>
      <c r="E14" s="72" t="n">
        <v>46055</v>
      </c>
    </row>
    <row r="15" customFormat="false" ht="15" hidden="false" customHeight="false" outlineLevel="0" collapsed="false">
      <c r="A15" s="71" t="s">
        <v>595</v>
      </c>
      <c r="B15" s="71" t="s">
        <v>26</v>
      </c>
      <c r="C15" s="71" t="s">
        <v>596</v>
      </c>
      <c r="D15" s="71" t="s">
        <v>142</v>
      </c>
      <c r="E15" s="72" t="n">
        <v>46055</v>
      </c>
    </row>
    <row r="16" customFormat="false" ht="15" hidden="false" customHeight="false" outlineLevel="0" collapsed="false">
      <c r="A16" s="71" t="s">
        <v>599</v>
      </c>
      <c r="B16" s="71" t="s">
        <v>26</v>
      </c>
      <c r="C16" s="71" t="s">
        <v>600</v>
      </c>
      <c r="D16" s="71" t="s">
        <v>142</v>
      </c>
      <c r="E16" s="72" t="n">
        <v>46055</v>
      </c>
    </row>
    <row r="17" customFormat="false" ht="15" hidden="false" customHeight="false" outlineLevel="0" collapsed="false">
      <c r="A17" s="71" t="s">
        <v>601</v>
      </c>
      <c r="B17" s="71" t="s">
        <v>26</v>
      </c>
      <c r="C17" s="71" t="s">
        <v>602</v>
      </c>
      <c r="D17" s="71" t="s">
        <v>142</v>
      </c>
      <c r="E17" s="72" t="n">
        <v>46055</v>
      </c>
    </row>
    <row r="18" customFormat="false" ht="15" hidden="false" customHeight="false" outlineLevel="0" collapsed="false">
      <c r="A18" s="71" t="s">
        <v>605</v>
      </c>
      <c r="B18" s="71" t="s">
        <v>26</v>
      </c>
      <c r="C18" s="71" t="s">
        <v>606</v>
      </c>
      <c r="D18" s="71" t="s">
        <v>142</v>
      </c>
      <c r="E18" s="72" t="n">
        <v>46055</v>
      </c>
    </row>
    <row r="19" customFormat="false" ht="15" hidden="false" customHeight="false" outlineLevel="0" collapsed="false">
      <c r="A19" s="71" t="s">
        <v>607</v>
      </c>
      <c r="B19" s="71" t="s">
        <v>26</v>
      </c>
      <c r="C19" s="71" t="s">
        <v>608</v>
      </c>
      <c r="D19" s="71" t="s">
        <v>142</v>
      </c>
      <c r="E19" s="72" t="n">
        <v>46055</v>
      </c>
    </row>
    <row r="20" customFormat="false" ht="15" hidden="false" customHeight="false" outlineLevel="0" collapsed="false">
      <c r="A20" s="71" t="s">
        <v>609</v>
      </c>
      <c r="B20" s="71" t="s">
        <v>26</v>
      </c>
      <c r="C20" s="71" t="s">
        <v>610</v>
      </c>
      <c r="D20" s="71" t="s">
        <v>142</v>
      </c>
      <c r="E20" s="72" t="n">
        <v>46055</v>
      </c>
    </row>
    <row r="21" customFormat="false" ht="15" hidden="false" customHeight="false" outlineLevel="0" collapsed="false">
      <c r="A21" s="71" t="s">
        <v>611</v>
      </c>
      <c r="B21" s="71" t="s">
        <v>26</v>
      </c>
      <c r="C21" s="71" t="s">
        <v>612</v>
      </c>
      <c r="D21" s="71" t="s">
        <v>1268</v>
      </c>
      <c r="E21" s="72" t="n">
        <v>46055</v>
      </c>
    </row>
    <row r="22" customFormat="false" ht="15" hidden="false" customHeight="false" outlineLevel="0" collapsed="false">
      <c r="A22" s="71" t="s">
        <v>614</v>
      </c>
      <c r="B22" s="71" t="s">
        <v>26</v>
      </c>
      <c r="C22" s="71" t="s">
        <v>615</v>
      </c>
      <c r="D22" s="71" t="s">
        <v>142</v>
      </c>
      <c r="E22" s="72" t="n">
        <v>46055</v>
      </c>
    </row>
    <row r="23" customFormat="false" ht="15" hidden="false" customHeight="false" outlineLevel="0" collapsed="false">
      <c r="A23" s="71" t="s">
        <v>616</v>
      </c>
      <c r="B23" s="71" t="s">
        <v>26</v>
      </c>
      <c r="C23" s="71" t="s">
        <v>617</v>
      </c>
      <c r="D23" s="71" t="s">
        <v>142</v>
      </c>
      <c r="E23" s="72" t="n">
        <v>46055</v>
      </c>
    </row>
    <row r="24" customFormat="false" ht="15" hidden="false" customHeight="false" outlineLevel="0" collapsed="false">
      <c r="A24" s="71" t="s">
        <v>620</v>
      </c>
      <c r="B24" s="71" t="s">
        <v>26</v>
      </c>
      <c r="C24" s="71" t="s">
        <v>621</v>
      </c>
      <c r="D24" s="71" t="s">
        <v>142</v>
      </c>
      <c r="E24" s="72" t="n">
        <v>46055</v>
      </c>
    </row>
    <row r="25" customFormat="false" ht="15" hidden="false" customHeight="false" outlineLevel="0" collapsed="false">
      <c r="A25" s="71" t="s">
        <v>622</v>
      </c>
      <c r="B25" s="71" t="s">
        <v>26</v>
      </c>
      <c r="C25" s="71" t="s">
        <v>623</v>
      </c>
      <c r="D25" s="71" t="s">
        <v>142</v>
      </c>
      <c r="E25" s="72" t="n">
        <v>46055</v>
      </c>
    </row>
    <row r="26" customFormat="false" ht="15" hidden="false" customHeight="false" outlineLevel="0" collapsed="false">
      <c r="A26" s="71" t="s">
        <v>624</v>
      </c>
      <c r="B26" s="71" t="s">
        <v>26</v>
      </c>
      <c r="C26" s="71" t="s">
        <v>625</v>
      </c>
      <c r="D26" s="71" t="s">
        <v>142</v>
      </c>
      <c r="E26" s="72" t="n">
        <v>46055</v>
      </c>
    </row>
    <row r="27" customFormat="false" ht="15" hidden="false" customHeight="false" outlineLevel="0" collapsed="false">
      <c r="A27" s="71" t="s">
        <v>626</v>
      </c>
      <c r="B27" s="71" t="s">
        <v>26</v>
      </c>
      <c r="C27" s="71" t="s">
        <v>627</v>
      </c>
      <c r="D27" s="71" t="s">
        <v>142</v>
      </c>
      <c r="E27" s="72" t="n">
        <v>46055</v>
      </c>
    </row>
    <row r="28" customFormat="false" ht="15" hidden="false" customHeight="false" outlineLevel="0" collapsed="false">
      <c r="A28" s="71" t="s">
        <v>628</v>
      </c>
      <c r="B28" s="71" t="s">
        <v>26</v>
      </c>
      <c r="C28" s="71" t="s">
        <v>629</v>
      </c>
      <c r="D28" s="71" t="s">
        <v>142</v>
      </c>
      <c r="E28" s="72" t="n">
        <v>46055</v>
      </c>
    </row>
    <row r="29" customFormat="false" ht="15" hidden="false" customHeight="false" outlineLevel="0" collapsed="false">
      <c r="A29" s="71" t="s">
        <v>630</v>
      </c>
      <c r="B29" s="71" t="s">
        <v>26</v>
      </c>
      <c r="C29" s="71" t="s">
        <v>631</v>
      </c>
      <c r="D29" s="71" t="s">
        <v>142</v>
      </c>
      <c r="E29" s="72" t="n">
        <v>46055</v>
      </c>
    </row>
    <row r="30" customFormat="false" ht="15" hidden="false" customHeight="false" outlineLevel="0" collapsed="false">
      <c r="A30" s="71" t="s">
        <v>632</v>
      </c>
      <c r="B30" s="71" t="s">
        <v>26</v>
      </c>
      <c r="C30" s="71" t="s">
        <v>633</v>
      </c>
      <c r="D30" s="71" t="s">
        <v>142</v>
      </c>
      <c r="E30" s="72" t="n">
        <v>46055</v>
      </c>
    </row>
    <row r="31" customFormat="false" ht="15" hidden="false" customHeight="false" outlineLevel="0" collapsed="false">
      <c r="A31" s="71" t="s">
        <v>636</v>
      </c>
      <c r="B31" s="71" t="s">
        <v>26</v>
      </c>
      <c r="C31" s="71" t="s">
        <v>637</v>
      </c>
      <c r="D31" s="71" t="s">
        <v>142</v>
      </c>
      <c r="E31" s="72" t="n">
        <v>46055</v>
      </c>
    </row>
    <row r="32" customFormat="false" ht="15" hidden="false" customHeight="false" outlineLevel="0" collapsed="false">
      <c r="A32" s="71" t="s">
        <v>640</v>
      </c>
      <c r="B32" s="71" t="s">
        <v>26</v>
      </c>
      <c r="C32" s="71" t="s">
        <v>641</v>
      </c>
      <c r="D32" s="71" t="s">
        <v>142</v>
      </c>
      <c r="E32" s="72" t="n">
        <v>46055</v>
      </c>
    </row>
    <row r="33" customFormat="false" ht="15" hidden="false" customHeight="false" outlineLevel="0" collapsed="false">
      <c r="A33" s="71" t="s">
        <v>642</v>
      </c>
      <c r="B33" s="71" t="s">
        <v>26</v>
      </c>
      <c r="C33" s="71" t="s">
        <v>643</v>
      </c>
      <c r="D33" s="71" t="s">
        <v>142</v>
      </c>
      <c r="E33" s="72" t="n">
        <v>46055</v>
      </c>
    </row>
    <row r="34" customFormat="false" ht="15" hidden="false" customHeight="false" outlineLevel="0" collapsed="false">
      <c r="A34" s="71" t="s">
        <v>644</v>
      </c>
      <c r="B34" s="71" t="s">
        <v>26</v>
      </c>
      <c r="C34" s="71" t="s">
        <v>645</v>
      </c>
      <c r="D34" s="71" t="s">
        <v>142</v>
      </c>
      <c r="E34" s="72" t="n">
        <v>46055</v>
      </c>
    </row>
    <row r="35" customFormat="false" ht="15" hidden="false" customHeight="false" outlineLevel="0" collapsed="false">
      <c r="A35" s="71" t="s">
        <v>648</v>
      </c>
      <c r="B35" s="71" t="s">
        <v>26</v>
      </c>
      <c r="C35" s="71" t="s">
        <v>649</v>
      </c>
      <c r="D35" s="71" t="s">
        <v>142</v>
      </c>
      <c r="E35" s="72" t="n">
        <v>46055</v>
      </c>
    </row>
    <row r="36" customFormat="false" ht="15" hidden="false" customHeight="false" outlineLevel="0" collapsed="false">
      <c r="A36" s="71" t="s">
        <v>650</v>
      </c>
      <c r="B36" s="71" t="s">
        <v>26</v>
      </c>
      <c r="C36" s="71" t="s">
        <v>651</v>
      </c>
      <c r="D36" s="71" t="s">
        <v>142</v>
      </c>
      <c r="E36" s="72" t="n">
        <v>46055</v>
      </c>
    </row>
    <row r="37" customFormat="false" ht="15" hidden="false" customHeight="false" outlineLevel="0" collapsed="false">
      <c r="A37" s="71" t="s">
        <v>652</v>
      </c>
      <c r="B37" s="71" t="s">
        <v>26</v>
      </c>
      <c r="C37" s="71" t="s">
        <v>653</v>
      </c>
      <c r="D37" s="71" t="s">
        <v>142</v>
      </c>
      <c r="E37" s="72" t="n">
        <v>46055</v>
      </c>
    </row>
    <row r="38" customFormat="false" ht="15" hidden="false" customHeight="false" outlineLevel="0" collapsed="false">
      <c r="A38" s="71" t="s">
        <v>654</v>
      </c>
      <c r="B38" s="71" t="s">
        <v>26</v>
      </c>
      <c r="C38" s="71" t="s">
        <v>655</v>
      </c>
      <c r="D38" s="71" t="s">
        <v>142</v>
      </c>
      <c r="E38" s="72" t="n">
        <v>46055</v>
      </c>
    </row>
    <row r="39" customFormat="false" ht="15" hidden="false" customHeight="false" outlineLevel="0" collapsed="false">
      <c r="A39" s="71" t="s">
        <v>663</v>
      </c>
      <c r="B39" s="71" t="s">
        <v>26</v>
      </c>
      <c r="C39" s="71" t="s">
        <v>664</v>
      </c>
      <c r="D39" s="71" t="s">
        <v>142</v>
      </c>
      <c r="E39" s="72" t="n">
        <v>46055</v>
      </c>
    </row>
    <row r="40" customFormat="false" ht="15" hidden="false" customHeight="false" outlineLevel="0" collapsed="false">
      <c r="A40" s="71" t="s">
        <v>665</v>
      </c>
      <c r="B40" s="71" t="s">
        <v>26</v>
      </c>
      <c r="C40" s="71" t="s">
        <v>666</v>
      </c>
      <c r="D40" s="71" t="s">
        <v>142</v>
      </c>
      <c r="E40" s="72" t="n">
        <v>46055</v>
      </c>
    </row>
    <row r="41" customFormat="false" ht="15" hidden="false" customHeight="false" outlineLevel="0" collapsed="false">
      <c r="A41" s="71" t="s">
        <v>667</v>
      </c>
      <c r="B41" s="71" t="s">
        <v>26</v>
      </c>
      <c r="C41" s="71" t="s">
        <v>668</v>
      </c>
      <c r="D41" s="71" t="s">
        <v>142</v>
      </c>
      <c r="E41" s="72" t="n">
        <v>46055</v>
      </c>
    </row>
    <row r="42" customFormat="false" ht="15" hidden="false" customHeight="false" outlineLevel="0" collapsed="false">
      <c r="A42" s="71" t="s">
        <v>669</v>
      </c>
      <c r="B42" s="71" t="s">
        <v>26</v>
      </c>
      <c r="C42" s="71" t="s">
        <v>670</v>
      </c>
      <c r="D42" s="71" t="s">
        <v>142</v>
      </c>
      <c r="E42" s="72" t="n">
        <v>46055</v>
      </c>
    </row>
    <row r="43" customFormat="false" ht="15" hidden="false" customHeight="false" outlineLevel="0" collapsed="false">
      <c r="A43" s="71" t="s">
        <v>671</v>
      </c>
      <c r="B43" s="71" t="s">
        <v>26</v>
      </c>
      <c r="C43" s="71" t="s">
        <v>672</v>
      </c>
      <c r="D43" s="71" t="s">
        <v>142</v>
      </c>
      <c r="E43" s="72" t="n">
        <v>46055</v>
      </c>
    </row>
    <row r="44" customFormat="false" ht="15" hidden="false" customHeight="false" outlineLevel="0" collapsed="false">
      <c r="A44" s="71" t="s">
        <v>673</v>
      </c>
      <c r="B44" s="71" t="s">
        <v>26</v>
      </c>
      <c r="C44" s="71" t="s">
        <v>674</v>
      </c>
      <c r="D44" s="71" t="s">
        <v>142</v>
      </c>
      <c r="E44" s="72" t="n">
        <v>46055</v>
      </c>
    </row>
    <row r="45" customFormat="false" ht="15" hidden="false" customHeight="false" outlineLevel="0" collapsed="false">
      <c r="A45" s="71" t="s">
        <v>677</v>
      </c>
      <c r="B45" s="71" t="s">
        <v>26</v>
      </c>
      <c r="C45" s="71" t="s">
        <v>678</v>
      </c>
      <c r="D45" s="71" t="s">
        <v>142</v>
      </c>
      <c r="E45" s="72" t="n">
        <v>46055</v>
      </c>
    </row>
    <row r="46" customFormat="false" ht="15" hidden="false" customHeight="false" outlineLevel="0" collapsed="false">
      <c r="A46" s="71" t="s">
        <v>679</v>
      </c>
      <c r="B46" s="71" t="s">
        <v>26</v>
      </c>
      <c r="C46" s="71" t="s">
        <v>680</v>
      </c>
      <c r="D46" s="71" t="s">
        <v>142</v>
      </c>
      <c r="E46" s="72" t="n">
        <v>46055</v>
      </c>
    </row>
    <row r="47" customFormat="false" ht="15" hidden="false" customHeight="false" outlineLevel="0" collapsed="false">
      <c r="A47" s="71" t="s">
        <v>681</v>
      </c>
      <c r="B47" s="71" t="s">
        <v>26</v>
      </c>
      <c r="C47" s="71" t="s">
        <v>592</v>
      </c>
      <c r="D47" s="71" t="s">
        <v>142</v>
      </c>
      <c r="E47" s="72" t="n">
        <v>46055</v>
      </c>
    </row>
    <row r="48" customFormat="false" ht="15" hidden="false" customHeight="false" outlineLevel="0" collapsed="false">
      <c r="A48" s="71" t="s">
        <v>685</v>
      </c>
      <c r="B48" s="71" t="s">
        <v>26</v>
      </c>
      <c r="C48" s="71" t="s">
        <v>686</v>
      </c>
      <c r="D48" s="71" t="s">
        <v>142</v>
      </c>
      <c r="E48" s="72" t="n">
        <v>46055</v>
      </c>
    </row>
    <row r="49" customFormat="false" ht="15" hidden="false" customHeight="false" outlineLevel="0" collapsed="false">
      <c r="A49" s="71" t="s">
        <v>689</v>
      </c>
      <c r="B49" s="71" t="s">
        <v>26</v>
      </c>
      <c r="C49" s="71" t="s">
        <v>688</v>
      </c>
      <c r="D49" s="71" t="s">
        <v>142</v>
      </c>
      <c r="E49" s="72" t="n">
        <v>46055</v>
      </c>
      <c r="F49" s="71" t="s">
        <v>142</v>
      </c>
      <c r="G49" s="72" t="n">
        <v>46083</v>
      </c>
    </row>
    <row r="50" customFormat="false" ht="15" hidden="false" customHeight="false" outlineLevel="0" collapsed="false">
      <c r="A50" s="71" t="s">
        <v>691</v>
      </c>
      <c r="B50" s="71" t="s">
        <v>26</v>
      </c>
      <c r="C50" s="71" t="s">
        <v>692</v>
      </c>
      <c r="D50" s="71" t="s">
        <v>142</v>
      </c>
      <c r="E50" s="72" t="n">
        <v>46055</v>
      </c>
    </row>
    <row r="51" customFormat="false" ht="15" hidden="false" customHeight="false" outlineLevel="0" collapsed="false">
      <c r="A51" s="71" t="s">
        <v>693</v>
      </c>
      <c r="B51" s="71" t="s">
        <v>26</v>
      </c>
      <c r="C51" s="71" t="s">
        <v>694</v>
      </c>
      <c r="D51" s="71" t="s">
        <v>142</v>
      </c>
      <c r="E51" s="72" t="n">
        <v>46055</v>
      </c>
    </row>
    <row r="52" customFormat="false" ht="15" hidden="false" customHeight="false" outlineLevel="0" collapsed="false">
      <c r="A52" s="71" t="s">
        <v>698</v>
      </c>
      <c r="B52" s="71" t="s">
        <v>26</v>
      </c>
      <c r="C52" s="71" t="s">
        <v>699</v>
      </c>
      <c r="D52" s="71" t="s">
        <v>142</v>
      </c>
      <c r="E52" s="72" t="n">
        <v>46055</v>
      </c>
    </row>
    <row r="53" customFormat="false" ht="15" hidden="false" customHeight="false" outlineLevel="0" collapsed="false">
      <c r="A53" s="71" t="s">
        <v>701</v>
      </c>
      <c r="B53" s="71" t="s">
        <v>26</v>
      </c>
      <c r="C53" s="71" t="s">
        <v>702</v>
      </c>
      <c r="D53" s="71" t="s">
        <v>142</v>
      </c>
      <c r="E53" s="72" t="n">
        <v>46055</v>
      </c>
    </row>
    <row r="54" customFormat="false" ht="15" hidden="false" customHeight="false" outlineLevel="0" collapsed="false">
      <c r="A54" s="71" t="s">
        <v>703</v>
      </c>
      <c r="B54" s="71" t="s">
        <v>26</v>
      </c>
      <c r="C54" s="71" t="s">
        <v>704</v>
      </c>
      <c r="D54" s="71" t="s">
        <v>142</v>
      </c>
      <c r="E54" s="72" t="n">
        <v>46055</v>
      </c>
    </row>
    <row r="55" customFormat="false" ht="15" hidden="false" customHeight="false" outlineLevel="0" collapsed="false">
      <c r="A55" s="71" t="s">
        <v>705</v>
      </c>
      <c r="B55" s="71" t="s">
        <v>26</v>
      </c>
      <c r="C55" s="71" t="s">
        <v>706</v>
      </c>
      <c r="D55" s="71" t="s">
        <v>142</v>
      </c>
      <c r="E55" s="72" t="n">
        <v>46055</v>
      </c>
    </row>
    <row r="56" customFormat="false" ht="15" hidden="false" customHeight="false" outlineLevel="0" collapsed="false">
      <c r="A56" s="71" t="s">
        <v>713</v>
      </c>
      <c r="B56" s="71" t="s">
        <v>26</v>
      </c>
      <c r="C56" s="71" t="s">
        <v>714</v>
      </c>
      <c r="D56" s="71" t="s">
        <v>142</v>
      </c>
      <c r="E56" s="72" t="n">
        <v>46055</v>
      </c>
    </row>
    <row r="57" customFormat="false" ht="15" hidden="false" customHeight="false" outlineLevel="0" collapsed="false">
      <c r="A57" s="71" t="s">
        <v>716</v>
      </c>
      <c r="B57" s="71" t="s">
        <v>26</v>
      </c>
      <c r="C57" s="71" t="s">
        <v>717</v>
      </c>
      <c r="D57" s="71" t="s">
        <v>142</v>
      </c>
      <c r="E57" s="72" t="n">
        <v>46055</v>
      </c>
    </row>
    <row r="58" customFormat="false" ht="15" hidden="false" customHeight="false" outlineLevel="0" collapsed="false">
      <c r="A58" s="71" t="s">
        <v>718</v>
      </c>
      <c r="B58" s="71" t="s">
        <v>26</v>
      </c>
      <c r="C58" s="71" t="s">
        <v>719</v>
      </c>
      <c r="D58" s="71" t="s">
        <v>142</v>
      </c>
      <c r="E58" s="72" t="n">
        <v>46055</v>
      </c>
    </row>
    <row r="59" customFormat="false" ht="15" hidden="false" customHeight="false" outlineLevel="0" collapsed="false">
      <c r="A59" s="71" t="s">
        <v>720</v>
      </c>
      <c r="B59" s="71" t="s">
        <v>26</v>
      </c>
      <c r="C59" s="71" t="s">
        <v>721</v>
      </c>
      <c r="D59" s="71" t="s">
        <v>142</v>
      </c>
      <c r="E59" s="72" t="n">
        <v>46055</v>
      </c>
    </row>
    <row r="60" customFormat="false" ht="15" hidden="false" customHeight="false" outlineLevel="0" collapsed="false">
      <c r="A60" s="71" t="s">
        <v>722</v>
      </c>
      <c r="B60" s="71" t="s">
        <v>26</v>
      </c>
      <c r="C60" s="71" t="s">
        <v>723</v>
      </c>
      <c r="D60" s="71" t="s">
        <v>142</v>
      </c>
      <c r="E60" s="72" t="n">
        <v>46055</v>
      </c>
    </row>
    <row r="61" customFormat="false" ht="15" hidden="false" customHeight="false" outlineLevel="0" collapsed="false">
      <c r="A61" s="71" t="s">
        <v>724</v>
      </c>
      <c r="B61" s="71" t="s">
        <v>26</v>
      </c>
      <c r="C61" s="71" t="s">
        <v>725</v>
      </c>
      <c r="D61" s="71" t="s">
        <v>142</v>
      </c>
      <c r="E61" s="72" t="n">
        <v>46055</v>
      </c>
    </row>
    <row r="62" customFormat="false" ht="15" hidden="false" customHeight="false" outlineLevel="0" collapsed="false">
      <c r="A62" s="71" t="s">
        <v>728</v>
      </c>
      <c r="B62" s="71" t="s">
        <v>26</v>
      </c>
      <c r="C62" s="71" t="s">
        <v>729</v>
      </c>
      <c r="D62" s="71" t="s">
        <v>142</v>
      </c>
      <c r="E62" s="72" t="n">
        <v>46055</v>
      </c>
    </row>
    <row r="63" customFormat="false" ht="15" hidden="false" customHeight="false" outlineLevel="0" collapsed="false">
      <c r="A63" s="71" t="s">
        <v>730</v>
      </c>
      <c r="B63" s="71" t="s">
        <v>26</v>
      </c>
      <c r="C63" s="71" t="s">
        <v>731</v>
      </c>
      <c r="D63" s="71" t="s">
        <v>142</v>
      </c>
      <c r="E63" s="72" t="n">
        <v>46055</v>
      </c>
    </row>
    <row r="64" customFormat="false" ht="15" hidden="false" customHeight="false" outlineLevel="0" collapsed="false">
      <c r="A64" s="71" t="s">
        <v>732</v>
      </c>
      <c r="B64" s="71" t="s">
        <v>26</v>
      </c>
      <c r="C64" s="71" t="s">
        <v>733</v>
      </c>
      <c r="D64" s="71" t="s">
        <v>142</v>
      </c>
      <c r="E64" s="72" t="n">
        <v>46055</v>
      </c>
    </row>
    <row r="65" customFormat="false" ht="15" hidden="false" customHeight="false" outlineLevel="0" collapsed="false">
      <c r="A65" s="71" t="s">
        <v>734</v>
      </c>
      <c r="B65" s="71" t="s">
        <v>26</v>
      </c>
      <c r="C65" s="71" t="s">
        <v>735</v>
      </c>
      <c r="D65" s="71" t="s">
        <v>142</v>
      </c>
      <c r="E65" s="72" t="n">
        <v>46055</v>
      </c>
    </row>
    <row r="66" customFormat="false" ht="15" hidden="false" customHeight="false" outlineLevel="0" collapsed="false">
      <c r="A66" s="71" t="s">
        <v>736</v>
      </c>
      <c r="B66" s="71" t="s">
        <v>26</v>
      </c>
      <c r="C66" s="71" t="s">
        <v>737</v>
      </c>
      <c r="D66" s="71" t="s">
        <v>142</v>
      </c>
      <c r="E66" s="72" t="n">
        <v>46055</v>
      </c>
    </row>
    <row r="67" customFormat="false" ht="15" hidden="false" customHeight="false" outlineLevel="0" collapsed="false">
      <c r="A67" s="71" t="s">
        <v>738</v>
      </c>
      <c r="B67" s="71" t="s">
        <v>26</v>
      </c>
      <c r="C67" s="71" t="s">
        <v>739</v>
      </c>
      <c r="D67" s="71" t="s">
        <v>142</v>
      </c>
      <c r="E67" s="72" t="n">
        <v>46055</v>
      </c>
    </row>
    <row r="68" customFormat="false" ht="15" hidden="false" customHeight="false" outlineLevel="0" collapsed="false">
      <c r="A68" s="71" t="s">
        <v>740</v>
      </c>
      <c r="B68" s="71" t="s">
        <v>26</v>
      </c>
      <c r="C68" s="71" t="s">
        <v>741</v>
      </c>
      <c r="D68" s="71" t="s">
        <v>142</v>
      </c>
      <c r="E68" s="72" t="n">
        <v>46055</v>
      </c>
    </row>
    <row r="69" customFormat="false" ht="15" hidden="false" customHeight="false" outlineLevel="0" collapsed="false">
      <c r="A69" s="71" t="s">
        <v>742</v>
      </c>
      <c r="B69" s="71" t="s">
        <v>26</v>
      </c>
      <c r="C69" s="71" t="s">
        <v>743</v>
      </c>
      <c r="D69" s="71" t="s">
        <v>142</v>
      </c>
      <c r="E69" s="72" t="n">
        <v>46055</v>
      </c>
    </row>
    <row r="70" customFormat="false" ht="15" hidden="false" customHeight="false" outlineLevel="0" collapsed="false">
      <c r="A70" s="71" t="s">
        <v>744</v>
      </c>
      <c r="B70" s="71" t="s">
        <v>26</v>
      </c>
      <c r="C70" s="71" t="s">
        <v>745</v>
      </c>
      <c r="D70" s="71" t="s">
        <v>142</v>
      </c>
      <c r="E70" s="72" t="n">
        <v>46055</v>
      </c>
    </row>
    <row r="71" customFormat="false" ht="15" hidden="false" customHeight="false" outlineLevel="0" collapsed="false">
      <c r="A71" s="71" t="s">
        <v>746</v>
      </c>
      <c r="B71" s="71" t="s">
        <v>26</v>
      </c>
      <c r="C71" s="71" t="s">
        <v>747</v>
      </c>
      <c r="D71" s="71" t="s">
        <v>142</v>
      </c>
      <c r="E71" s="72" t="n">
        <v>46055</v>
      </c>
    </row>
    <row r="72" customFormat="false" ht="15" hidden="false" customHeight="false" outlineLevel="0" collapsed="false">
      <c r="A72" s="71" t="s">
        <v>752</v>
      </c>
      <c r="B72" s="71" t="s">
        <v>26</v>
      </c>
      <c r="C72" s="71" t="s">
        <v>753</v>
      </c>
      <c r="D72" s="71" t="s">
        <v>142</v>
      </c>
      <c r="E72" s="72" t="n">
        <v>46055</v>
      </c>
    </row>
    <row r="73" customFormat="false" ht="15" hidden="false" customHeight="false" outlineLevel="0" collapsed="false">
      <c r="A73" s="71" t="s">
        <v>754</v>
      </c>
      <c r="B73" s="71" t="s">
        <v>26</v>
      </c>
      <c r="C73" s="71" t="s">
        <v>755</v>
      </c>
      <c r="D73" s="71" t="s">
        <v>142</v>
      </c>
      <c r="E73" s="72" t="n">
        <v>46055</v>
      </c>
    </row>
    <row r="74" customFormat="false" ht="15" hidden="false" customHeight="false" outlineLevel="0" collapsed="false">
      <c r="A74" s="71" t="s">
        <v>758</v>
      </c>
      <c r="B74" s="71" t="s">
        <v>26</v>
      </c>
      <c r="C74" s="71" t="s">
        <v>759</v>
      </c>
      <c r="D74" s="71" t="s">
        <v>142</v>
      </c>
      <c r="E74" s="72" t="n">
        <v>46055</v>
      </c>
    </row>
    <row r="75" customFormat="false" ht="15" hidden="false" customHeight="false" outlineLevel="0" collapsed="false">
      <c r="A75" s="71" t="s">
        <v>764</v>
      </c>
      <c r="B75" s="71" t="s">
        <v>26</v>
      </c>
      <c r="C75" s="71" t="s">
        <v>765</v>
      </c>
      <c r="D75" s="71" t="s">
        <v>142</v>
      </c>
      <c r="E75" s="72" t="n">
        <v>46055</v>
      </c>
    </row>
    <row r="76" customFormat="false" ht="15" hidden="false" customHeight="false" outlineLevel="0" collapsed="false">
      <c r="A76" s="71" t="s">
        <v>766</v>
      </c>
      <c r="B76" s="71" t="s">
        <v>26</v>
      </c>
      <c r="C76" s="71" t="s">
        <v>767</v>
      </c>
      <c r="D76" s="71" t="s">
        <v>142</v>
      </c>
      <c r="E76" s="72" t="n">
        <v>46055</v>
      </c>
    </row>
    <row r="77" customFormat="false" ht="15" hidden="false" customHeight="false" outlineLevel="0" collapsed="false">
      <c r="A77" s="71" t="s">
        <v>768</v>
      </c>
      <c r="B77" s="71" t="s">
        <v>26</v>
      </c>
      <c r="C77" s="71" t="s">
        <v>769</v>
      </c>
      <c r="D77" s="71" t="s">
        <v>142</v>
      </c>
      <c r="E77" s="72" t="n">
        <v>46055</v>
      </c>
    </row>
    <row r="78" customFormat="false" ht="15" hidden="false" customHeight="false" outlineLevel="0" collapsed="false">
      <c r="A78" s="71" t="s">
        <v>770</v>
      </c>
      <c r="B78" s="71" t="s">
        <v>26</v>
      </c>
      <c r="C78" s="71" t="s">
        <v>771</v>
      </c>
      <c r="D78" s="71" t="s">
        <v>142</v>
      </c>
      <c r="E78" s="72" t="n">
        <v>46055</v>
      </c>
    </row>
    <row r="79" customFormat="false" ht="15" hidden="false" customHeight="false" outlineLevel="0" collapsed="false">
      <c r="A79" s="71" t="s">
        <v>772</v>
      </c>
      <c r="B79" s="71" t="s">
        <v>26</v>
      </c>
      <c r="C79" s="71" t="s">
        <v>773</v>
      </c>
      <c r="D79" s="71" t="s">
        <v>142</v>
      </c>
      <c r="E79" s="72" t="n">
        <v>46055</v>
      </c>
    </row>
    <row r="80" customFormat="false" ht="15" hidden="false" customHeight="false" outlineLevel="0" collapsed="false">
      <c r="A80" s="71" t="s">
        <v>776</v>
      </c>
      <c r="B80" s="71" t="s">
        <v>26</v>
      </c>
      <c r="C80" s="71" t="s">
        <v>777</v>
      </c>
      <c r="D80" s="71" t="s">
        <v>142</v>
      </c>
      <c r="E80" s="72" t="n">
        <v>46055</v>
      </c>
    </row>
    <row r="81" customFormat="false" ht="15" hidden="false" customHeight="false" outlineLevel="0" collapsed="false">
      <c r="A81" s="71" t="s">
        <v>778</v>
      </c>
      <c r="B81" s="71" t="s">
        <v>26</v>
      </c>
      <c r="C81" s="71" t="s">
        <v>779</v>
      </c>
      <c r="D81" s="71" t="s">
        <v>142</v>
      </c>
      <c r="E81" s="72" t="n">
        <v>46055</v>
      </c>
    </row>
    <row r="82" customFormat="false" ht="15" hidden="false" customHeight="false" outlineLevel="0" collapsed="false">
      <c r="A82" s="71" t="s">
        <v>780</v>
      </c>
      <c r="B82" s="71" t="s">
        <v>26</v>
      </c>
      <c r="C82" s="71" t="s">
        <v>781</v>
      </c>
      <c r="D82" s="71" t="s">
        <v>142</v>
      </c>
      <c r="E82" s="72" t="n">
        <v>46055</v>
      </c>
    </row>
    <row r="83" customFormat="false" ht="15" hidden="false" customHeight="false" outlineLevel="0" collapsed="false">
      <c r="A83" s="71" t="s">
        <v>782</v>
      </c>
      <c r="B83" s="71" t="s">
        <v>26</v>
      </c>
      <c r="C83" s="71" t="s">
        <v>783</v>
      </c>
      <c r="D83" s="71" t="s">
        <v>142</v>
      </c>
      <c r="E83" s="72" t="n">
        <v>46055</v>
      </c>
    </row>
    <row r="84" customFormat="false" ht="15" hidden="false" customHeight="false" outlineLevel="0" collapsed="false">
      <c r="A84" s="71" t="s">
        <v>784</v>
      </c>
      <c r="B84" s="71" t="s">
        <v>26</v>
      </c>
      <c r="C84" s="71" t="s">
        <v>785</v>
      </c>
      <c r="D84" s="71" t="s">
        <v>142</v>
      </c>
      <c r="E84" s="72" t="n">
        <v>46055</v>
      </c>
    </row>
    <row r="85" customFormat="false" ht="15" hidden="false" customHeight="false" outlineLevel="0" collapsed="false">
      <c r="A85" s="71" t="s">
        <v>786</v>
      </c>
      <c r="B85" s="71" t="s">
        <v>26</v>
      </c>
      <c r="C85" s="71" t="s">
        <v>787</v>
      </c>
      <c r="D85" s="71" t="s">
        <v>142</v>
      </c>
      <c r="E85" s="72" t="n">
        <v>46055</v>
      </c>
    </row>
    <row r="86" customFormat="false" ht="15" hidden="false" customHeight="false" outlineLevel="0" collapsed="false">
      <c r="A86" s="71" t="s">
        <v>788</v>
      </c>
      <c r="B86" s="71" t="s">
        <v>26</v>
      </c>
      <c r="C86" s="71" t="s">
        <v>789</v>
      </c>
      <c r="D86" s="71" t="s">
        <v>142</v>
      </c>
      <c r="E86" s="72" t="n">
        <v>46055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8" min="1" style="0" width="20"/>
  </cols>
  <sheetData>
    <row r="1" customFormat="false" ht="15" hidden="false" customHeight="false" outlineLevel="0" collapsed="false">
      <c r="A1" s="69" t="s">
        <v>983</v>
      </c>
      <c r="B1" s="69" t="s">
        <v>16</v>
      </c>
      <c r="C1" s="69" t="s">
        <v>1269</v>
      </c>
      <c r="J1" s="70" t="s">
        <v>982</v>
      </c>
    </row>
    <row r="2" customFormat="false" ht="15" hidden="false" customHeight="false" outlineLevel="0" collapsed="false">
      <c r="A2" s="71" t="s">
        <v>163</v>
      </c>
      <c r="B2" s="71" t="s">
        <v>31</v>
      </c>
      <c r="C2" s="71" t="n">
        <v>5000000</v>
      </c>
      <c r="G2" s="71" t="s">
        <v>1270</v>
      </c>
      <c r="H2" s="71" t="n">
        <v>922000000</v>
      </c>
    </row>
    <row r="3" customFormat="false" ht="15" hidden="false" customHeight="false" outlineLevel="0" collapsed="false">
      <c r="A3" s="71" t="s">
        <v>144</v>
      </c>
      <c r="B3" s="71" t="s">
        <v>31</v>
      </c>
      <c r="C3" s="71" t="n">
        <v>32000000</v>
      </c>
      <c r="G3" s="71" t="s">
        <v>1271</v>
      </c>
      <c r="H3" s="71" t="n">
        <v>0.8</v>
      </c>
    </row>
    <row r="4" customFormat="false" ht="15" hidden="false" customHeight="false" outlineLevel="0" collapsed="false">
      <c r="A4" s="71" t="s">
        <v>139</v>
      </c>
      <c r="B4" s="71" t="s">
        <v>31</v>
      </c>
      <c r="C4" s="71" t="n">
        <v>5000000</v>
      </c>
      <c r="G4" s="71" t="s">
        <v>1272</v>
      </c>
      <c r="H4" s="71" t="n">
        <v>0.2</v>
      </c>
    </row>
    <row r="5" customFormat="false" ht="15" hidden="false" customHeight="false" outlineLevel="0" collapsed="false">
      <c r="A5" s="71" t="s">
        <v>155</v>
      </c>
      <c r="B5" s="71" t="s">
        <v>31</v>
      </c>
      <c r="C5" s="71" t="n">
        <v>4000000</v>
      </c>
      <c r="G5" s="71" t="s">
        <v>1273</v>
      </c>
      <c r="H5" s="71" t="n">
        <v>0.2</v>
      </c>
    </row>
    <row r="6" customFormat="false" ht="15" hidden="false" customHeight="false" outlineLevel="0" collapsed="false">
      <c r="A6" s="71" t="s">
        <v>153</v>
      </c>
      <c r="B6" s="71" t="s">
        <v>31</v>
      </c>
      <c r="C6" s="71" t="n">
        <v>10000000</v>
      </c>
      <c r="G6" s="71" t="s">
        <v>1274</v>
      </c>
      <c r="H6" s="71" t="n">
        <v>2</v>
      </c>
    </row>
    <row r="7" customFormat="false" ht="15" hidden="false" customHeight="false" outlineLevel="0" collapsed="false">
      <c r="A7" s="71" t="s">
        <v>147</v>
      </c>
      <c r="B7" s="71" t="s">
        <v>31</v>
      </c>
      <c r="C7" s="71" t="n">
        <v>6000000</v>
      </c>
    </row>
    <row r="8" customFormat="false" ht="15" hidden="false" customHeight="false" outlineLevel="0" collapsed="false">
      <c r="A8" s="71" t="s">
        <v>176</v>
      </c>
      <c r="B8" s="71" t="s">
        <v>31</v>
      </c>
      <c r="C8" s="71" t="s">
        <v>1275</v>
      </c>
    </row>
    <row r="9" customFormat="false" ht="15" hidden="false" customHeight="false" outlineLevel="0" collapsed="false">
      <c r="A9" s="71" t="s">
        <v>179</v>
      </c>
      <c r="B9" s="71" t="s">
        <v>31</v>
      </c>
      <c r="C9" s="71" t="s">
        <v>1275</v>
      </c>
      <c r="G9" s="71" t="s">
        <v>1276</v>
      </c>
      <c r="H9" s="71" t="n">
        <v>18440000</v>
      </c>
    </row>
    <row r="10" customFormat="false" ht="15" hidden="false" customHeight="false" outlineLevel="0" collapsed="false">
      <c r="A10" s="71" t="s">
        <v>167</v>
      </c>
      <c r="B10" s="71" t="s">
        <v>31</v>
      </c>
      <c r="C10" s="71" t="s">
        <v>1275</v>
      </c>
      <c r="G10" s="71" t="s">
        <v>1277</v>
      </c>
      <c r="H10" s="71" t="n">
        <v>73760000</v>
      </c>
    </row>
    <row r="11" customFormat="false" ht="15" hidden="false" customHeight="false" outlineLevel="0" collapsed="false">
      <c r="A11" s="71" t="s">
        <v>272</v>
      </c>
      <c r="B11" s="71" t="s">
        <v>995</v>
      </c>
      <c r="C11" s="71" t="n">
        <v>40000000</v>
      </c>
    </row>
    <row r="12" customFormat="false" ht="15" hidden="false" customHeight="false" outlineLevel="0" collapsed="false">
      <c r="A12" s="71" t="s">
        <v>259</v>
      </c>
      <c r="B12" s="71" t="s">
        <v>995</v>
      </c>
      <c r="C12" s="71" t="n">
        <v>40000000</v>
      </c>
      <c r="G12" s="71" t="s">
        <v>1278</v>
      </c>
      <c r="H12" s="71" t="n">
        <v>0.15</v>
      </c>
    </row>
    <row r="13" customFormat="false" ht="15" hidden="false" customHeight="false" outlineLevel="0" collapsed="false">
      <c r="A13" s="71" t="s">
        <v>257</v>
      </c>
      <c r="B13" s="71" t="s">
        <v>995</v>
      </c>
      <c r="C13" s="71" t="n">
        <v>4000000</v>
      </c>
    </row>
    <row r="14" customFormat="false" ht="15" hidden="false" customHeight="false" outlineLevel="0" collapsed="false">
      <c r="A14" s="71" t="s">
        <v>205</v>
      </c>
      <c r="B14" s="71" t="s">
        <v>995</v>
      </c>
      <c r="C14" s="71" t="n">
        <v>60000000</v>
      </c>
      <c r="G14" s="71" t="s">
        <v>1279</v>
      </c>
      <c r="H14" s="71" t="n">
        <v>13830000</v>
      </c>
    </row>
    <row r="15" customFormat="false" ht="15" hidden="false" customHeight="false" outlineLevel="0" collapsed="false">
      <c r="A15" s="71" t="s">
        <v>239</v>
      </c>
      <c r="B15" s="71" t="s">
        <v>995</v>
      </c>
      <c r="C15" s="71" t="n">
        <v>3000000</v>
      </c>
    </row>
    <row r="16" customFormat="false" ht="15" hidden="false" customHeight="false" outlineLevel="0" collapsed="false">
      <c r="A16" s="71" t="s">
        <v>203</v>
      </c>
      <c r="B16" s="71" t="s">
        <v>995</v>
      </c>
      <c r="C16" s="71" t="n">
        <v>60000000</v>
      </c>
    </row>
    <row r="17" customFormat="false" ht="15" hidden="false" customHeight="false" outlineLevel="0" collapsed="false">
      <c r="A17" s="71" t="s">
        <v>197</v>
      </c>
      <c r="B17" s="71" t="s">
        <v>995</v>
      </c>
      <c r="C17" s="71" t="n">
        <v>40000000</v>
      </c>
    </row>
    <row r="18" customFormat="false" ht="15" hidden="false" customHeight="false" outlineLevel="0" collapsed="false">
      <c r="A18" s="71" t="s">
        <v>292</v>
      </c>
      <c r="B18" s="71" t="s">
        <v>39</v>
      </c>
      <c r="C18" s="71" t="s">
        <v>1280</v>
      </c>
    </row>
    <row r="19" customFormat="false" ht="15" hidden="false" customHeight="false" outlineLevel="0" collapsed="false">
      <c r="A19" s="71" t="s">
        <v>294</v>
      </c>
      <c r="B19" s="71" t="s">
        <v>1026</v>
      </c>
      <c r="C19" s="71" t="s">
        <v>1281</v>
      </c>
    </row>
    <row r="20" customFormat="false" ht="15" hidden="false" customHeight="false" outlineLevel="0" collapsed="false">
      <c r="A20" s="71" t="s">
        <v>297</v>
      </c>
      <c r="B20" s="71" t="s">
        <v>38</v>
      </c>
      <c r="C20" s="71" t="s">
        <v>1275</v>
      </c>
    </row>
    <row r="21" customFormat="false" ht="15" hidden="false" customHeight="false" outlineLevel="0" collapsed="false">
      <c r="A21" s="71" t="s">
        <v>300</v>
      </c>
      <c r="B21" s="71" t="s">
        <v>38</v>
      </c>
      <c r="C21" s="71" t="s">
        <v>1275</v>
      </c>
    </row>
    <row r="22" customFormat="false" ht="15" hidden="false" customHeight="false" outlineLevel="0" collapsed="false">
      <c r="A22" s="71" t="s">
        <v>319</v>
      </c>
      <c r="B22" s="71" t="s">
        <v>998</v>
      </c>
      <c r="C22" s="71" t="n">
        <v>70000000</v>
      </c>
    </row>
    <row r="23" customFormat="false" ht="15" hidden="false" customHeight="false" outlineLevel="0" collapsed="false">
      <c r="A23" s="71" t="s">
        <v>334</v>
      </c>
      <c r="B23" s="71" t="s">
        <v>1000</v>
      </c>
      <c r="C23" s="71" t="n">
        <v>20000000</v>
      </c>
    </row>
    <row r="24" customFormat="false" ht="15" hidden="false" customHeight="false" outlineLevel="0" collapsed="false">
      <c r="A24" s="71" t="s">
        <v>306</v>
      </c>
      <c r="B24" s="71" t="s">
        <v>1000</v>
      </c>
      <c r="C24" s="71" t="n">
        <v>18000000</v>
      </c>
    </row>
    <row r="25" customFormat="false" ht="15" hidden="false" customHeight="false" outlineLevel="0" collapsed="false">
      <c r="A25" s="71" t="s">
        <v>336</v>
      </c>
      <c r="B25" s="71" t="s">
        <v>1000</v>
      </c>
      <c r="C25" s="71" t="n">
        <v>40000000</v>
      </c>
    </row>
    <row r="26" customFormat="false" ht="15" hidden="false" customHeight="false" outlineLevel="0" collapsed="false">
      <c r="A26" s="71" t="s">
        <v>992</v>
      </c>
      <c r="B26" s="71" t="s">
        <v>34</v>
      </c>
      <c r="C26" s="71" t="n">
        <v>7000000</v>
      </c>
    </row>
    <row r="27" customFormat="false" ht="15" hidden="false" customHeight="false" outlineLevel="0" collapsed="false">
      <c r="A27" s="71" t="s">
        <v>1029</v>
      </c>
      <c r="B27" s="71" t="s">
        <v>34</v>
      </c>
      <c r="C27" s="71" t="s">
        <v>1275</v>
      </c>
    </row>
    <row r="28" customFormat="false" ht="15" hidden="false" customHeight="false" outlineLevel="0" collapsed="false">
      <c r="A28" s="71" t="s">
        <v>368</v>
      </c>
      <c r="B28" s="71" t="s">
        <v>34</v>
      </c>
      <c r="C28" s="71" t="n">
        <v>20000000</v>
      </c>
    </row>
    <row r="29" customFormat="false" ht="15" hidden="false" customHeight="false" outlineLevel="0" collapsed="false">
      <c r="A29" s="71" t="s">
        <v>374</v>
      </c>
      <c r="B29" s="71" t="s">
        <v>34</v>
      </c>
      <c r="C29" s="71" t="n">
        <v>5000000</v>
      </c>
    </row>
    <row r="30" customFormat="false" ht="15" hidden="false" customHeight="false" outlineLevel="0" collapsed="false">
      <c r="A30" s="71" t="s">
        <v>386</v>
      </c>
      <c r="B30" s="71" t="s">
        <v>34</v>
      </c>
      <c r="C30" s="71" t="n">
        <v>5000000</v>
      </c>
    </row>
    <row r="31" customFormat="false" ht="15" hidden="false" customHeight="false" outlineLevel="0" collapsed="false">
      <c r="A31" s="71" t="s">
        <v>499</v>
      </c>
      <c r="B31" s="71" t="s">
        <v>44</v>
      </c>
      <c r="C31" s="71" t="s">
        <v>1280</v>
      </c>
    </row>
    <row r="32" customFormat="false" ht="15" hidden="false" customHeight="false" outlineLevel="0" collapsed="false">
      <c r="A32" s="71" t="s">
        <v>543</v>
      </c>
      <c r="B32" s="71" t="s">
        <v>1002</v>
      </c>
      <c r="C32" s="71" t="n">
        <v>50000000</v>
      </c>
    </row>
    <row r="33" customFormat="false" ht="15" hidden="false" customHeight="false" outlineLevel="0" collapsed="false">
      <c r="A33" s="71" t="s">
        <v>549</v>
      </c>
      <c r="B33" s="71" t="s">
        <v>1002</v>
      </c>
      <c r="C33" s="71" t="s">
        <v>1275</v>
      </c>
    </row>
    <row r="34" customFormat="false" ht="15" hidden="false" customHeight="false" outlineLevel="0" collapsed="false">
      <c r="A34" s="71" t="s">
        <v>541</v>
      </c>
      <c r="B34" s="71" t="s">
        <v>1002</v>
      </c>
      <c r="C34" s="71" t="n">
        <v>10000000</v>
      </c>
    </row>
    <row r="35" customFormat="false" ht="15" hidden="false" customHeight="false" outlineLevel="0" collapsed="false">
      <c r="A35" s="71" t="s">
        <v>524</v>
      </c>
      <c r="B35" s="71" t="s">
        <v>1002</v>
      </c>
      <c r="C35" s="71" t="s">
        <v>1281</v>
      </c>
    </row>
    <row r="36" customFormat="false" ht="15" hidden="false" customHeight="false" outlineLevel="0" collapsed="false">
      <c r="A36" s="71" t="s">
        <v>532</v>
      </c>
      <c r="B36" s="71" t="s">
        <v>1002</v>
      </c>
      <c r="C36" s="71" t="s">
        <v>1281</v>
      </c>
    </row>
    <row r="37" customFormat="false" ht="15" hidden="false" customHeight="false" outlineLevel="0" collapsed="false">
      <c r="A37" s="71" t="s">
        <v>512</v>
      </c>
      <c r="B37" s="71" t="s">
        <v>1002</v>
      </c>
      <c r="C37" s="71" t="n">
        <v>30000000</v>
      </c>
    </row>
    <row r="38" customFormat="false" ht="15" hidden="false" customHeight="false" outlineLevel="0" collapsed="false">
      <c r="A38" s="71" t="s">
        <v>507</v>
      </c>
      <c r="B38" s="71" t="s">
        <v>1002</v>
      </c>
      <c r="C38" s="71" t="s">
        <v>1281</v>
      </c>
    </row>
    <row r="39" customFormat="false" ht="15" hidden="false" customHeight="false" outlineLevel="0" collapsed="false">
      <c r="A39" s="71" t="s">
        <v>527</v>
      </c>
      <c r="B39" s="71" t="s">
        <v>1002</v>
      </c>
      <c r="C39" s="71" t="s">
        <v>1275</v>
      </c>
    </row>
    <row r="40" customFormat="false" ht="15" hidden="false" customHeight="false" outlineLevel="0" collapsed="false">
      <c r="A40" s="71" t="s">
        <v>534</v>
      </c>
      <c r="B40" s="71" t="s">
        <v>1002</v>
      </c>
      <c r="C40" s="71" t="n">
        <v>7000000</v>
      </c>
    </row>
    <row r="41" customFormat="false" ht="15" hidden="false" customHeight="false" outlineLevel="0" collapsed="false">
      <c r="A41" s="71" t="s">
        <v>790</v>
      </c>
      <c r="B41" s="71" t="s">
        <v>26</v>
      </c>
      <c r="C41" s="71" t="n">
        <v>6000000</v>
      </c>
    </row>
    <row r="42" customFormat="false" ht="15" hidden="false" customHeight="false" outlineLevel="0" collapsed="false">
      <c r="A42" s="71" t="s">
        <v>1021</v>
      </c>
      <c r="B42" s="71" t="s">
        <v>26</v>
      </c>
      <c r="C42" s="71" t="n">
        <v>3000000</v>
      </c>
    </row>
    <row r="43" customFormat="false" ht="15" hidden="false" customHeight="false" outlineLevel="0" collapsed="false">
      <c r="A43" s="71" t="s">
        <v>656</v>
      </c>
      <c r="B43" s="71" t="s">
        <v>26</v>
      </c>
      <c r="C43" s="71" t="n">
        <v>30000000</v>
      </c>
    </row>
    <row r="44" customFormat="false" ht="15" hidden="false" customHeight="false" outlineLevel="0" collapsed="false">
      <c r="A44" s="71" t="s">
        <v>707</v>
      </c>
      <c r="B44" s="71" t="s">
        <v>26</v>
      </c>
      <c r="C44" s="71" t="n">
        <v>40000000</v>
      </c>
    </row>
    <row r="45" customFormat="false" ht="15" hidden="false" customHeight="false" outlineLevel="0" collapsed="false">
      <c r="A45" s="71" t="s">
        <v>695</v>
      </c>
      <c r="B45" s="71" t="s">
        <v>26</v>
      </c>
      <c r="C45" s="71" t="n">
        <v>40000000</v>
      </c>
    </row>
    <row r="46" customFormat="false" ht="15" hidden="false" customHeight="false" outlineLevel="0" collapsed="false">
      <c r="A46" s="71" t="s">
        <v>700</v>
      </c>
      <c r="B46" s="71" t="s">
        <v>26</v>
      </c>
      <c r="C46" s="71" t="s">
        <v>1281</v>
      </c>
    </row>
    <row r="47" customFormat="false" ht="15" hidden="false" customHeight="false" outlineLevel="0" collapsed="false">
      <c r="A47" s="71" t="s">
        <v>797</v>
      </c>
      <c r="B47" s="71" t="s">
        <v>36</v>
      </c>
      <c r="C47" s="71" t="n">
        <v>5000000</v>
      </c>
    </row>
    <row r="48" customFormat="false" ht="15" hidden="false" customHeight="false" outlineLevel="0" collapsed="false">
      <c r="A48" s="71" t="s">
        <v>826</v>
      </c>
      <c r="B48" s="71" t="s">
        <v>33</v>
      </c>
      <c r="C48" s="71" t="s">
        <v>1281</v>
      </c>
    </row>
    <row r="49" customFormat="false" ht="15" hidden="false" customHeight="false" outlineLevel="0" collapsed="false">
      <c r="A49" s="71" t="s">
        <v>811</v>
      </c>
      <c r="B49" s="71" t="s">
        <v>33</v>
      </c>
      <c r="C49" s="71" t="s">
        <v>1281</v>
      </c>
    </row>
    <row r="50" customFormat="false" ht="15" hidden="false" customHeight="false" outlineLevel="0" collapsed="false">
      <c r="A50" s="71" t="s">
        <v>819</v>
      </c>
      <c r="B50" s="71" t="s">
        <v>33</v>
      </c>
      <c r="C50" s="71" t="s">
        <v>1281</v>
      </c>
    </row>
    <row r="51" customFormat="false" ht="15" hidden="false" customHeight="false" outlineLevel="0" collapsed="false">
      <c r="A51" s="71" t="s">
        <v>855</v>
      </c>
      <c r="B51" s="71" t="s">
        <v>29</v>
      </c>
      <c r="C51" s="71" t="n">
        <v>30000000</v>
      </c>
    </row>
    <row r="52" customFormat="false" ht="15" hidden="false" customHeight="false" outlineLevel="0" collapsed="false">
      <c r="A52" s="71" t="s">
        <v>847</v>
      </c>
      <c r="B52" s="71" t="s">
        <v>29</v>
      </c>
      <c r="C52" s="71" t="n">
        <v>50000000</v>
      </c>
    </row>
    <row r="53" customFormat="false" ht="15" hidden="false" customHeight="false" outlineLevel="0" collapsed="false">
      <c r="A53" s="71" t="s">
        <v>840</v>
      </c>
      <c r="B53" s="71" t="s">
        <v>29</v>
      </c>
      <c r="C53" s="71" t="n">
        <v>7000000</v>
      </c>
    </row>
    <row r="54" customFormat="false" ht="15" hidden="false" customHeight="false" outlineLevel="0" collapsed="false">
      <c r="A54" s="71" t="s">
        <v>911</v>
      </c>
      <c r="B54" s="71" t="s">
        <v>29</v>
      </c>
      <c r="C54" s="71" t="n">
        <v>5000000</v>
      </c>
    </row>
    <row r="55" customFormat="false" ht="15" hidden="false" customHeight="false" outlineLevel="0" collapsed="false">
      <c r="A55" s="71" t="s">
        <v>845</v>
      </c>
      <c r="B55" s="71" t="s">
        <v>29</v>
      </c>
      <c r="C55" s="71" t="n">
        <v>5000000</v>
      </c>
    </row>
    <row r="56" customFormat="false" ht="15" hidden="false" customHeight="false" outlineLevel="0" collapsed="false">
      <c r="A56" s="71" t="s">
        <v>876</v>
      </c>
      <c r="B56" s="71" t="s">
        <v>29</v>
      </c>
      <c r="C56" s="71" t="n">
        <v>5000000</v>
      </c>
    </row>
    <row r="57" customFormat="false" ht="15" hidden="false" customHeight="false" outlineLevel="0" collapsed="false">
      <c r="A57" s="71" t="s">
        <v>860</v>
      </c>
      <c r="B57" s="71" t="s">
        <v>29</v>
      </c>
      <c r="C57" s="71" t="n">
        <v>5000000</v>
      </c>
    </row>
    <row r="58" customFormat="false" ht="15" hidden="false" customHeight="false" outlineLevel="0" collapsed="false">
      <c r="A58" s="71" t="s">
        <v>906</v>
      </c>
      <c r="B58" s="71" t="s">
        <v>29</v>
      </c>
      <c r="C58" s="71" t="n">
        <v>5000000</v>
      </c>
    </row>
    <row r="59" customFormat="false" ht="15" hidden="false" customHeight="false" outlineLevel="0" collapsed="false">
      <c r="A59" s="71" t="s">
        <v>870</v>
      </c>
      <c r="B59" s="71" t="s">
        <v>29</v>
      </c>
      <c r="C59" s="71" t="n">
        <v>5000000</v>
      </c>
    </row>
    <row r="60" customFormat="false" ht="15" hidden="false" customHeight="false" outlineLevel="0" collapsed="false">
      <c r="A60" s="71" t="s">
        <v>853</v>
      </c>
      <c r="B60" s="71" t="s">
        <v>29</v>
      </c>
      <c r="C60" s="71" t="n">
        <v>5000000</v>
      </c>
    </row>
    <row r="61" customFormat="false" ht="15" hidden="false" customHeight="false" outlineLevel="0" collapsed="false">
      <c r="A61" s="71" t="s">
        <v>880</v>
      </c>
      <c r="B61" s="71" t="s">
        <v>29</v>
      </c>
      <c r="C61" s="71" t="n">
        <v>5000000</v>
      </c>
    </row>
    <row r="62" customFormat="false" ht="15" hidden="false" customHeight="false" outlineLevel="0" collapsed="false">
      <c r="A62" s="71" t="s">
        <v>170</v>
      </c>
      <c r="B62" s="71" t="s">
        <v>31</v>
      </c>
      <c r="C62" s="71" t="n">
        <v>5000000</v>
      </c>
    </row>
    <row r="63" customFormat="false" ht="15" hidden="false" customHeight="false" outlineLevel="0" collapsed="false">
      <c r="A63" s="71" t="s">
        <v>174</v>
      </c>
      <c r="B63" s="71" t="s">
        <v>31</v>
      </c>
      <c r="C63" s="71" t="n">
        <v>5000000</v>
      </c>
    </row>
    <row r="64" customFormat="false" ht="15" hidden="false" customHeight="false" outlineLevel="0" collapsed="false">
      <c r="A64" s="71" t="s">
        <v>165</v>
      </c>
      <c r="B64" s="71" t="s">
        <v>31</v>
      </c>
      <c r="C64" s="71" t="n">
        <v>3000000</v>
      </c>
    </row>
    <row r="65" customFormat="false" ht="15" hidden="false" customHeight="false" outlineLevel="0" collapsed="false">
      <c r="A65" s="71" t="s">
        <v>895</v>
      </c>
      <c r="B65" s="71" t="s">
        <v>1004</v>
      </c>
      <c r="C65" s="71" t="s">
        <v>1275</v>
      </c>
    </row>
    <row r="66" customFormat="false" ht="15" hidden="false" customHeight="false" outlineLevel="0" collapsed="false">
      <c r="A66" s="71" t="s">
        <v>893</v>
      </c>
      <c r="B66" s="71" t="s">
        <v>1004</v>
      </c>
      <c r="C66" s="71" t="n">
        <v>5000000</v>
      </c>
    </row>
    <row r="67" customFormat="false" ht="15" hidden="false" customHeight="false" outlineLevel="0" collapsed="false">
      <c r="A67" s="71" t="s">
        <v>882</v>
      </c>
      <c r="B67" s="71" t="s">
        <v>1004</v>
      </c>
      <c r="C67" s="71" t="n">
        <v>5000000</v>
      </c>
    </row>
    <row r="68" customFormat="false" ht="15" hidden="false" customHeight="false" outlineLevel="0" collapsed="false">
      <c r="A68" s="71" t="s">
        <v>1016</v>
      </c>
      <c r="B68" s="71" t="s">
        <v>26</v>
      </c>
      <c r="C68" s="71" t="n">
        <v>6000000</v>
      </c>
    </row>
    <row r="69" customFormat="false" ht="15" hidden="false" customHeight="false" outlineLevel="0" collapsed="false">
      <c r="A69" s="71" t="s">
        <v>366</v>
      </c>
      <c r="B69" s="71" t="s">
        <v>34</v>
      </c>
      <c r="C69" s="71" t="n">
        <v>30000000</v>
      </c>
    </row>
    <row r="70" customFormat="false" ht="15" hidden="false" customHeight="false" outlineLevel="0" collapsed="false">
      <c r="A70" s="71" t="s">
        <v>388</v>
      </c>
      <c r="B70" s="71" t="s">
        <v>43</v>
      </c>
      <c r="C70" s="71" t="n">
        <v>6000000</v>
      </c>
    </row>
    <row r="71" customFormat="false" ht="15" hidden="false" customHeight="false" outlineLevel="0" collapsed="false">
      <c r="A71" s="71" t="s">
        <v>304</v>
      </c>
      <c r="B71" s="71" t="s">
        <v>42</v>
      </c>
      <c r="C71" s="71" t="n">
        <v>5000000</v>
      </c>
    </row>
    <row r="72" customFormat="false" ht="15" hidden="false" customHeight="false" outlineLevel="0" collapsed="false">
      <c r="A72" s="71" t="s">
        <v>874</v>
      </c>
      <c r="B72" s="71" t="s">
        <v>1017</v>
      </c>
      <c r="C72" s="71" t="n">
        <v>5000000</v>
      </c>
    </row>
    <row r="73" customFormat="false" ht="15" hidden="false" customHeight="false" outlineLevel="0" collapsed="false">
      <c r="A73" s="71" t="s">
        <v>500</v>
      </c>
      <c r="B73" s="71" t="s">
        <v>45</v>
      </c>
      <c r="C73" s="71" t="s">
        <v>299</v>
      </c>
    </row>
    <row r="74" customFormat="false" ht="15" hidden="false" customHeight="false" outlineLevel="0" collapsed="false">
      <c r="A74" s="71" t="s">
        <v>554</v>
      </c>
      <c r="B74" s="71" t="s">
        <v>1002</v>
      </c>
      <c r="C74" s="71" t="n">
        <v>5000000</v>
      </c>
    </row>
    <row r="76" customFormat="false" ht="15" hidden="false" customHeight="false" outlineLevel="0" collapsed="false">
      <c r="A76" s="71" t="s">
        <v>1282</v>
      </c>
      <c r="C76" s="71" t="n">
        <v>922000000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B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6" min="1" style="0" width="20"/>
  </cols>
  <sheetData>
    <row r="1" customFormat="false" ht="15" hidden="false" customHeight="false" outlineLevel="0" collapsed="false">
      <c r="C1" s="69" t="s">
        <v>1283</v>
      </c>
      <c r="D1" s="69" t="n">
        <v>60</v>
      </c>
      <c r="F1" s="69" t="n">
        <v>1614.36</v>
      </c>
      <c r="H1" s="70" t="s">
        <v>982</v>
      </c>
    </row>
    <row r="2" customFormat="false" ht="15" hidden="false" customHeight="false" outlineLevel="0" collapsed="false">
      <c r="C2" s="71" t="s">
        <v>1284</v>
      </c>
      <c r="D2" s="71" t="n">
        <v>60</v>
      </c>
    </row>
    <row r="4" customFormat="false" ht="15" hidden="false" customHeight="false" outlineLevel="0" collapsed="false">
      <c r="D4" s="71" t="s">
        <v>1285</v>
      </c>
      <c r="E4" s="71" t="s">
        <v>1286</v>
      </c>
      <c r="F4" s="71" t="s">
        <v>1287</v>
      </c>
    </row>
    <row r="5" customFormat="false" ht="15" hidden="false" customHeight="false" outlineLevel="0" collapsed="false">
      <c r="B5" s="71" t="s">
        <v>1288</v>
      </c>
      <c r="C5" s="71"/>
      <c r="D5" s="71" t="n">
        <v>11.66</v>
      </c>
      <c r="E5" s="71" t="n">
        <v>80</v>
      </c>
      <c r="F5" s="71" t="n">
        <v>932.8</v>
      </c>
    </row>
    <row r="6" customFormat="false" ht="15" hidden="false" customHeight="false" outlineLevel="0" collapsed="false">
      <c r="B6" s="71" t="s">
        <v>1289</v>
      </c>
      <c r="C6" s="71"/>
      <c r="D6" s="71" t="n">
        <v>8.52</v>
      </c>
      <c r="E6" s="71" t="n">
        <v>33</v>
      </c>
      <c r="F6" s="71" t="n">
        <v>281.16</v>
      </c>
    </row>
    <row r="7" customFormat="false" ht="15" hidden="false" customHeight="false" outlineLevel="0" collapsed="false">
      <c r="B7" s="71" t="s">
        <v>1290</v>
      </c>
      <c r="C7" s="71"/>
      <c r="D7" s="71" t="n">
        <v>1.74</v>
      </c>
      <c r="E7" s="71" t="n">
        <v>140</v>
      </c>
      <c r="F7" s="71" t="n">
        <v>243.6</v>
      </c>
    </row>
    <row r="8" customFormat="false" ht="15" hidden="false" customHeight="false" outlineLevel="0" collapsed="false">
      <c r="B8" s="71" t="s">
        <v>1291</v>
      </c>
      <c r="C8" s="71"/>
      <c r="D8" s="71" t="n">
        <v>1.96</v>
      </c>
      <c r="E8" s="71" t="n">
        <v>80</v>
      </c>
      <c r="F8" s="71" t="n">
        <v>156.8</v>
      </c>
    </row>
    <row r="9" customFormat="false" ht="15" hidden="false" customHeight="false" outlineLevel="0" collapsed="false">
      <c r="B9" s="71" t="s">
        <v>1292</v>
      </c>
      <c r="C9" s="71"/>
      <c r="D9" s="71" t="n">
        <v>7.58</v>
      </c>
      <c r="E9" s="71" t="n">
        <v>0</v>
      </c>
      <c r="F9" s="7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2026-08-07T09:18:32Z</dcterms:created>
  <dc:creator>openpyxl</dc:creator>
  <dc:description/>
  <dc:language>en-US</dc:language>
  <cp:lastModifiedBy/>
  <dcterms:modified xsi:type="dcterms:W3CDTF">2026-08-07T09:18:37Z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